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718" firstSheet="0" activeTab="0" autoFilterDateGrouping="1"/>
  </bookViews>
  <sheets>
    <sheet name="Identificación del Instrumento" sheetId="1" state="visible" r:id="rId1"/>
    <sheet name="Datos de Ensayos" sheetId="2" state="visible" r:id="rId2"/>
    <sheet name="Acta Verificación " sheetId="3" state="visible" r:id="rId3"/>
    <sheet name="Acta Precintos" sheetId="4" state="visible" r:id="rId4"/>
    <sheet name="Informe" sheetId="5" state="visible" r:id="rId5"/>
    <sheet name="Reporte" sheetId="6" state="visible" r:id="rId6"/>
    <sheet name="certificado OC" sheetId="7" state="visible" r:id="rId7"/>
    <sheet name="Acta Suspensión" sheetId="8" state="visible" r:id="rId8"/>
    <sheet name="Informe Suspensión" sheetId="9" state="hidden" r:id="rId9"/>
    <sheet name="Ensayos Efectuados" sheetId="10" state="hidden" r:id="rId10"/>
  </sheets>
  <definedNames>
    <definedName name="_xlnm.Print_Area" localSheetId="0">'Identificación del Instrumento'!$A$1:$G$62</definedName>
    <definedName name="_xlnm.Print_Area" localSheetId="1">'Datos de Ensayos'!$D$1:$L$57</definedName>
    <definedName name="_xlnm.Print_Area" localSheetId="2">'Acta Verificación '!$A$1:$H$64</definedName>
    <definedName name="_xlnm.Print_Area" localSheetId="3">'Acta Precintos'!$A$1:$H$76</definedName>
    <definedName name="_xlnm.Print_Area" localSheetId="4">'Informe'!$A$4:$H$35</definedName>
    <definedName name="_xlnm.Print_Area" localSheetId="6">'certificado OC'!$A$1:$I$41</definedName>
    <definedName name="_xlnm.Print_Area" localSheetId="7">'Acta Suspensión'!$A$1:$H$67</definedName>
    <definedName name="_xlnm.Print_Area" localSheetId="8">'Informe Suspensión'!$A$4:$H$34</definedName>
    <definedName name="_xlnm.Print_Titles" localSheetId="9">'Ensayos Efectuados'!$4:$4</definedName>
    <definedName name="_xlnm.Print_Area" localSheetId="9">'Ensayos Efectuados'!$A$1:$G$200</definedName>
  </definedNames>
  <calcPr calcId="191028" fullCalcOnLoad="1"/>
</workbook>
</file>

<file path=xl/styles.xml><?xml version="1.0" encoding="utf-8"?>
<styleSheet xmlns="http://schemas.openxmlformats.org/spreadsheetml/2006/main">
  <numFmts count="11">
    <numFmt numFmtId="164" formatCode="0.000"/>
    <numFmt numFmtId="165" formatCode="0.0"/>
    <numFmt numFmtId="166" formatCode="d\ &quot;de&quot;\ mmmm\ &quot;de&quot;\ yyyy"/>
    <numFmt numFmtId="167" formatCode="0.00000"/>
    <numFmt numFmtId="168" formatCode="_-* #,##0_-;\-* #,##0_-;_-* &quot;-&quot;??_-;_-@_-"/>
    <numFmt numFmtId="169" formatCode="d\-m\-yy"/>
    <numFmt numFmtId="170" formatCode="0.0000"/>
    <numFmt numFmtId="171" formatCode="0.00000000000000000"/>
    <numFmt numFmtId="172" formatCode="_-* #,##0.000_-;\-* #,##0.000_-;_-* &quot;-&quot;??_-;_-@_-"/>
    <numFmt numFmtId="173" formatCode="[$-2C0A]dddd\,\ d\ &quot;de&quot;\ mmmm\ &quot;de&quot;\ yyyy"/>
    <numFmt numFmtId="174" formatCode="[$-2C0A]d&quot; de &quot;mmmm&quot; de &quot;yyyy;@"/>
  </numFmts>
  <fonts count="112">
    <font>
      <name val="Arial"/>
      <sz val="10"/>
    </font>
    <font>
      <name val="Arial"/>
      <family val="2"/>
      <sz val="10"/>
    </font>
    <font>
      <name val="Arial"/>
      <family val="2"/>
      <b val="1"/>
      <sz val="10"/>
    </font>
    <font>
      <name val="Arial"/>
      <family val="2"/>
      <b val="1"/>
      <sz val="14"/>
    </font>
    <font>
      <name val="Arial"/>
      <family val="2"/>
      <sz val="10"/>
    </font>
    <font>
      <name val="Arial"/>
      <family val="2"/>
      <color indexed="12"/>
      <sz val="10"/>
      <u val="single"/>
    </font>
    <font>
      <name val="Arial"/>
      <family val="2"/>
      <b val="1"/>
      <sz val="9"/>
    </font>
    <font>
      <name val="Arial"/>
      <family val="2"/>
      <sz val="12"/>
    </font>
    <font>
      <name val="Arial"/>
      <family val="2"/>
      <sz val="12"/>
    </font>
    <font>
      <name val="Arial"/>
      <family val="2"/>
      <b val="1"/>
      <sz val="12"/>
    </font>
    <font>
      <name val="Arial"/>
      <family val="2"/>
      <b val="1"/>
      <sz val="18"/>
    </font>
    <font>
      <name val="Arial"/>
      <family val="2"/>
      <b val="1"/>
      <sz val="11"/>
    </font>
    <font>
      <name val="Arial"/>
      <family val="2"/>
      <b val="1"/>
      <sz val="16"/>
    </font>
    <font>
      <name val="Arial"/>
      <family val="2"/>
      <b val="1"/>
      <color indexed="48"/>
      <sz val="10"/>
    </font>
    <font>
      <name val="Arial"/>
      <family val="2"/>
      <b val="1"/>
      <color indexed="10"/>
      <sz val="12"/>
    </font>
    <font>
      <name val="Arial"/>
      <family val="2"/>
      <sz val="11"/>
    </font>
    <font>
      <name val="Arial"/>
      <family val="2"/>
      <sz val="9"/>
    </font>
    <font>
      <name val="Arial"/>
      <family val="2"/>
      <b val="1"/>
      <color indexed="48"/>
      <sz val="11"/>
    </font>
    <font>
      <name val="Arial"/>
      <family val="2"/>
      <b val="1"/>
      <color indexed="17"/>
      <sz val="12"/>
    </font>
    <font>
      <name val="Arial"/>
      <family val="2"/>
      <b val="1"/>
      <color indexed="17"/>
      <sz val="14"/>
    </font>
    <font>
      <name val="Arial"/>
      <family val="2"/>
      <b val="1"/>
      <color indexed="8"/>
      <sz val="10"/>
    </font>
    <font>
      <name val="Arial"/>
      <family val="2"/>
      <b val="1"/>
      <i val="1"/>
      <color indexed="12"/>
      <sz val="12"/>
    </font>
    <font>
      <name val="Arial"/>
      <family val="2"/>
      <b val="1"/>
      <color indexed="17"/>
      <sz val="16"/>
    </font>
    <font>
      <name val="Arial"/>
      <family val="2"/>
      <b val="1"/>
      <color indexed="10"/>
      <sz val="14"/>
    </font>
    <font>
      <name val="Arial"/>
      <family val="2"/>
      <i val="1"/>
      <sz val="12"/>
    </font>
    <font>
      <name val="Arial"/>
      <family val="2"/>
      <i val="1"/>
      <sz val="10"/>
    </font>
    <font>
      <name val="Symbol"/>
      <charset val="2"/>
      <family val="1"/>
      <sz val="12"/>
    </font>
    <font>
      <name val="Symbol"/>
      <charset val="2"/>
      <family val="1"/>
      <sz val="10"/>
    </font>
    <font>
      <name val="Arial"/>
      <family val="2"/>
      <color indexed="17"/>
      <sz val="10"/>
    </font>
    <font>
      <name val="Arial"/>
      <family val="2"/>
      <color indexed="17"/>
      <sz val="9"/>
    </font>
    <font>
      <name val="Arial"/>
      <family val="2"/>
      <b val="1"/>
      <sz val="9"/>
      <u val="single"/>
    </font>
    <font>
      <name val="Arial"/>
      <family val="2"/>
      <b val="1"/>
      <color indexed="17"/>
      <sz val="10"/>
    </font>
    <font>
      <name val="Arial"/>
      <family val="2"/>
      <sz val="14"/>
      <u val="single"/>
    </font>
    <font>
      <name val="Arial"/>
      <family val="2"/>
      <b val="1"/>
      <i val="1"/>
      <sz val="10"/>
    </font>
    <font>
      <name val="Arial"/>
      <family val="2"/>
      <sz val="8"/>
    </font>
    <font>
      <name val="Arial"/>
      <family val="2"/>
      <b val="1"/>
      <color indexed="17"/>
      <sz val="18"/>
    </font>
    <font>
      <name val="Arial"/>
      <family val="2"/>
      <b val="1"/>
      <color indexed="17"/>
      <sz val="18"/>
      <vertAlign val="subscript"/>
    </font>
    <font>
      <name val="Arial"/>
      <family val="2"/>
      <color indexed="8"/>
      <sz val="12"/>
    </font>
    <font>
      <name val="Arial"/>
      <family val="2"/>
      <b val="1"/>
      <color indexed="8"/>
      <sz val="12"/>
    </font>
    <font>
      <name val="Arial Narrow"/>
      <family val="2"/>
      <sz val="10"/>
    </font>
    <font>
      <name val="Arial Narrow"/>
      <family val="2"/>
      <b val="1"/>
      <sz val="11"/>
    </font>
    <font>
      <name val="Arial Narrow"/>
      <family val="2"/>
      <b val="1"/>
      <sz val="12"/>
    </font>
    <font>
      <name val="Arial Narrow"/>
      <family val="2"/>
      <sz val="12"/>
    </font>
    <font>
      <name val="Arial Narrow"/>
      <family val="2"/>
      <b val="1"/>
      <sz val="14"/>
    </font>
    <font>
      <name val="Arial Narrow"/>
      <family val="2"/>
      <i val="1"/>
      <sz val="12"/>
    </font>
    <font>
      <name val="Arial Narrow"/>
      <family val="2"/>
      <sz val="14"/>
    </font>
    <font>
      <name val="Arial"/>
      <family val="2"/>
      <sz val="14"/>
    </font>
    <font>
      <name val="Arial Narrow"/>
      <family val="2"/>
      <b val="1"/>
      <sz val="18"/>
    </font>
    <font>
      <name val="Arial Narrow"/>
      <family val="2"/>
      <sz val="13"/>
    </font>
    <font>
      <name val="Arial Narrow"/>
      <family val="2"/>
      <b val="1"/>
      <sz val="13"/>
    </font>
    <font>
      <name val="Arial Narrow"/>
      <family val="2"/>
      <b val="1"/>
      <color indexed="48"/>
      <sz val="13"/>
    </font>
    <font>
      <name val="Arial Narrow"/>
      <family val="2"/>
      <sz val="11"/>
    </font>
    <font>
      <name val="Arial Narrow"/>
      <family val="2"/>
      <sz val="8"/>
    </font>
    <font>
      <name val="Times New Roman"/>
      <family val="1"/>
      <sz val="12"/>
    </font>
    <font>
      <name val="Arial Narrow"/>
      <family val="2"/>
      <b val="1"/>
      <i val="1"/>
      <sz val="12"/>
    </font>
    <font>
      <name val="Arial Narrow"/>
      <family val="2"/>
      <b val="1"/>
      <sz val="10"/>
    </font>
    <font>
      <name val="Arial Greek"/>
      <charset val="161"/>
      <family val="2"/>
      <b val="1"/>
      <sz val="12"/>
    </font>
    <font>
      <name val="Arial Narrow"/>
      <family val="2"/>
      <b val="1"/>
      <color indexed="17"/>
      <sz val="11"/>
    </font>
    <font>
      <name val="Arial Narrow"/>
      <family val="2"/>
      <b val="1"/>
      <color indexed="17"/>
      <sz val="12"/>
    </font>
    <font>
      <name val="Arial Narrow"/>
      <family val="2"/>
      <b val="1"/>
      <color indexed="10"/>
      <sz val="12"/>
    </font>
    <font>
      <name val="Arial Narrow"/>
      <family val="2"/>
      <b val="1"/>
      <sz val="16"/>
    </font>
    <font>
      <name val="Arial Narrow"/>
      <family val="2"/>
      <b val="1"/>
      <color indexed="10"/>
      <sz val="10"/>
    </font>
    <font>
      <name val="Arial Narrow"/>
      <family val="2"/>
      <color indexed="17"/>
      <sz val="10"/>
    </font>
    <font>
      <name val="Arial Narrow"/>
      <family val="2"/>
      <b val="1"/>
      <color indexed="9"/>
      <sz val="13"/>
    </font>
    <font>
      <name val="Arial Narrow"/>
      <family val="2"/>
      <b val="1"/>
      <color indexed="17"/>
      <sz val="10"/>
    </font>
    <font>
      <name val="Arial"/>
      <family val="2"/>
      <sz val="10"/>
      <u val="single"/>
    </font>
    <font>
      <name val="Arial"/>
      <family val="2"/>
      <b val="1"/>
      <color indexed="10"/>
      <sz val="16"/>
    </font>
    <font>
      <name val="Arial Narrow"/>
      <family val="2"/>
      <b val="1"/>
      <sz val="9"/>
    </font>
    <font>
      <name val="Arial Narrow"/>
      <family val="2"/>
      <b val="1"/>
      <color indexed="10"/>
      <sz val="14"/>
    </font>
    <font>
      <name val="Arial"/>
      <family val="2"/>
      <color indexed="12"/>
      <sz val="8"/>
      <u val="single"/>
    </font>
    <font>
      <name val="Tahoma"/>
      <family val="2"/>
      <color indexed="81"/>
      <sz val="9"/>
    </font>
    <font>
      <name val="Tahoma"/>
      <family val="2"/>
      <b val="1"/>
      <color indexed="81"/>
      <sz val="9"/>
    </font>
    <font>
      <name val="Arial Narrow"/>
      <family val="2"/>
      <color indexed="81"/>
      <sz val="12"/>
    </font>
    <font>
      <name val="Arial Narrow"/>
      <family val="2"/>
      <b val="1"/>
      <color indexed="81"/>
      <sz val="12"/>
    </font>
    <font>
      <name val="Tahoma"/>
      <family val="2"/>
      <color indexed="81"/>
      <sz val="11"/>
    </font>
    <font>
      <name val="Tahoma"/>
      <family val="2"/>
      <b val="1"/>
      <color indexed="81"/>
      <sz val="11"/>
    </font>
    <font>
      <name val="Tahoma"/>
      <family val="2"/>
      <b val="1"/>
      <color indexed="81"/>
      <sz val="12"/>
    </font>
    <font>
      <name val="Arial"/>
      <family val="2"/>
      <b val="1"/>
      <color indexed="10"/>
      <sz val="18"/>
    </font>
    <font>
      <name val="Arial Narrow"/>
      <family val="2"/>
      <b val="1"/>
      <color indexed="10"/>
      <sz val="16"/>
    </font>
    <font>
      <name val="Arial"/>
      <family val="2"/>
      <sz val="12"/>
      <u val="single"/>
    </font>
    <font>
      <name val="Arial"/>
      <family val="2"/>
      <sz val="9"/>
      <vertAlign val="superscript"/>
    </font>
    <font>
      <name val="Arial"/>
      <family val="2"/>
      <i val="1"/>
      <sz val="11"/>
    </font>
    <font>
      <name val="Arial"/>
      <family val="2"/>
      <b val="1"/>
      <sz val="11"/>
      <u val="single"/>
    </font>
    <font>
      <name val="Arial"/>
      <family val="2"/>
      <b val="1"/>
      <i val="1"/>
      <sz val="12"/>
    </font>
    <font>
      <name val="Arial"/>
      <family val="2"/>
      <sz val="7.5"/>
    </font>
    <font>
      <name val="Arial"/>
      <family val="2"/>
      <sz val="11"/>
      <u val="single"/>
    </font>
    <font>
      <name val="Arial"/>
      <family val="2"/>
      <b val="1"/>
      <i val="1"/>
      <sz val="11"/>
    </font>
    <font>
      <name val="Arial"/>
      <family val="2"/>
      <b val="1"/>
      <color indexed="10"/>
      <sz val="10"/>
    </font>
    <font>
      <name val="Arial"/>
      <family val="2"/>
      <color indexed="10"/>
      <sz val="10"/>
    </font>
    <font>
      <name val="Arial"/>
      <family val="2"/>
      <b val="1"/>
      <color indexed="10"/>
      <sz val="8"/>
    </font>
    <font>
      <name val="Arial"/>
      <family val="2"/>
      <color indexed="13"/>
      <sz val="12"/>
    </font>
    <font>
      <name val="Arial Narrow"/>
      <family val="2"/>
      <color indexed="18"/>
      <sz val="12"/>
    </font>
    <font>
      <name val="Arial"/>
      <family val="2"/>
      <color indexed="18"/>
      <sz val="10"/>
    </font>
    <font>
      <name val="Arial Narrow"/>
      <family val="2"/>
      <b val="1"/>
      <color indexed="18"/>
      <sz val="12"/>
    </font>
    <font>
      <name val="Arial"/>
      <family val="2"/>
      <b val="1"/>
      <color indexed="18"/>
      <sz val="10"/>
    </font>
    <font>
      <name val="Arial"/>
      <family val="2"/>
      <b val="1"/>
      <color indexed="13"/>
      <sz val="11"/>
    </font>
    <font>
      <name val="Calibri"/>
      <family val="2"/>
      <sz val="14"/>
    </font>
    <font>
      <name val="Arial"/>
      <family val="2"/>
      <b val="1"/>
      <color indexed="8"/>
      <sz val="11"/>
    </font>
    <font>
      <name val="Arial"/>
      <family val="2"/>
      <b val="1"/>
      <color indexed="10"/>
      <sz val="11"/>
    </font>
    <font>
      <name val="Arial"/>
      <family val="2"/>
      <b val="1"/>
      <color indexed="62"/>
      <sz val="11"/>
    </font>
    <font>
      <name val="Arial"/>
      <family val="2"/>
      <b val="1"/>
      <color indexed="12"/>
      <sz val="16"/>
    </font>
    <font>
      <name val="Arial"/>
      <family val="2"/>
      <sz val="8"/>
    </font>
    <font>
      <name val="Calibri"/>
      <family val="2"/>
      <b val="1"/>
      <color theme="1"/>
      <sz val="11"/>
      <scheme val="minor"/>
    </font>
    <font>
      <name val="Arial Narrow"/>
      <family val="2"/>
      <b val="1"/>
      <color rgb="FFFFFF00"/>
      <sz val="12"/>
    </font>
    <font>
      <name val="Arial Narrow"/>
      <family val="2"/>
      <b val="1"/>
      <color rgb="FFFFFF00"/>
      <sz val="10"/>
    </font>
    <font>
      <name val="Arial Narrow"/>
      <family val="2"/>
      <b val="1"/>
      <color rgb="FFFF0000"/>
      <sz val="12"/>
    </font>
    <font>
      <name val="Arial"/>
      <family val="2"/>
      <color rgb="FFFF0000"/>
      <sz val="10"/>
    </font>
    <font>
      <name val="Arial Narrow"/>
      <family val="2"/>
      <color rgb="FFFF0000"/>
      <sz val="12"/>
    </font>
    <font>
      <name val="Arial"/>
      <family val="2"/>
      <b val="1"/>
      <color rgb="FFFFFF00"/>
      <sz val="11"/>
    </font>
    <font>
      <name val="Arial"/>
      <family val="2"/>
      <b val="1"/>
      <color rgb="FFFF0000"/>
      <sz val="11"/>
    </font>
    <font>
      <name val="Arial"/>
      <family val="2"/>
      <color rgb="FFFF0000"/>
      <sz val="11"/>
    </font>
    <font>
      <name val="Arial"/>
      <family val="2"/>
      <color theme="10"/>
      <sz val="10"/>
      <u val="single"/>
    </font>
  </fonts>
  <fills count="22">
    <fill>
      <patternFill/>
    </fill>
    <fill>
      <patternFill patternType="gray125"/>
    </fill>
    <fill>
      <patternFill patternType="solid">
        <fgColor indexed="22"/>
        <bgColor indexed="64"/>
      </patternFill>
    </fill>
    <fill>
      <patternFill patternType="solid">
        <fgColor indexed="49"/>
        <bgColor indexed="64"/>
      </patternFill>
    </fill>
    <fill>
      <patternFill patternType="solid">
        <fgColor indexed="43"/>
        <bgColor indexed="64"/>
      </patternFill>
    </fill>
    <fill>
      <patternFill patternType="solid">
        <fgColor indexed="42"/>
        <bgColor indexed="64"/>
      </patternFill>
    </fill>
    <fill>
      <patternFill patternType="solid">
        <fgColor indexed="11"/>
        <bgColor indexed="64"/>
      </patternFill>
    </fill>
    <fill>
      <patternFill patternType="solid">
        <fgColor indexed="41"/>
        <bgColor indexed="64"/>
      </patternFill>
    </fill>
    <fill>
      <patternFill patternType="solid">
        <fgColor indexed="13"/>
        <bgColor indexed="64"/>
      </patternFill>
    </fill>
    <fill>
      <patternFill patternType="solid">
        <fgColor indexed="55"/>
        <bgColor indexed="64"/>
      </patternFill>
    </fill>
    <fill>
      <patternFill patternType="solid">
        <fgColor indexed="47"/>
        <bgColor indexed="64"/>
      </patternFill>
    </fill>
    <fill>
      <patternFill patternType="solid">
        <fgColor indexed="8"/>
        <bgColor indexed="64"/>
      </patternFill>
    </fill>
    <fill>
      <patternFill patternType="solid">
        <fgColor indexed="48"/>
        <bgColor indexed="64"/>
      </patternFill>
    </fill>
    <fill>
      <patternFill patternType="solid">
        <fgColor indexed="9"/>
        <bgColor indexed="64"/>
      </patternFill>
    </fill>
    <fill>
      <patternFill patternType="solid">
        <fgColor indexed="31"/>
        <bgColor indexed="64"/>
      </patternFill>
    </fill>
    <fill>
      <patternFill patternType="solid">
        <fgColor indexed="11"/>
        <bgColor indexed="8"/>
      </patternFill>
    </fill>
    <fill>
      <patternFill patternType="solid">
        <fgColor theme="6" tint="0.5999938962981048"/>
        <bgColor indexed="64"/>
      </patternFill>
    </fill>
    <fill>
      <patternFill patternType="solid">
        <fgColor rgb="FFFFFFCC"/>
        <bgColor indexed="64"/>
      </patternFill>
    </fill>
    <fill>
      <patternFill patternType="solid">
        <fgColor rgb="FFC0C0C0"/>
        <bgColor indexed="64"/>
      </patternFill>
    </fill>
    <fill>
      <patternFill patternType="solid">
        <fgColor theme="0" tint="-0.249977111117893"/>
        <bgColor indexed="64"/>
      </patternFill>
    </fill>
    <fill>
      <patternFill patternType="solid">
        <fgColor rgb="FFFFFF00"/>
        <bgColor indexed="64"/>
      </patternFill>
    </fill>
    <fill>
      <patternFill patternType="solid">
        <fgColor rgb="FFC0C0C0"/>
        <bgColor rgb="FF000000"/>
      </patternFill>
    </fill>
  </fills>
  <borders count="9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right/>
      <top style="medium">
        <color indexed="64"/>
      </top>
      <bottom style="thin">
        <color indexed="64"/>
      </bottom>
      <diagonal/>
    </border>
    <border>
      <left/>
      <right style="dotted">
        <color indexed="64"/>
      </right>
      <top/>
      <bottom/>
      <diagonal/>
    </border>
    <border>
      <left/>
      <right style="dotted">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diagonalDown="1">
      <left style="medium">
        <color indexed="64"/>
      </left>
      <right style="medium">
        <color indexed="64"/>
      </right>
      <top style="medium">
        <color indexed="64"/>
      </top>
      <bottom style="medium">
        <color indexed="64"/>
      </bottom>
      <diagonal style="thin">
        <color indexed="64"/>
      </diagonal>
    </border>
    <border>
      <left style="medium">
        <color indexed="64"/>
      </left>
      <right style="medium">
        <color indexed="64"/>
      </right>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diagonal/>
    </border>
    <border>
      <left/>
      <right/>
      <top style="thin">
        <color indexed="12"/>
      </top>
      <bottom/>
      <diagonal/>
    </border>
    <border>
      <left/>
      <right/>
      <top/>
      <bottom style="hair">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dotted">
        <color indexed="64"/>
      </left>
      <right/>
      <top/>
      <bottom/>
      <diagonal/>
    </border>
    <border>
      <left style="thin">
        <color indexed="12"/>
      </left>
      <right/>
      <top style="thin">
        <color indexed="12"/>
      </top>
      <bottom style="thin">
        <color indexed="12"/>
      </bottom>
      <diagonal/>
    </border>
    <border>
      <left/>
      <right/>
      <top style="thin">
        <color indexed="12"/>
      </top>
      <bottom style="thin">
        <color indexed="12"/>
      </bottom>
      <diagonal/>
    </border>
    <border>
      <left/>
      <right style="thin">
        <color indexed="12"/>
      </right>
      <top style="thin">
        <color indexed="12"/>
      </top>
      <bottom style="thin">
        <color indexed="12"/>
      </bottom>
      <diagonal/>
    </border>
    <border>
      <left style="medium">
        <color indexed="12"/>
      </left>
      <right/>
      <top style="medium">
        <color indexed="12"/>
      </top>
      <bottom style="medium">
        <color indexed="12"/>
      </bottom>
      <diagonal/>
    </border>
    <border>
      <left/>
      <right/>
      <top style="medium">
        <color indexed="12"/>
      </top>
      <bottom style="medium">
        <color indexed="12"/>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style="medium">
        <color indexed="64"/>
      </top>
      <bottom/>
      <diagonal/>
    </border>
    <border>
      <left style="thin">
        <color indexed="64"/>
      </left>
      <right style="medium">
        <color indexed="64"/>
      </right>
      <top/>
      <bottom/>
      <diagonal/>
    </border>
    <border>
      <left style="dotted">
        <color indexed="64"/>
      </left>
      <right style="medium">
        <color indexed="64"/>
      </right>
      <top/>
      <bottom/>
      <diagonal/>
    </border>
    <border>
      <left style="thin">
        <color indexed="12"/>
      </left>
      <right style="thin">
        <color indexed="12"/>
      </right>
      <top style="thin">
        <color indexed="12"/>
      </top>
      <bottom style="thin">
        <color indexed="12"/>
      </bottom>
      <diagonal/>
    </border>
    <border>
      <left/>
      <right style="thin">
        <color indexed="12"/>
      </right>
      <top style="thin">
        <color indexed="12"/>
      </top>
      <bottom/>
      <diagonal/>
    </border>
    <border>
      <left/>
      <right/>
      <top style="medium">
        <color indexed="12"/>
      </top>
      <bottom/>
      <diagonal/>
    </border>
  </borders>
  <cellStyleXfs count="4">
    <xf numFmtId="0" fontId="0" fillId="0" borderId="0"/>
    <xf numFmtId="0" fontId="5" fillId="0" borderId="0" applyAlignment="1" applyProtection="1">
      <alignment vertical="top"/>
      <protection locked="0" hidden="0"/>
    </xf>
    <xf numFmtId="43" fontId="4" fillId="0" borderId="0"/>
    <xf numFmtId="0" fontId="111" fillId="0" borderId="0"/>
  </cellStyleXfs>
  <cellXfs count="1362">
    <xf numFmtId="0" fontId="0" fillId="0" borderId="0" pivotButton="0" quotePrefix="0" xfId="0"/>
    <xf numFmtId="0" fontId="8" fillId="0" borderId="0" pivotButton="0" quotePrefix="0" xfId="0"/>
    <xf numFmtId="0" fontId="9" fillId="0" borderId="0" pivotButton="0" quotePrefix="0" xfId="0"/>
    <xf numFmtId="0" fontId="8" fillId="0" borderId="0" applyAlignment="1" pivotButton="0" quotePrefix="0" xfId="0">
      <alignment horizontal="left"/>
    </xf>
    <xf numFmtId="0" fontId="9" fillId="0" borderId="0" applyAlignment="1" pivotButton="0" quotePrefix="0" xfId="0">
      <alignment horizontal="center" vertical="center" wrapText="1"/>
    </xf>
    <xf numFmtId="0" fontId="9" fillId="0" borderId="0" applyAlignment="1" pivotButton="0" quotePrefix="0" xfId="0">
      <alignment vertical="top" wrapText="1"/>
    </xf>
    <xf numFmtId="1" fontId="0" fillId="2" borderId="1" applyAlignment="1" applyProtection="1" pivotButton="0" quotePrefix="0" xfId="0">
      <alignment horizontal="center"/>
      <protection locked="0" hidden="0"/>
    </xf>
    <xf numFmtId="164" fontId="0" fillId="0" borderId="0" applyAlignment="1" pivotButton="0" quotePrefix="0" xfId="0">
      <alignment horizontal="center"/>
    </xf>
    <xf numFmtId="2" fontId="0" fillId="0" borderId="0" applyAlignment="1" pivotButton="0" quotePrefix="0" xfId="0">
      <alignment horizontal="center" vertical="center"/>
    </xf>
    <xf numFmtId="165" fontId="0" fillId="0" borderId="0" applyAlignment="1" pivotButton="0" quotePrefix="0" xfId="0">
      <alignment horizontal="center" vertical="center"/>
    </xf>
    <xf numFmtId="0" fontId="9" fillId="0" borderId="0" applyAlignment="1" pivotButton="0" quotePrefix="0" xfId="0">
      <alignment horizontal="justify" vertical="top" wrapText="1"/>
    </xf>
    <xf numFmtId="0" fontId="9" fillId="0" borderId="0" applyAlignment="1" pivotButton="0" quotePrefix="0" xfId="0">
      <alignment horizontal="justify"/>
    </xf>
    <xf numFmtId="166" fontId="9" fillId="0" borderId="0" pivotButton="0" quotePrefix="0" xfId="0"/>
    <xf numFmtId="0" fontId="14" fillId="0" borderId="0" pivotButton="0" quotePrefix="0" xfId="0"/>
    <xf numFmtId="2" fontId="10" fillId="0" borderId="0" applyAlignment="1" pivotButton="0" quotePrefix="0" xfId="0">
      <alignment horizontal="right"/>
    </xf>
    <xf numFmtId="0" fontId="2" fillId="0" borderId="0" applyAlignment="1" pivotButton="0" quotePrefix="0" xfId="0">
      <alignment horizontal="center" vertical="center" wrapText="1"/>
    </xf>
    <xf numFmtId="0" fontId="11" fillId="0" borderId="0" applyAlignment="1" pivotButton="0" quotePrefix="0" xfId="0">
      <alignment horizontal="center" vertical="top" wrapText="1"/>
    </xf>
    <xf numFmtId="0" fontId="12" fillId="0" borderId="0" applyAlignment="1" pivotButton="0" quotePrefix="0" xfId="0">
      <alignment horizontal="center" vertical="top" wrapText="1"/>
    </xf>
    <xf numFmtId="0" fontId="15"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xf numFmtId="0" fontId="15" fillId="0" borderId="0" pivotButton="0" quotePrefix="0" xfId="0"/>
    <xf numFmtId="1" fontId="15" fillId="0" borderId="0" pivotButton="0" quotePrefix="0" xfId="0"/>
    <xf numFmtId="0" fontId="15" fillId="0" borderId="0" applyAlignment="1" pivotButton="0" quotePrefix="0" xfId="0">
      <alignment horizontal="center"/>
    </xf>
    <xf numFmtId="1" fontId="11" fillId="0" borderId="0" applyAlignment="1" pivotButton="0" quotePrefix="0" xfId="0">
      <alignment horizontal="right"/>
    </xf>
    <xf numFmtId="0" fontId="15" fillId="0" borderId="0" applyAlignment="1" applyProtection="1" pivotButton="0" quotePrefix="0" xfId="0">
      <alignment horizontal="left"/>
      <protection locked="0" hidden="0"/>
    </xf>
    <xf numFmtId="1" fontId="17" fillId="0" borderId="0" applyAlignment="1" pivotButton="0" quotePrefix="0" xfId="0">
      <alignment vertical="center" wrapText="1"/>
    </xf>
    <xf numFmtId="49" fontId="15" fillId="0" borderId="0" applyAlignment="1" pivotButton="0" quotePrefix="0" xfId="0">
      <alignment horizontal="center"/>
    </xf>
    <xf numFmtId="2" fontId="15" fillId="0" borderId="0" applyAlignment="1" pivotButton="0" quotePrefix="0" xfId="0">
      <alignment horizontal="center"/>
    </xf>
    <xf numFmtId="2" fontId="15" fillId="0" borderId="0" applyAlignment="1" pivotButton="0" quotePrefix="0" xfId="2">
      <alignment horizontal="center"/>
    </xf>
    <xf numFmtId="167" fontId="15" fillId="0" borderId="0" applyAlignment="1" pivotButton="0" quotePrefix="0" xfId="2">
      <alignment horizontal="center"/>
    </xf>
    <xf numFmtId="1" fontId="0" fillId="0" borderId="0" pivotButton="0" quotePrefix="0" xfId="0"/>
    <xf numFmtId="0" fontId="7" fillId="0" borderId="0" applyAlignment="1" pivotButton="0" quotePrefix="0" xfId="0">
      <alignment horizontal="left" vertical="center" wrapText="1"/>
    </xf>
    <xf numFmtId="0" fontId="8" fillId="0" borderId="0" applyAlignment="1" pivotButton="0" quotePrefix="0" xfId="0">
      <alignment horizontal="right"/>
    </xf>
    <xf numFmtId="0" fontId="9" fillId="0" borderId="0" applyAlignment="1" pivotButton="0" quotePrefix="0" xfId="0">
      <alignment horizontal="right" vertical="center" wrapText="1"/>
    </xf>
    <xf numFmtId="0" fontId="9" fillId="0" borderId="0" applyAlignment="1" pivotButton="0" quotePrefix="0" xfId="0">
      <alignment horizontal="left"/>
    </xf>
    <xf numFmtId="1" fontId="7" fillId="0" borderId="0" applyAlignment="1" pivotButton="0" quotePrefix="0" xfId="0">
      <alignment horizontal="left" vertical="center" wrapText="1"/>
    </xf>
    <xf numFmtId="0" fontId="2" fillId="3" borderId="1" applyAlignment="1" pivotButton="0" quotePrefix="0" xfId="0">
      <alignment horizontal="center" vertical="center" wrapText="1"/>
    </xf>
    <xf numFmtId="2" fontId="7" fillId="3" borderId="1" applyAlignment="1" pivotButton="0" quotePrefix="0" xfId="0">
      <alignment horizontal="center" vertical="center"/>
    </xf>
    <xf numFmtId="1" fontId="7" fillId="3" borderId="1" applyAlignment="1" pivotButton="0" quotePrefix="1" xfId="0">
      <alignment horizontal="center" vertical="center"/>
    </xf>
    <xf numFmtId="165" fontId="0" fillId="0" borderId="0" pivotButton="0" quotePrefix="0" xfId="0"/>
    <xf numFmtId="165" fontId="2" fillId="3" borderId="1" applyAlignment="1" pivotButton="0" quotePrefix="0" xfId="0">
      <alignment horizontal="center" vertical="center" wrapText="1"/>
    </xf>
    <xf numFmtId="0" fontId="9" fillId="0" borderId="0" applyAlignment="1" pivotButton="0" quotePrefix="0" xfId="0">
      <alignment horizontal="left" vertical="center" wrapText="1"/>
    </xf>
    <xf numFmtId="0" fontId="14" fillId="0" borderId="0" applyAlignment="1" pivotButton="0" quotePrefix="0" xfId="0">
      <alignment horizontal="left" vertical="top" wrapText="1"/>
    </xf>
    <xf numFmtId="0" fontId="19" fillId="4" borderId="0" applyAlignment="1" pivotButton="0" quotePrefix="0" xfId="0">
      <alignment horizontal="center"/>
    </xf>
    <xf numFmtId="0" fontId="22" fillId="4" borderId="0" applyAlignment="1" pivotButton="0" quotePrefix="0" xfId="0">
      <alignment horizontal="left" vertical="center"/>
    </xf>
    <xf numFmtId="0" fontId="19" fillId="4" borderId="0" applyAlignment="1" pivotButton="0" quotePrefix="0" xfId="0">
      <alignment horizontal="center" vertical="center"/>
    </xf>
    <xf numFmtId="0" fontId="7" fillId="0" borderId="0" applyAlignment="1" pivotButton="0" quotePrefix="0" xfId="0">
      <alignment horizontal="center" vertical="center" wrapText="1"/>
    </xf>
    <xf numFmtId="0" fontId="26" fillId="0" borderId="0" pivotButton="0" quotePrefix="0" xfId="0"/>
    <xf numFmtId="0" fontId="25" fillId="0" borderId="0" applyAlignment="1" pivotButton="0" quotePrefix="0" xfId="0">
      <alignment vertical="top" wrapText="1"/>
    </xf>
    <xf numFmtId="0" fontId="15" fillId="0" borderId="0" applyAlignment="1" applyProtection="1" pivotButton="0" quotePrefix="0" xfId="0">
      <alignment vertical="top" wrapText="1"/>
      <protection locked="0" hidden="0"/>
    </xf>
    <xf numFmtId="1" fontId="0" fillId="2" borderId="2" applyAlignment="1" applyProtection="1" pivotButton="0" quotePrefix="0" xfId="0">
      <alignment horizontal="center"/>
      <protection locked="0" hidden="0"/>
    </xf>
    <xf numFmtId="0" fontId="7" fillId="0" borderId="0" pivotButton="0" quotePrefix="0" xfId="0"/>
    <xf numFmtId="0" fontId="9" fillId="0" borderId="0" applyAlignment="1" pivotButton="0" quotePrefix="0" xfId="0">
      <alignment vertical="center" wrapText="1"/>
    </xf>
    <xf numFmtId="0" fontId="0" fillId="0" borderId="0" applyAlignment="1" pivotButton="0" quotePrefix="0" xfId="0">
      <alignment vertical="center"/>
    </xf>
    <xf numFmtId="0" fontId="8" fillId="0" borderId="0" applyAlignment="1" pivotButton="0" quotePrefix="0" xfId="0">
      <alignment vertical="center"/>
    </xf>
    <xf numFmtId="1" fontId="2" fillId="0" borderId="0" applyAlignment="1" pivotButton="0" quotePrefix="0" xfId="0">
      <alignment horizontal="center" vertical="top" wrapText="1"/>
    </xf>
    <xf numFmtId="0" fontId="2" fillId="0" borderId="0" pivotButton="0" quotePrefix="0" xfId="0"/>
    <xf numFmtId="0" fontId="27" fillId="0" borderId="1" applyAlignment="1" pivotButton="0" quotePrefix="0" xfId="0">
      <alignment horizontal="center" vertical="center" wrapText="1"/>
    </xf>
    <xf numFmtId="1" fontId="31" fillId="0" borderId="0" applyAlignment="1" pivotButton="0" quotePrefix="0" xfId="0">
      <alignment horizontal="center"/>
    </xf>
    <xf numFmtId="2" fontId="7" fillId="0" borderId="0" applyAlignment="1" pivotButton="0" quotePrefix="0" xfId="0">
      <alignment horizontal="center" vertical="center"/>
    </xf>
    <xf numFmtId="165" fontId="7" fillId="0" borderId="0" applyAlignment="1" pivotButton="0" quotePrefix="0" xfId="0">
      <alignment horizontal="center" vertical="center"/>
    </xf>
    <xf numFmtId="1" fontId="7" fillId="0" borderId="0" applyAlignment="1" pivotButton="0" quotePrefix="1" xfId="0">
      <alignment horizontal="center" vertical="center"/>
    </xf>
    <xf numFmtId="0" fontId="43" fillId="5" borderId="5" applyAlignment="1" pivotButton="0" quotePrefix="0" xfId="0">
      <alignment horizontal="left"/>
    </xf>
    <xf numFmtId="0" fontId="43" fillId="5" borderId="6" applyAlignment="1" pivotButton="0" quotePrefix="0" xfId="0">
      <alignment horizontal="left"/>
    </xf>
    <xf numFmtId="0" fontId="0" fillId="0" borderId="0" applyAlignment="1" pivotButton="0" quotePrefix="0" xfId="0">
      <alignment horizontal="center" vertical="top" wrapText="1"/>
    </xf>
    <xf numFmtId="0" fontId="45" fillId="5" borderId="7" pivotButton="0" quotePrefix="0" xfId="0"/>
    <xf numFmtId="1" fontId="45" fillId="5" borderId="0" pivotButton="0" quotePrefix="0" xfId="0"/>
    <xf numFmtId="165" fontId="43" fillId="5" borderId="0" pivotButton="0" quotePrefix="0" xfId="0"/>
    <xf numFmtId="1" fontId="43" fillId="5" borderId="8" pivotButton="0" quotePrefix="0" xfId="0"/>
    <xf numFmtId="0" fontId="43" fillId="5" borderId="9" applyAlignment="1" pivotButton="0" quotePrefix="0" xfId="0">
      <alignment horizontal="right"/>
    </xf>
    <xf numFmtId="1" fontId="43" fillId="5" borderId="10" applyAlignment="1" pivotButton="0" quotePrefix="0" xfId="0">
      <alignment horizontal="right"/>
    </xf>
    <xf numFmtId="0" fontId="43" fillId="5" borderId="11" applyAlignment="1" pivotButton="0" quotePrefix="0" xfId="0">
      <alignment horizontal="right"/>
    </xf>
    <xf numFmtId="1" fontId="43" fillId="5" borderId="9" applyAlignment="1" pivotButton="0" quotePrefix="0" xfId="0">
      <alignment horizontal="right"/>
    </xf>
    <xf numFmtId="165" fontId="43" fillId="5" borderId="10" applyAlignment="1" pivotButton="0" quotePrefix="0" xfId="0">
      <alignment horizontal="right"/>
    </xf>
    <xf numFmtId="1" fontId="43" fillId="5" borderId="6" applyAlignment="1" pivotButton="0" quotePrefix="0" xfId="0">
      <alignment horizontal="left"/>
    </xf>
    <xf numFmtId="1" fontId="3" fillId="5" borderId="6" applyAlignment="1" pivotButton="0" quotePrefix="0" xfId="0">
      <alignment horizontal="left"/>
    </xf>
    <xf numFmtId="1" fontId="43" fillId="5" borderId="5" applyAlignment="1" pivotButton="0" quotePrefix="0" xfId="0">
      <alignment horizontal="right"/>
    </xf>
    <xf numFmtId="165" fontId="45" fillId="5" borderId="0" pivotButton="0" quotePrefix="0" xfId="0"/>
    <xf numFmtId="1" fontId="45" fillId="5" borderId="8" pivotButton="0" quotePrefix="0" xfId="0"/>
    <xf numFmtId="0" fontId="43" fillId="5" borderId="12" pivotButton="0" quotePrefix="0" xfId="0"/>
    <xf numFmtId="1" fontId="45" fillId="5" borderId="13" pivotButton="0" quotePrefix="0" xfId="0"/>
    <xf numFmtId="165" fontId="45" fillId="5" borderId="13" pivotButton="0" quotePrefix="0" xfId="0"/>
    <xf numFmtId="1" fontId="45" fillId="5" borderId="14" pivotButton="0" quotePrefix="0" xfId="0"/>
    <xf numFmtId="0" fontId="41" fillId="2" borderId="1" applyAlignment="1" applyProtection="1" pivotButton="0" quotePrefix="0" xfId="0">
      <alignment horizontal="center" vertical="center"/>
      <protection locked="0" hidden="0"/>
    </xf>
    <xf numFmtId="1" fontId="41" fillId="2" borderId="9" applyAlignment="1" applyProtection="1" pivotButton="0" quotePrefix="0" xfId="0">
      <alignment horizontal="center" vertical="center"/>
      <protection locked="0" hidden="0"/>
    </xf>
    <xf numFmtId="0" fontId="3" fillId="0" borderId="0" applyAlignment="1" pivotButton="0" quotePrefix="0" xfId="0">
      <alignment horizontal="center"/>
    </xf>
    <xf numFmtId="0" fontId="0" fillId="0" borderId="0" applyAlignment="1" pivotButton="0" quotePrefix="0" xfId="0">
      <alignment horizontal="center"/>
    </xf>
    <xf numFmtId="0" fontId="2" fillId="0" borderId="0" applyAlignment="1" pivotButton="0" quotePrefix="0" xfId="0">
      <alignment horizontal="center"/>
    </xf>
    <xf numFmtId="2" fontId="2" fillId="0" borderId="0" pivotButton="0" quotePrefix="0" xfId="2"/>
    <xf numFmtId="168" fontId="2" fillId="0" borderId="0" pivotButton="0" quotePrefix="0" xfId="2"/>
    <xf numFmtId="0" fontId="11" fillId="0" borderId="0" applyAlignment="1" pivotButton="0" quotePrefix="0" xfId="0">
      <alignment horizontal="left"/>
    </xf>
    <xf numFmtId="0" fontId="48" fillId="0" borderId="0" pivotButton="0" quotePrefix="0" xfId="0"/>
    <xf numFmtId="1" fontId="50" fillId="0" borderId="0" applyAlignment="1" pivotButton="0" quotePrefix="0" xfId="0">
      <alignment vertical="center" wrapText="1"/>
    </xf>
    <xf numFmtId="1" fontId="48" fillId="0" borderId="0" pivotButton="0" quotePrefix="0" xfId="0"/>
    <xf numFmtId="1" fontId="49" fillId="0" borderId="0" applyAlignment="1" pivotButton="0" quotePrefix="0" xfId="0">
      <alignment horizontal="right"/>
    </xf>
    <xf numFmtId="0" fontId="48" fillId="0" borderId="0" applyAlignment="1" pivotButton="0" quotePrefix="0" xfId="0">
      <alignment horizontal="center"/>
    </xf>
    <xf numFmtId="2" fontId="48" fillId="0" borderId="0" applyAlignment="1" pivotButton="0" quotePrefix="0" xfId="0">
      <alignment horizontal="center"/>
    </xf>
    <xf numFmtId="2" fontId="48" fillId="0" borderId="0" applyAlignment="1" pivotButton="0" quotePrefix="0" xfId="2">
      <alignment horizontal="center"/>
    </xf>
    <xf numFmtId="167" fontId="48" fillId="0" borderId="0" applyAlignment="1" pivotButton="0" quotePrefix="0" xfId="2">
      <alignment horizontal="center"/>
    </xf>
    <xf numFmtId="1" fontId="49" fillId="0" borderId="0" pivotButton="0" quotePrefix="0" xfId="0"/>
    <xf numFmtId="169" fontId="48" fillId="0" borderId="0" applyAlignment="1" pivotButton="0" quotePrefix="0" xfId="0">
      <alignment horizontal="left"/>
    </xf>
    <xf numFmtId="2" fontId="48" fillId="0" borderId="0" pivotButton="0" quotePrefix="0" xfId="2"/>
    <xf numFmtId="168" fontId="48" fillId="0" borderId="0" pivotButton="0" quotePrefix="0" xfId="2"/>
    <xf numFmtId="0" fontId="49" fillId="0" borderId="0" applyAlignment="1" pivotButton="0" quotePrefix="0" xfId="0">
      <alignment horizontal="center"/>
    </xf>
    <xf numFmtId="0" fontId="49" fillId="0" borderId="0" pivotButton="0" quotePrefix="0" xfId="0"/>
    <xf numFmtId="1" fontId="13" fillId="0" borderId="0" applyAlignment="1" pivotButton="0" quotePrefix="0" xfId="0">
      <alignment vertical="center" wrapText="1"/>
    </xf>
    <xf numFmtId="49" fontId="0" fillId="0" borderId="0" applyAlignment="1" pivotButton="0" quotePrefix="0" xfId="0">
      <alignment horizontal="center"/>
    </xf>
    <xf numFmtId="2" fontId="0" fillId="0" borderId="0" applyAlignment="1" pivotButton="0" quotePrefix="0" xfId="0">
      <alignment horizontal="center"/>
    </xf>
    <xf numFmtId="2" fontId="0" fillId="0" borderId="0" applyAlignment="1" pivotButton="0" quotePrefix="0" xfId="2">
      <alignment horizontal="center"/>
    </xf>
    <xf numFmtId="167" fontId="0" fillId="0" borderId="0" applyAlignment="1" pivotButton="0" quotePrefix="0" xfId="2">
      <alignment horizontal="center"/>
    </xf>
    <xf numFmtId="1" fontId="0" fillId="0" borderId="0" applyAlignment="1" pivotButton="0" quotePrefix="0" xfId="0">
      <alignment horizontal="center"/>
    </xf>
    <xf numFmtId="0" fontId="2" fillId="0" borderId="0" applyAlignment="1" pivotButton="0" quotePrefix="0" xfId="0">
      <alignment horizontal="left" vertical="top" wrapText="1"/>
    </xf>
    <xf numFmtId="1" fontId="0" fillId="0" borderId="7" pivotButton="0" quotePrefix="0" xfId="0"/>
    <xf numFmtId="170" fontId="2" fillId="0" borderId="0" pivotButton="0" quotePrefix="0" xfId="0"/>
    <xf numFmtId="165" fontId="2" fillId="0" borderId="0" pivotButton="0" quotePrefix="0" xfId="0"/>
    <xf numFmtId="165" fontId="41" fillId="0" borderId="0" pivotButton="0" quotePrefix="0" xfId="0"/>
    <xf numFmtId="1" fontId="42" fillId="0" borderId="0" pivotButton="0" quotePrefix="0" xfId="0"/>
    <xf numFmtId="0" fontId="42" fillId="0" borderId="0" pivotButton="0" quotePrefix="0" xfId="0"/>
    <xf numFmtId="0" fontId="42" fillId="0" borderId="0" applyAlignment="1" pivotButton="0" quotePrefix="0" xfId="0">
      <alignment horizontal="center"/>
    </xf>
    <xf numFmtId="2" fontId="42" fillId="0" borderId="0" applyAlignment="1" pivotButton="0" quotePrefix="0" xfId="0">
      <alignment horizontal="center"/>
    </xf>
    <xf numFmtId="2" fontId="42" fillId="0" borderId="0" applyAlignment="1" pivotButton="0" quotePrefix="0" xfId="2">
      <alignment horizontal="center"/>
    </xf>
    <xf numFmtId="167" fontId="42" fillId="0" borderId="0" applyAlignment="1" pivotButton="0" quotePrefix="0" xfId="2">
      <alignment horizontal="center"/>
    </xf>
    <xf numFmtId="0" fontId="43" fillId="5" borderId="7" applyAlignment="1" pivotButton="0" quotePrefix="0" xfId="0">
      <alignment horizontal="right" vertical="center"/>
    </xf>
    <xf numFmtId="0" fontId="43" fillId="5" borderId="0" applyAlignment="1" pivotButton="0" quotePrefix="0" xfId="0">
      <alignment vertical="center"/>
    </xf>
    <xf numFmtId="0" fontId="43" fillId="5" borderId="15" applyAlignment="1" pivotButton="0" quotePrefix="0" xfId="0">
      <alignment horizontal="right" vertical="center"/>
    </xf>
    <xf numFmtId="0" fontId="43" fillId="5" borderId="16" applyAlignment="1" pivotButton="0" quotePrefix="0" xfId="0">
      <alignment vertical="center"/>
    </xf>
    <xf numFmtId="0" fontId="45" fillId="5" borderId="17" applyAlignment="1" pivotButton="0" quotePrefix="0" xfId="0">
      <alignment vertical="center"/>
    </xf>
    <xf numFmtId="0" fontId="45" fillId="5" borderId="4" applyAlignment="1" pivotButton="0" quotePrefix="1" xfId="0">
      <alignment vertical="center"/>
    </xf>
    <xf numFmtId="0" fontId="45" fillId="5" borderId="18" applyAlignment="1" pivotButton="0" quotePrefix="0" xfId="0">
      <alignment vertical="center"/>
    </xf>
    <xf numFmtId="1" fontId="43" fillId="5" borderId="15" applyAlignment="1" pivotButton="0" quotePrefix="0" xfId="0">
      <alignment horizontal="right" vertical="center"/>
    </xf>
    <xf numFmtId="0" fontId="43" fillId="5" borderId="19" applyAlignment="1" pivotButton="0" quotePrefix="0" xfId="0">
      <alignment horizontal="right" vertical="center"/>
    </xf>
    <xf numFmtId="1" fontId="43" fillId="5" borderId="20" applyAlignment="1" pivotButton="0" quotePrefix="0" xfId="0">
      <alignment horizontal="center" vertical="center"/>
    </xf>
    <xf numFmtId="0" fontId="45" fillId="5" borderId="21" applyAlignment="1" pivotButton="0" quotePrefix="0" xfId="0">
      <alignment vertical="center"/>
    </xf>
    <xf numFmtId="0" fontId="43" fillId="5" borderId="22" applyAlignment="1" pivotButton="0" quotePrefix="0" xfId="0">
      <alignment horizontal="right" vertical="center"/>
    </xf>
    <xf numFmtId="1" fontId="43" fillId="5" borderId="23" applyAlignment="1" pivotButton="0" quotePrefix="0" xfId="0">
      <alignment horizontal="left" vertical="center"/>
    </xf>
    <xf numFmtId="1" fontId="43" fillId="5" borderId="24" applyAlignment="1" pivotButton="0" quotePrefix="0" xfId="0">
      <alignment horizontal="right" vertical="center"/>
    </xf>
    <xf numFmtId="0" fontId="43" fillId="5" borderId="25" applyAlignment="1" pivotButton="0" quotePrefix="0" xfId="0">
      <alignment vertical="center"/>
    </xf>
    <xf numFmtId="0" fontId="43" fillId="5" borderId="26" applyAlignment="1" pivotButton="0" quotePrefix="0" xfId="0">
      <alignment horizontal="right" vertical="center"/>
    </xf>
    <xf numFmtId="1" fontId="43" fillId="5" borderId="27" applyAlignment="1" pivotButton="0" quotePrefix="0" xfId="0">
      <alignment horizontal="center" vertical="center"/>
    </xf>
    <xf numFmtId="0" fontId="45" fillId="5" borderId="28" applyAlignment="1" pivotButton="0" quotePrefix="0" xfId="0">
      <alignment vertical="center"/>
    </xf>
    <xf numFmtId="165" fontId="42" fillId="0" borderId="0" pivotButton="0" quotePrefix="0" xfId="0"/>
    <xf numFmtId="0" fontId="2" fillId="0" borderId="0" applyAlignment="1" pivotButton="0" quotePrefix="0" xfId="0">
      <alignment horizontal="right"/>
    </xf>
    <xf numFmtId="1" fontId="2" fillId="0" borderId="0" applyAlignment="1" pivotButton="0" quotePrefix="0" xfId="0">
      <alignment horizontal="left"/>
    </xf>
    <xf numFmtId="1" fontId="2" fillId="0" borderId="0" applyAlignment="1" pivotButton="0" quotePrefix="0" xfId="0">
      <alignment horizontal="right"/>
    </xf>
    <xf numFmtId="1" fontId="2" fillId="0" borderId="0" applyAlignment="1" pivotButton="0" quotePrefix="0" xfId="0">
      <alignment horizontal="center"/>
    </xf>
    <xf numFmtId="0" fontId="42" fillId="5" borderId="8" pivotButton="0" quotePrefix="0" xfId="0"/>
    <xf numFmtId="1" fontId="42" fillId="5" borderId="0" applyAlignment="1" pivotButton="0" quotePrefix="0" xfId="0">
      <alignment horizontal="left" vertical="top" wrapText="1"/>
    </xf>
    <xf numFmtId="1" fontId="42" fillId="5" borderId="8" applyAlignment="1" pivotButton="0" quotePrefix="0" xfId="0">
      <alignment horizontal="left" vertical="top" wrapText="1"/>
    </xf>
    <xf numFmtId="1" fontId="24"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171" fontId="0" fillId="0" borderId="0" pivotButton="0" quotePrefix="0" xfId="0"/>
    <xf numFmtId="1" fontId="0" fillId="5" borderId="13" pivotButton="0" quotePrefix="0" xfId="0"/>
    <xf numFmtId="0" fontId="2" fillId="5" borderId="14" applyAlignment="1" pivotButton="0" quotePrefix="0" xfId="0">
      <alignment horizontal="left" vertical="top" wrapText="1"/>
    </xf>
    <xf numFmtId="165" fontId="2" fillId="0" borderId="0" applyAlignment="1" pivotButton="0" quotePrefix="0" xfId="0">
      <alignment horizontal="left" vertical="top" wrapText="1"/>
    </xf>
    <xf numFmtId="0" fontId="28" fillId="0" borderId="0" applyAlignment="1" pivotButton="0" quotePrefix="0" xfId="0">
      <alignment horizontal="left" vertical="top" wrapText="1"/>
    </xf>
    <xf numFmtId="0" fontId="28" fillId="0" borderId="0" pivotButton="0" quotePrefix="0" xfId="0"/>
    <xf numFmtId="0" fontId="9" fillId="0" borderId="0" applyAlignment="1" pivotButton="0" quotePrefix="0" xfId="0">
      <alignment horizontal="left" vertical="top" wrapText="1"/>
    </xf>
    <xf numFmtId="172" fontId="2" fillId="0" borderId="0" applyAlignment="1" pivotButton="0" quotePrefix="0" xfId="0">
      <alignment horizontal="center"/>
    </xf>
    <xf numFmtId="0" fontId="2" fillId="0" borderId="0" applyAlignment="1" pivotButton="0" quotePrefix="0" xfId="0">
      <alignment horizontal="left"/>
    </xf>
    <xf numFmtId="49" fontId="2" fillId="0" borderId="0" applyAlignment="1" pivotButton="0" quotePrefix="0" xfId="0">
      <alignment horizontal="center"/>
    </xf>
    <xf numFmtId="2" fontId="2" fillId="0" borderId="0" applyAlignment="1" pivotButton="0" quotePrefix="0" xfId="0">
      <alignment horizontal="center"/>
    </xf>
    <xf numFmtId="2" fontId="2" fillId="0" borderId="0" applyAlignment="1" pivotButton="0" quotePrefix="0" xfId="2">
      <alignment horizontal="center"/>
    </xf>
    <xf numFmtId="167" fontId="2" fillId="0" borderId="0" applyAlignment="1" pivotButton="0" quotePrefix="0" xfId="2">
      <alignment horizontal="center"/>
    </xf>
    <xf numFmtId="0" fontId="16" fillId="0" borderId="0" applyAlignment="1" pivotButton="0" quotePrefix="0" xfId="0">
      <alignment horizontal="left" vertical="top" wrapText="1"/>
    </xf>
    <xf numFmtId="0" fontId="16" fillId="0" borderId="0" pivotButton="0" quotePrefix="0" xfId="0"/>
    <xf numFmtId="0" fontId="29" fillId="0" borderId="0" pivotButton="0" quotePrefix="0" xfId="0"/>
    <xf numFmtId="0" fontId="30" fillId="0" borderId="0" pivotButton="0" quotePrefix="0" xfId="0"/>
    <xf numFmtId="2" fontId="0" fillId="0" borderId="0" pivotButton="0" quotePrefix="0" xfId="2"/>
    <xf numFmtId="168" fontId="0" fillId="0" borderId="0" pivotButton="0" quotePrefix="0" xfId="2"/>
    <xf numFmtId="0" fontId="20" fillId="0" borderId="0" applyAlignment="1" pivotButton="0" quotePrefix="0" xfId="0">
      <alignment horizontal="center" vertical="top" wrapText="1"/>
    </xf>
    <xf numFmtId="0" fontId="20" fillId="0" borderId="0" applyAlignment="1" pivotButton="0" quotePrefix="0" xfId="0">
      <alignment horizontal="center"/>
    </xf>
    <xf numFmtId="0" fontId="31" fillId="0" borderId="0" applyAlignment="1" pivotButton="0" quotePrefix="0" xfId="0">
      <alignment horizontal="center"/>
    </xf>
    <xf numFmtId="2" fontId="0" fillId="0" borderId="0" pivotButton="0" quotePrefix="0" xfId="2"/>
    <xf numFmtId="168" fontId="0" fillId="0" borderId="0" pivotButton="0" quotePrefix="0" xfId="2"/>
    <xf numFmtId="0" fontId="18" fillId="0" borderId="0" applyAlignment="1" pivotButton="0" quotePrefix="0" xfId="0">
      <alignment horizontal="center"/>
    </xf>
    <xf numFmtId="0" fontId="35" fillId="0" borderId="0" applyAlignment="1" pivotButton="0" quotePrefix="0" xfId="0">
      <alignment horizontal="right"/>
    </xf>
    <xf numFmtId="1" fontId="0" fillId="0" borderId="0" applyAlignment="1" pivotButton="0" quotePrefix="0" xfId="0">
      <alignment horizontal="right"/>
    </xf>
    <xf numFmtId="1" fontId="0" fillId="0" borderId="0" applyAlignment="1" pivotButton="0" quotePrefix="0" xfId="0">
      <alignment horizontal="left"/>
    </xf>
    <xf numFmtId="1" fontId="2" fillId="0" borderId="0" applyAlignment="1" pivotButton="0" quotePrefix="0" xfId="0">
      <alignment horizontal="left" vertical="top" wrapText="1"/>
    </xf>
    <xf numFmtId="1" fontId="2" fillId="0" borderId="0" pivotButton="0" quotePrefix="0" xfId="0"/>
    <xf numFmtId="0" fontId="3" fillId="0" borderId="22" applyAlignment="1" pivotButton="0" quotePrefix="0" xfId="0">
      <alignment horizontal="center"/>
    </xf>
    <xf numFmtId="0" fontId="3" fillId="0" borderId="23" applyAlignment="1" pivotButton="0" quotePrefix="0" xfId="0">
      <alignment horizontal="center"/>
    </xf>
    <xf numFmtId="0" fontId="7" fillId="0" borderId="0" applyAlignment="1" pivotButton="0" quotePrefix="0" xfId="0">
      <alignment horizontal="center" vertical="center"/>
    </xf>
    <xf numFmtId="0" fontId="7" fillId="3" borderId="1" applyAlignment="1" pivotButton="0" quotePrefix="0" xfId="0">
      <alignment horizontal="center" vertical="center"/>
    </xf>
    <xf numFmtId="165" fontId="7" fillId="0" borderId="0" applyAlignment="1" pivotButton="0" quotePrefix="1" xfId="0">
      <alignment horizontal="center" vertical="center"/>
    </xf>
    <xf numFmtId="164" fontId="7" fillId="0" borderId="0" applyAlignment="1" pivotButton="0" quotePrefix="0" xfId="0">
      <alignment horizontal="center" vertical="center"/>
    </xf>
    <xf numFmtId="0" fontId="7" fillId="0" borderId="0" applyAlignment="1" pivotButton="0" quotePrefix="1" xfId="0">
      <alignment horizontal="center" vertical="center"/>
    </xf>
    <xf numFmtId="0" fontId="7" fillId="0" borderId="13" applyAlignment="1" pivotButton="0" quotePrefix="0" xfId="0">
      <alignment horizontal="center" vertical="center"/>
    </xf>
    <xf numFmtId="0" fontId="0" fillId="0" borderId="23" pivotButton="0" quotePrefix="0" xfId="0"/>
    <xf numFmtId="165" fontId="9" fillId="0" borderId="0" applyAlignment="1" pivotButton="0" quotePrefix="0" xfId="0">
      <alignment horizontal="center" vertical="top" wrapText="1"/>
    </xf>
    <xf numFmtId="164" fontId="0" fillId="0" borderId="0" applyAlignment="1" pivotButton="0" quotePrefix="1" xfId="0">
      <alignment horizontal="center"/>
    </xf>
    <xf numFmtId="0" fontId="0" fillId="0" borderId="13" pivotButton="0" quotePrefix="0" xfId="0"/>
    <xf numFmtId="1" fontId="0" fillId="2" borderId="29" applyAlignment="1" applyProtection="1" pivotButton="0" quotePrefix="0" xfId="0">
      <alignment horizontal="center"/>
      <protection locked="0" hidden="0"/>
    </xf>
    <xf numFmtId="1" fontId="20" fillId="6" borderId="30" applyAlignment="1" pivotButton="0" quotePrefix="0" xfId="0">
      <alignment horizontal="center"/>
    </xf>
    <xf numFmtId="1" fontId="42" fillId="7" borderId="31" applyAlignment="1" pivotButton="0" quotePrefix="0" xfId="0">
      <alignment horizontal="center" vertical="center" wrapText="1"/>
    </xf>
    <xf numFmtId="1" fontId="42" fillId="7" borderId="32" applyAlignment="1" pivotButton="0" quotePrefix="0" xfId="0">
      <alignment horizontal="center" vertical="center" wrapText="1"/>
    </xf>
    <xf numFmtId="1" fontId="0" fillId="2" borderId="33" applyAlignment="1" applyProtection="1" pivotButton="0" quotePrefix="0" xfId="0">
      <alignment horizontal="center"/>
      <protection locked="0" hidden="0"/>
    </xf>
    <xf numFmtId="1" fontId="0" fillId="2" borderId="16" applyAlignment="1" applyProtection="1" pivotButton="0" quotePrefix="0" xfId="0">
      <alignment horizontal="center"/>
      <protection locked="0" hidden="0"/>
    </xf>
    <xf numFmtId="1" fontId="0" fillId="2" borderId="25" applyAlignment="1" applyProtection="1" pivotButton="0" quotePrefix="0" xfId="0">
      <alignment horizontal="center"/>
      <protection locked="0" hidden="0"/>
    </xf>
    <xf numFmtId="0" fontId="41" fillId="7" borderId="9" applyAlignment="1" pivotButton="0" quotePrefix="0" xfId="0">
      <alignment horizontal="center" vertical="center"/>
    </xf>
    <xf numFmtId="0" fontId="52" fillId="0" borderId="0" applyAlignment="1" pivotButton="0" quotePrefix="0" xfId="0">
      <alignment horizontal="center" vertical="top" wrapText="1"/>
    </xf>
    <xf numFmtId="0" fontId="9" fillId="0" borderId="0" applyAlignment="1" pivotButton="0" quotePrefix="0" xfId="0">
      <alignment horizontal="right"/>
    </xf>
    <xf numFmtId="0" fontId="0" fillId="0" borderId="0" applyAlignment="1" pivotButton="0" quotePrefix="0" xfId="0">
      <alignment vertical="top"/>
    </xf>
    <xf numFmtId="0" fontId="0" fillId="0" borderId="9" applyAlignment="1" pivotButton="0" quotePrefix="0" xfId="0">
      <alignment vertical="top" wrapText="1"/>
    </xf>
    <xf numFmtId="0" fontId="0" fillId="0" borderId="7" pivotButton="0" quotePrefix="0" xfId="0"/>
    <xf numFmtId="0" fontId="0" fillId="0" borderId="8" pivotButton="0" quotePrefix="0" xfId="0"/>
    <xf numFmtId="0" fontId="0" fillId="0" borderId="22" pivotButton="0" quotePrefix="0" xfId="0"/>
    <xf numFmtId="0" fontId="0" fillId="0" borderId="28" pivotButton="0" quotePrefix="0" xfId="0"/>
    <xf numFmtId="1" fontId="45" fillId="5" borderId="23" pivotButton="0" quotePrefix="0" xfId="0"/>
    <xf numFmtId="1" fontId="43" fillId="5" borderId="35" applyAlignment="1" pivotButton="0" quotePrefix="0" xfId="0">
      <alignment horizontal="right"/>
    </xf>
    <xf numFmtId="1" fontId="43" fillId="5" borderId="36" applyAlignment="1" pivotButton="0" quotePrefix="0" xfId="0">
      <alignment horizontal="right"/>
    </xf>
    <xf numFmtId="49" fontId="0" fillId="0" borderId="0" applyAlignment="1" pivotButton="0" quotePrefix="0" xfId="0">
      <alignment horizontal="center" vertical="top" wrapText="1"/>
    </xf>
    <xf numFmtId="0" fontId="0" fillId="8" borderId="35" pivotButton="0" quotePrefix="0" xfId="0"/>
    <xf numFmtId="0" fontId="0" fillId="8" borderId="37" pivotButton="0" quotePrefix="0" xfId="0"/>
    <xf numFmtId="0" fontId="0" fillId="8" borderId="36" pivotButton="0" quotePrefix="0" xfId="0"/>
    <xf numFmtId="0" fontId="34" fillId="0" borderId="0" applyAlignment="1" pivotButton="0" quotePrefix="0" xfId="0">
      <alignment horizontal="center" vertical="top" wrapText="1"/>
    </xf>
    <xf numFmtId="0" fontId="0" fillId="9" borderId="0" pivotButton="0" quotePrefix="0" xfId="0"/>
    <xf numFmtId="0" fontId="43" fillId="0" borderId="0" applyAlignment="1" pivotButton="0" quotePrefix="0" xfId="0">
      <alignment horizontal="right" vertical="center"/>
    </xf>
    <xf numFmtId="1" fontId="43" fillId="0" borderId="0" applyAlignment="1" pivotButton="0" quotePrefix="0" xfId="0">
      <alignment horizontal="left" vertical="center"/>
    </xf>
    <xf numFmtId="1" fontId="43" fillId="0" borderId="0" applyAlignment="1" pivotButton="0" quotePrefix="0" xfId="0">
      <alignment horizontal="right" vertical="center"/>
    </xf>
    <xf numFmtId="0" fontId="43" fillId="0" borderId="0" applyAlignment="1" pivotButton="0" quotePrefix="0" xfId="0">
      <alignment vertical="center"/>
    </xf>
    <xf numFmtId="1" fontId="43" fillId="0" borderId="0" applyAlignment="1" pivotButton="0" quotePrefix="0" xfId="0">
      <alignment horizontal="center" vertical="center"/>
    </xf>
    <xf numFmtId="0" fontId="45" fillId="0" borderId="0" applyAlignment="1" pivotButton="0" quotePrefix="0" xfId="0">
      <alignment vertical="center"/>
    </xf>
    <xf numFmtId="0" fontId="42" fillId="0" borderId="1" applyAlignment="1" pivotButton="0" quotePrefix="0" xfId="0">
      <alignment horizontal="center"/>
    </xf>
    <xf numFmtId="3" fontId="42" fillId="0" borderId="1" applyAlignment="1" pivotButton="0" quotePrefix="0" xfId="0">
      <alignment horizontal="center"/>
    </xf>
    <xf numFmtId="49" fontId="42" fillId="0" borderId="1" applyAlignment="1" pivotButton="0" quotePrefix="0" xfId="0">
      <alignment horizontal="center"/>
    </xf>
    <xf numFmtId="0" fontId="42" fillId="0" borderId="38" applyAlignment="1" pivotButton="0" quotePrefix="0" xfId="0">
      <alignment horizontal="center"/>
    </xf>
    <xf numFmtId="0" fontId="42" fillId="0" borderId="39" applyAlignment="1" pivotButton="0" quotePrefix="0" xfId="0">
      <alignment horizontal="center"/>
    </xf>
    <xf numFmtId="0" fontId="42" fillId="0" borderId="40" applyAlignment="1" pivotButton="0" quotePrefix="0" xfId="0">
      <alignment horizontal="center"/>
    </xf>
    <xf numFmtId="0" fontId="42" fillId="0" borderId="2" applyAlignment="1" pivotButton="0" quotePrefix="0" xfId="0">
      <alignment horizontal="center"/>
    </xf>
    <xf numFmtId="49" fontId="42" fillId="0" borderId="2" applyAlignment="1" pivotButton="0" quotePrefix="0" xfId="0">
      <alignment horizontal="center"/>
    </xf>
    <xf numFmtId="0" fontId="42" fillId="0" borderId="41" applyAlignment="1" pivotButton="0" quotePrefix="0" xfId="0">
      <alignment horizontal="center"/>
    </xf>
    <xf numFmtId="0" fontId="54" fillId="5" borderId="42" applyAlignment="1" pivotButton="0" quotePrefix="0" xfId="0">
      <alignment horizontal="center" vertical="center"/>
    </xf>
    <xf numFmtId="0" fontId="54" fillId="5" borderId="31" applyAlignment="1" pivotButton="0" quotePrefix="0" xfId="0">
      <alignment horizontal="center" vertical="center"/>
    </xf>
    <xf numFmtId="0" fontId="54" fillId="5" borderId="43" applyAlignment="1" pivotButton="0" quotePrefix="0" xfId="0">
      <alignment horizontal="center" vertical="center"/>
    </xf>
    <xf numFmtId="1" fontId="41" fillId="2" borderId="35" applyAlignment="1" applyProtection="1" pivotButton="0" quotePrefix="1" xfId="0">
      <alignment horizontal="center" vertical="center"/>
      <protection locked="0" hidden="0"/>
    </xf>
    <xf numFmtId="0" fontId="39" fillId="0" borderId="0" pivotButton="0" quotePrefix="0" xfId="0"/>
    <xf numFmtId="1" fontId="41" fillId="2" borderId="36" applyAlignment="1" applyProtection="1" pivotButton="0" quotePrefix="0" xfId="0">
      <alignment horizontal="center" vertical="center"/>
      <protection locked="0" hidden="0"/>
    </xf>
    <xf numFmtId="0" fontId="41" fillId="2" borderId="9" applyAlignment="1" applyProtection="1" pivotButton="0" quotePrefix="0" xfId="0">
      <alignment horizontal="center" vertical="center"/>
      <protection locked="0" hidden="0"/>
    </xf>
    <xf numFmtId="0" fontId="41" fillId="10" borderId="28" applyAlignment="1" pivotButton="0" quotePrefix="0" xfId="0">
      <alignment horizontal="left" vertical="center"/>
    </xf>
    <xf numFmtId="0" fontId="43" fillId="7" borderId="30" pivotButton="0" quotePrefix="0" xfId="0"/>
    <xf numFmtId="0" fontId="43" fillId="7" borderId="37" pivotButton="0" quotePrefix="0" xfId="0"/>
    <xf numFmtId="0" fontId="43" fillId="7" borderId="36" pivotButton="0" quotePrefix="0" xfId="0"/>
    <xf numFmtId="0" fontId="56" fillId="3" borderId="1" applyAlignment="1" pivotButton="0" quotePrefix="0" xfId="0">
      <alignment horizontal="center" vertical="center" wrapText="1"/>
    </xf>
    <xf numFmtId="165" fontId="56" fillId="3" borderId="1" applyAlignment="1" pivotButton="0" quotePrefix="0" xfId="0">
      <alignment horizontal="center" vertical="center" wrapText="1"/>
    </xf>
    <xf numFmtId="0" fontId="0" fillId="0" borderId="44" applyAlignment="1" pivotButton="0" quotePrefix="0" xfId="0">
      <alignment horizontal="center" vertical="center" wrapText="1"/>
    </xf>
    <xf numFmtId="0" fontId="7" fillId="0" borderId="44" applyAlignment="1" pivotButton="0" quotePrefix="0" xfId="0">
      <alignment horizontal="center" vertical="center"/>
    </xf>
    <xf numFmtId="1" fontId="55" fillId="4" borderId="13" applyAlignment="1" pivotButton="0" quotePrefix="0" xfId="0">
      <alignment horizontal="left"/>
    </xf>
    <xf numFmtId="165" fontId="39" fillId="4" borderId="13" pivotButton="0" quotePrefix="0" xfId="0"/>
    <xf numFmtId="1" fontId="39" fillId="4" borderId="13" pivotButton="0" quotePrefix="0" xfId="0"/>
    <xf numFmtId="1" fontId="39" fillId="4" borderId="14" pivotButton="0" quotePrefix="0" xfId="0"/>
    <xf numFmtId="0" fontId="57" fillId="4" borderId="7" applyAlignment="1" pivotButton="0" quotePrefix="0" xfId="0">
      <alignment horizontal="right"/>
    </xf>
    <xf numFmtId="1" fontId="39" fillId="4" borderId="0" pivotButton="0" quotePrefix="0" xfId="0"/>
    <xf numFmtId="165" fontId="39" fillId="4" borderId="0" pivotButton="0" quotePrefix="0" xfId="0"/>
    <xf numFmtId="1" fontId="39" fillId="4" borderId="8" pivotButton="0" quotePrefix="0" xfId="0"/>
    <xf numFmtId="1" fontId="39" fillId="4" borderId="23" pivotButton="0" quotePrefix="0" xfId="0"/>
    <xf numFmtId="165" fontId="39" fillId="4" borderId="23" pivotButton="0" quotePrefix="0" xfId="0"/>
    <xf numFmtId="0" fontId="41" fillId="4" borderId="42" applyAlignment="1" pivotButton="0" quotePrefix="0" xfId="0">
      <alignment horizontal="center" vertical="center" wrapText="1"/>
    </xf>
    <xf numFmtId="1" fontId="58" fillId="4" borderId="9" applyAlignment="1" pivotButton="0" quotePrefix="0" xfId="0">
      <alignment horizontal="center" vertical="center" wrapText="1"/>
    </xf>
    <xf numFmtId="0" fontId="41" fillId="4" borderId="7" applyAlignment="1" pivotButton="0" quotePrefix="0" xfId="0">
      <alignment horizontal="right" vertical="center"/>
    </xf>
    <xf numFmtId="1" fontId="59" fillId="4" borderId="6" applyAlignment="1" pivotButton="0" quotePrefix="0" xfId="0">
      <alignment horizontal="center" vertical="center" wrapText="1"/>
    </xf>
    <xf numFmtId="0" fontId="41" fillId="4" borderId="7" pivotButton="0" quotePrefix="0" xfId="0"/>
    <xf numFmtId="0" fontId="42" fillId="4" borderId="7" pivotButton="0" quotePrefix="0" xfId="0"/>
    <xf numFmtId="1" fontId="42" fillId="4" borderId="0" pivotButton="0" quotePrefix="0" xfId="0"/>
    <xf numFmtId="0" fontId="41" fillId="4" borderId="0" applyAlignment="1" pivotButton="0" quotePrefix="0" xfId="0">
      <alignment horizontal="right"/>
    </xf>
    <xf numFmtId="1" fontId="41" fillId="4" borderId="13" applyAlignment="1" pivotButton="0" quotePrefix="0" xfId="0">
      <alignment horizontal="right"/>
    </xf>
    <xf numFmtId="1" fontId="41" fillId="4" borderId="42" applyAlignment="1" pivotButton="0" quotePrefix="0" xfId="0">
      <alignment horizontal="center" vertical="center"/>
    </xf>
    <xf numFmtId="1" fontId="41" fillId="4" borderId="31" applyAlignment="1" pivotButton="0" quotePrefix="0" xfId="0">
      <alignment horizontal="center" vertical="center"/>
    </xf>
    <xf numFmtId="1" fontId="41" fillId="2" borderId="43" applyAlignment="1" applyProtection="1" pivotButton="0" quotePrefix="0" xfId="0">
      <alignment horizontal="center" vertical="center"/>
      <protection locked="0" hidden="0"/>
    </xf>
    <xf numFmtId="1" fontId="41" fillId="4" borderId="0" pivotButton="0" quotePrefix="0" xfId="0"/>
    <xf numFmtId="1" fontId="41" fillId="4" borderId="13" applyAlignment="1" pivotButton="0" quotePrefix="0" xfId="0">
      <alignment horizontal="left"/>
    </xf>
    <xf numFmtId="165" fontId="42" fillId="4" borderId="13" pivotButton="0" quotePrefix="0" xfId="0"/>
    <xf numFmtId="1" fontId="42" fillId="4" borderId="13" pivotButton="0" quotePrefix="0" xfId="0"/>
    <xf numFmtId="1" fontId="42" fillId="4" borderId="14" pivotButton="0" quotePrefix="0" xfId="0"/>
    <xf numFmtId="0" fontId="58" fillId="4" borderId="7" applyAlignment="1" pivotButton="0" quotePrefix="0" xfId="0">
      <alignment horizontal="right"/>
    </xf>
    <xf numFmtId="165" fontId="42" fillId="4" borderId="0" pivotButton="0" quotePrefix="0" xfId="0"/>
    <xf numFmtId="1" fontId="42" fillId="4" borderId="8" pivotButton="0" quotePrefix="0" xfId="0"/>
    <xf numFmtId="1" fontId="42" fillId="4" borderId="23" pivotButton="0" quotePrefix="0" xfId="0"/>
    <xf numFmtId="165" fontId="42" fillId="4" borderId="23" pivotButton="0" quotePrefix="0" xfId="0"/>
    <xf numFmtId="1" fontId="39" fillId="0" borderId="0" pivotButton="0" quotePrefix="0" xfId="0"/>
    <xf numFmtId="165" fontId="39" fillId="0" borderId="0" pivotButton="0" quotePrefix="0" xfId="0"/>
    <xf numFmtId="1" fontId="41" fillId="10" borderId="12" applyAlignment="1" pivotButton="0" quotePrefix="0" xfId="0">
      <alignment horizontal="right"/>
    </xf>
    <xf numFmtId="0" fontId="41" fillId="10" borderId="45" applyAlignment="1" pivotButton="0" quotePrefix="0" xfId="0">
      <alignment horizontal="center"/>
    </xf>
    <xf numFmtId="1" fontId="41" fillId="10" borderId="13" pivotButton="0" quotePrefix="0" xfId="0"/>
    <xf numFmtId="1" fontId="41" fillId="10" borderId="13" applyAlignment="1" pivotButton="0" quotePrefix="0" xfId="0">
      <alignment horizontal="right"/>
    </xf>
    <xf numFmtId="1" fontId="41" fillId="10" borderId="46" applyAlignment="1" pivotButton="0" quotePrefix="0" xfId="0">
      <alignment horizontal="center"/>
    </xf>
    <xf numFmtId="1" fontId="41" fillId="10" borderId="22" applyAlignment="1" pivotButton="0" quotePrefix="0" xfId="0">
      <alignment horizontal="right"/>
    </xf>
    <xf numFmtId="1" fontId="41" fillId="10" borderId="23" pivotButton="0" quotePrefix="0" xfId="0"/>
    <xf numFmtId="1" fontId="41" fillId="10" borderId="23" applyAlignment="1" pivotButton="0" quotePrefix="0" xfId="0">
      <alignment horizontal="right"/>
    </xf>
    <xf numFmtId="164" fontId="39" fillId="0" borderId="0" applyAlignment="1" pivotButton="0" quotePrefix="0" xfId="0">
      <alignment horizontal="center"/>
    </xf>
    <xf numFmtId="0" fontId="60" fillId="10" borderId="6" applyAlignment="1" pivotButton="0" quotePrefix="0" xfId="0">
      <alignment horizontal="center" vertical="top" wrapText="1"/>
    </xf>
    <xf numFmtId="164" fontId="39" fillId="0" borderId="0" applyAlignment="1" pivotButton="0" quotePrefix="0" xfId="0">
      <alignment horizontal="center" vertical="center"/>
    </xf>
    <xf numFmtId="165" fontId="39" fillId="0" borderId="0" applyAlignment="1" pivotButton="0" quotePrefix="0" xfId="0">
      <alignment horizontal="center" vertical="center"/>
    </xf>
    <xf numFmtId="0" fontId="60" fillId="5" borderId="12" pivotButton="0" quotePrefix="0" xfId="0"/>
    <xf numFmtId="0" fontId="41" fillId="5" borderId="7" applyAlignment="1" pivotButton="0" quotePrefix="0" xfId="0">
      <alignment horizontal="right"/>
    </xf>
    <xf numFmtId="1" fontId="39" fillId="5" borderId="0" pivotButton="0" quotePrefix="0" xfId="0"/>
    <xf numFmtId="0" fontId="55" fillId="5" borderId="0" applyAlignment="1" pivotButton="0" quotePrefix="0" xfId="0">
      <alignment horizontal="left" vertical="top" wrapText="1"/>
    </xf>
    <xf numFmtId="0" fontId="55" fillId="5" borderId="8" applyAlignment="1" pivotButton="0" quotePrefix="0" xfId="0">
      <alignment horizontal="left" vertical="top" wrapText="1"/>
    </xf>
    <xf numFmtId="0" fontId="55" fillId="0" borderId="0" applyAlignment="1" pivotButton="0" quotePrefix="0" xfId="0">
      <alignment horizontal="left" vertical="top" wrapText="1"/>
    </xf>
    <xf numFmtId="165" fontId="55" fillId="0" borderId="0" applyAlignment="1" pivotButton="0" quotePrefix="0" xfId="0">
      <alignment horizontal="left" vertical="top" wrapText="1"/>
    </xf>
    <xf numFmtId="1" fontId="55" fillId="5" borderId="0" pivotButton="0" quotePrefix="0" xfId="0"/>
    <xf numFmtId="1" fontId="41" fillId="5" borderId="38" applyAlignment="1" pivotButton="0" quotePrefix="0" xfId="0">
      <alignment horizontal="center" vertical="center" wrapText="1"/>
    </xf>
    <xf numFmtId="1" fontId="41" fillId="5" borderId="1" applyAlignment="1" pivotButton="0" quotePrefix="0" xfId="0">
      <alignment horizontal="center" vertical="center" wrapText="1"/>
    </xf>
    <xf numFmtId="0" fontId="41" fillId="5" borderId="1" applyAlignment="1" pivotButton="0" quotePrefix="0" xfId="0">
      <alignment horizontal="center" vertical="center" wrapText="1"/>
    </xf>
    <xf numFmtId="165" fontId="41" fillId="5" borderId="1" applyAlignment="1" pivotButton="0" quotePrefix="0" xfId="0">
      <alignment horizontal="center" vertical="center" wrapText="1"/>
    </xf>
    <xf numFmtId="0" fontId="41" fillId="10" borderId="46" applyAlignment="1" pivotButton="0" quotePrefix="0" xfId="0">
      <alignment horizontal="center" vertical="center" wrapText="1"/>
    </xf>
    <xf numFmtId="0" fontId="39" fillId="5" borderId="38" applyAlignment="1" pivotButton="0" quotePrefix="0" xfId="0">
      <alignment horizontal="center"/>
    </xf>
    <xf numFmtId="165" fontId="55" fillId="10" borderId="39" applyAlignment="1" pivotButton="0" quotePrefix="0" xfId="0">
      <alignment horizontal="center" vertical="top" wrapText="1"/>
    </xf>
    <xf numFmtId="0" fontId="55" fillId="10" borderId="39" applyAlignment="1" pivotButton="0" quotePrefix="0" xfId="0">
      <alignment horizontal="center" vertical="top" wrapText="1"/>
    </xf>
    <xf numFmtId="1" fontId="39" fillId="5" borderId="23" pivotButton="0" quotePrefix="0" xfId="0"/>
    <xf numFmtId="1" fontId="39" fillId="11" borderId="0" pivotButton="0" quotePrefix="0" xfId="0"/>
    <xf numFmtId="0" fontId="58" fillId="0" borderId="0" applyAlignment="1" pivotButton="0" quotePrefix="0" xfId="0">
      <alignment horizontal="center"/>
    </xf>
    <xf numFmtId="0" fontId="58" fillId="0" borderId="0" applyAlignment="1" pivotButton="0" quotePrefix="0" xfId="0">
      <alignment horizontal="right"/>
    </xf>
    <xf numFmtId="1" fontId="55" fillId="5" borderId="9" applyAlignment="1" pivotButton="0" quotePrefix="0" xfId="0">
      <alignment horizontal="center" vertical="center" wrapText="1"/>
    </xf>
    <xf numFmtId="1" fontId="55" fillId="0" borderId="0" applyAlignment="1" pivotButton="0" quotePrefix="0" xfId="0">
      <alignment horizontal="center" vertical="top" wrapText="1"/>
    </xf>
    <xf numFmtId="1" fontId="55" fillId="10" borderId="9" applyAlignment="1" pivotButton="0" quotePrefix="0" xfId="0">
      <alignment horizontal="center" vertical="center" wrapText="1"/>
    </xf>
    <xf numFmtId="0" fontId="60" fillId="4" borderId="12" applyAlignment="1" pivotButton="0" quotePrefix="0" xfId="0">
      <alignment vertical="center"/>
    </xf>
    <xf numFmtId="1" fontId="41" fillId="10" borderId="9" applyAlignment="1" pivotButton="0" quotePrefix="0" xfId="0">
      <alignment horizontal="center" vertical="center"/>
    </xf>
    <xf numFmtId="0" fontId="0" fillId="2" borderId="0" pivotButton="0" quotePrefix="0" xfId="0"/>
    <xf numFmtId="0" fontId="62" fillId="2" borderId="0" pivotButton="0" quotePrefix="0" xfId="0"/>
    <xf numFmtId="0" fontId="2" fillId="2" borderId="9" applyAlignment="1" pivotButton="0" quotePrefix="0" xfId="0">
      <alignment horizontal="center" vertical="center"/>
    </xf>
    <xf numFmtId="0" fontId="61" fillId="2" borderId="35" applyAlignment="1" pivotButton="0" quotePrefix="0" xfId="0">
      <alignment horizontal="center" vertical="center"/>
    </xf>
    <xf numFmtId="0" fontId="61" fillId="2" borderId="37" applyAlignment="1" pivotButton="0" quotePrefix="0" xfId="0">
      <alignment horizontal="center" vertical="center"/>
    </xf>
    <xf numFmtId="0" fontId="0" fillId="2" borderId="10" pivotButton="0" quotePrefix="0" xfId="0"/>
    <xf numFmtId="0" fontId="0" fillId="2" borderId="5" pivotButton="0" quotePrefix="0" xfId="0"/>
    <xf numFmtId="0" fontId="0" fillId="2" borderId="6" pivotButton="0" quotePrefix="0" xfId="0"/>
    <xf numFmtId="0" fontId="0" fillId="2" borderId="22" pivotButton="0" quotePrefix="0" xfId="0"/>
    <xf numFmtId="0" fontId="0" fillId="2" borderId="23" pivotButton="0" quotePrefix="0" xfId="0"/>
    <xf numFmtId="0" fontId="0" fillId="2" borderId="28" pivotButton="0" quotePrefix="0" xfId="0"/>
    <xf numFmtId="0" fontId="0" fillId="2" borderId="23" applyAlignment="1" pivotButton="0" quotePrefix="0" xfId="0">
      <alignment horizontal="center" vertical="center" wrapText="1"/>
    </xf>
    <xf numFmtId="0" fontId="0" fillId="2" borderId="22" applyAlignment="1" pivotButton="0" quotePrefix="0" xfId="0">
      <alignment horizontal="center" vertical="center" wrapText="1"/>
    </xf>
    <xf numFmtId="0" fontId="0" fillId="2" borderId="28" applyAlignment="1" pivotButton="0" quotePrefix="0" xfId="0">
      <alignment horizontal="center" vertical="center" wrapText="1"/>
    </xf>
    <xf numFmtId="0" fontId="0" fillId="2" borderId="10" applyAlignment="1" pivotButton="0" quotePrefix="0" xfId="0">
      <alignment horizontal="center" vertical="center" wrapText="1"/>
    </xf>
    <xf numFmtId="0" fontId="0" fillId="2" borderId="5" applyAlignment="1" pivotButton="0" quotePrefix="0" xfId="0">
      <alignment horizontal="center" vertical="center" wrapText="1"/>
    </xf>
    <xf numFmtId="0" fontId="0" fillId="2" borderId="6" applyAlignment="1" pivotButton="0" quotePrefix="0" xfId="0">
      <alignment horizontal="center" vertical="center" wrapText="1"/>
    </xf>
    <xf numFmtId="0" fontId="1" fillId="0" borderId="0" applyAlignment="1" pivotButton="0" quotePrefix="0" xfId="0">
      <alignment vertical="top" wrapText="1"/>
    </xf>
    <xf numFmtId="1" fontId="63" fillId="0" borderId="0" applyAlignment="1" pivotButton="0" quotePrefix="0" xfId="0">
      <alignment vertical="center" wrapText="1"/>
    </xf>
    <xf numFmtId="1" fontId="48" fillId="0" borderId="0" applyProtection="1" pivotButton="0" quotePrefix="0" xfId="0">
      <protection locked="0" hidden="0"/>
    </xf>
    <xf numFmtId="0" fontId="43" fillId="12" borderId="6" applyAlignment="1" pivotButton="0" quotePrefix="0" xfId="0">
      <alignment horizontal="right"/>
    </xf>
    <xf numFmtId="1" fontId="41" fillId="4" borderId="0" applyAlignment="1" pivotButton="0" quotePrefix="0" xfId="0">
      <alignment horizontal="right"/>
    </xf>
    <xf numFmtId="1" fontId="7" fillId="3" borderId="19" applyAlignment="1" pivotButton="0" quotePrefix="1" xfId="0">
      <alignment horizontal="center" vertical="center"/>
    </xf>
    <xf numFmtId="0" fontId="9" fillId="6" borderId="1" applyAlignment="1" pivotButton="0" quotePrefix="0" xfId="0">
      <alignment horizontal="center"/>
    </xf>
    <xf numFmtId="0" fontId="55" fillId="11" borderId="47" applyAlignment="1" pivotButton="0" quotePrefix="0" xfId="0">
      <alignment horizontal="left" vertical="top" wrapText="1"/>
    </xf>
    <xf numFmtId="0" fontId="41" fillId="10" borderId="48" applyAlignment="1" pivotButton="0" quotePrefix="0" xfId="0">
      <alignment horizontal="center" vertical="center" wrapText="1"/>
    </xf>
    <xf numFmtId="0" fontId="55" fillId="2" borderId="38" applyAlignment="1" applyProtection="1" pivotButton="0" quotePrefix="0" xfId="0">
      <alignment horizontal="center" vertical="top" wrapText="1"/>
      <protection locked="0" hidden="0"/>
    </xf>
    <xf numFmtId="1" fontId="41" fillId="6" borderId="39" applyAlignment="1" pivotButton="0" quotePrefix="0" xfId="0">
      <alignment horizontal="center" vertical="center" wrapText="1"/>
    </xf>
    <xf numFmtId="1" fontId="55" fillId="8" borderId="41" applyAlignment="1" pivotButton="0" quotePrefix="0" xfId="0">
      <alignment horizontal="center" vertical="top" wrapText="1"/>
    </xf>
    <xf numFmtId="1" fontId="55" fillId="8" borderId="23" applyAlignment="1" pivotButton="0" quotePrefix="0" xfId="0">
      <alignment horizontal="right"/>
    </xf>
    <xf numFmtId="1" fontId="41" fillId="6" borderId="9" applyAlignment="1" pivotButton="0" quotePrefix="0" xfId="0">
      <alignment horizontal="center"/>
    </xf>
    <xf numFmtId="1" fontId="42" fillId="6" borderId="9" applyAlignment="1" pivotButton="0" quotePrefix="0" xfId="0">
      <alignment horizontal="center" vertical="center" wrapText="1"/>
    </xf>
    <xf numFmtId="1" fontId="41" fillId="4" borderId="10" applyAlignment="1" pivotButton="0" quotePrefix="0" xfId="0">
      <alignment horizontal="center" vertical="center"/>
    </xf>
    <xf numFmtId="1" fontId="41" fillId="4" borderId="32" applyAlignment="1" pivotButton="0" quotePrefix="0" xfId="0">
      <alignment horizontal="center" vertical="center"/>
    </xf>
    <xf numFmtId="1" fontId="43" fillId="4" borderId="49" applyAlignment="1" pivotButton="0" quotePrefix="0" xfId="0">
      <alignment horizontal="center"/>
    </xf>
    <xf numFmtId="0" fontId="11" fillId="0" borderId="0" applyAlignment="1" applyProtection="1" pivotButton="0" quotePrefix="0" xfId="0">
      <alignment horizontal="left"/>
      <protection locked="0" hidden="0"/>
    </xf>
    <xf numFmtId="1" fontId="40" fillId="7" borderId="1" applyAlignment="1" pivotButton="0" quotePrefix="0" xfId="0">
      <alignment horizontal="center" vertical="center"/>
    </xf>
    <xf numFmtId="1" fontId="43" fillId="4" borderId="29" applyAlignment="1" pivotButton="0" quotePrefix="0" xfId="0">
      <alignment horizontal="center" vertical="center"/>
    </xf>
    <xf numFmtId="1" fontId="7" fillId="10" borderId="9" applyAlignment="1" pivotButton="0" quotePrefix="0" xfId="0">
      <alignment horizontal="center" vertical="center"/>
    </xf>
    <xf numFmtId="0" fontId="2" fillId="0" borderId="0" applyAlignment="1" pivotButton="0" quotePrefix="0" xfId="0">
      <alignment horizontal="center" vertical="top" wrapText="1"/>
    </xf>
    <xf numFmtId="1" fontId="0" fillId="6" borderId="10" pivotButton="0" quotePrefix="0" xfId="0"/>
    <xf numFmtId="1" fontId="2" fillId="6" borderId="5" applyAlignment="1" pivotButton="0" quotePrefix="0" xfId="0">
      <alignment horizontal="right"/>
    </xf>
    <xf numFmtId="1" fontId="2" fillId="6" borderId="9" applyAlignment="1" pivotButton="0" quotePrefix="0" xfId="0">
      <alignment horizontal="center"/>
    </xf>
    <xf numFmtId="0" fontId="7" fillId="13" borderId="0" applyAlignment="1" pivotButton="0" quotePrefix="0" xfId="0">
      <alignment vertical="center"/>
    </xf>
    <xf numFmtId="1" fontId="7" fillId="13" borderId="0" applyAlignment="1" pivotButton="0" quotePrefix="0" xfId="0">
      <alignment vertical="center"/>
    </xf>
    <xf numFmtId="1" fontId="7" fillId="13" borderId="0" applyAlignment="1" pivotButton="0" quotePrefix="0" xfId="0">
      <alignment horizontal="left" vertical="center"/>
    </xf>
    <xf numFmtId="0" fontId="7" fillId="13" borderId="0" applyAlignment="1" pivotButton="0" quotePrefix="0" xfId="0">
      <alignment horizontal="left" vertical="center"/>
    </xf>
    <xf numFmtId="1" fontId="41" fillId="4" borderId="50" applyAlignment="1" pivotButton="0" quotePrefix="0" xfId="0">
      <alignment horizontal="center" vertical="center"/>
    </xf>
    <xf numFmtId="1" fontId="41" fillId="4" borderId="1" applyAlignment="1" pivotButton="0" quotePrefix="0" xfId="0">
      <alignment horizontal="center" vertical="center"/>
    </xf>
    <xf numFmtId="1" fontId="41" fillId="6" borderId="22" applyAlignment="1" pivotButton="0" quotePrefix="0" xfId="0">
      <alignment horizontal="center"/>
    </xf>
    <xf numFmtId="1" fontId="41" fillId="6" borderId="51" applyAlignment="1" pivotButton="0" quotePrefix="0" xfId="0">
      <alignment horizontal="center"/>
    </xf>
    <xf numFmtId="1" fontId="41" fillId="4" borderId="52" applyAlignment="1" pivotButton="0" quotePrefix="0" xfId="0">
      <alignment horizontal="center" vertical="center"/>
    </xf>
    <xf numFmtId="0" fontId="41" fillId="4" borderId="1" applyAlignment="1" pivotButton="0" quotePrefix="0" xfId="0">
      <alignment horizontal="right"/>
    </xf>
    <xf numFmtId="1" fontId="41" fillId="4" borderId="33" applyAlignment="1" pivotButton="0" quotePrefix="0" xfId="0">
      <alignment horizontal="center" vertical="center"/>
    </xf>
    <xf numFmtId="1" fontId="41" fillId="4" borderId="16" applyAlignment="1" pivotButton="0" quotePrefix="0" xfId="0">
      <alignment horizontal="center" vertical="center"/>
    </xf>
    <xf numFmtId="0" fontId="41" fillId="4" borderId="29" applyAlignment="1" pivotButton="0" quotePrefix="0" xfId="0">
      <alignment horizontal="right"/>
    </xf>
    <xf numFmtId="0" fontId="65" fillId="2" borderId="0" pivotButton="0" quotePrefix="0" xfId="1"/>
    <xf numFmtId="0" fontId="34" fillId="2" borderId="0" pivotButton="0" quotePrefix="0" xfId="0"/>
    <xf numFmtId="0" fontId="0" fillId="8" borderId="37" applyAlignment="1" pivotButton="0" quotePrefix="0" xfId="0">
      <alignment vertical="center"/>
    </xf>
    <xf numFmtId="0" fontId="2" fillId="8" borderId="9" applyAlignment="1" pivotButton="0" quotePrefix="0" xfId="0">
      <alignment horizontal="center" vertical="center"/>
    </xf>
    <xf numFmtId="0" fontId="0" fillId="8" borderId="22" applyAlignment="1" pivotButton="0" quotePrefix="0" xfId="0">
      <alignment horizontal="center" vertical="center"/>
    </xf>
    <xf numFmtId="0" fontId="0" fillId="8" borderId="30" applyAlignment="1" pivotButton="0" quotePrefix="0" xfId="0">
      <alignment vertical="center"/>
    </xf>
    <xf numFmtId="49" fontId="0" fillId="0" borderId="0" applyAlignment="1" pivotButton="0" quotePrefix="0" xfId="0">
      <alignment vertical="top" wrapText="1"/>
    </xf>
    <xf numFmtId="49" fontId="1" fillId="0" borderId="0" applyAlignment="1" pivotButton="0" quotePrefix="1" xfId="0">
      <alignment vertical="top" wrapText="1"/>
    </xf>
    <xf numFmtId="1" fontId="42" fillId="2" borderId="53" applyAlignment="1" applyProtection="1" pivotButton="0" quotePrefix="0" xfId="0">
      <alignment horizontal="center"/>
      <protection locked="0" hidden="0"/>
    </xf>
    <xf numFmtId="1" fontId="42" fillId="2" borderId="54" applyAlignment="1" applyProtection="1" pivotButton="0" quotePrefix="0" xfId="0">
      <alignment horizontal="center"/>
      <protection locked="0" hidden="0"/>
    </xf>
    <xf numFmtId="0" fontId="42" fillId="2" borderId="55" applyAlignment="1" applyProtection="1" pivotButton="0" quotePrefix="0" xfId="0">
      <alignment horizontal="center"/>
      <protection locked="0" hidden="0"/>
    </xf>
    <xf numFmtId="0" fontId="0" fillId="0" borderId="10" pivotButton="0" quotePrefix="0" xfId="0"/>
    <xf numFmtId="0" fontId="0" fillId="0" borderId="5" pivotButton="0" quotePrefix="0" xfId="0"/>
    <xf numFmtId="0" fontId="0" fillId="0" borderId="6" pivotButton="0" quotePrefix="0" xfId="0"/>
    <xf numFmtId="0" fontId="7" fillId="0" borderId="0" applyAlignment="1" pivotButton="0" quotePrefix="0" xfId="0">
      <alignment horizontal="right"/>
    </xf>
    <xf numFmtId="0" fontId="7" fillId="0" borderId="0" applyAlignment="1" pivotButton="0" quotePrefix="0" xfId="0">
      <alignment horizontal="left"/>
    </xf>
    <xf numFmtId="0" fontId="1" fillId="0" borderId="0" pivotButton="0" quotePrefix="0" xfId="0"/>
    <xf numFmtId="0" fontId="7" fillId="0" borderId="0" applyAlignment="1" pivotButton="0" quotePrefix="0" xfId="0">
      <alignment horizontal="left" vertical="top" wrapText="1"/>
    </xf>
    <xf numFmtId="0" fontId="15" fillId="0" borderId="0" applyAlignment="1" pivotButton="0" quotePrefix="0" xfId="0">
      <alignment horizontal="left"/>
    </xf>
    <xf numFmtId="0" fontId="1" fillId="0" borderId="0" applyAlignment="1" pivotButton="0" quotePrefix="0" xfId="0">
      <alignment horizontal="center" vertical="top" wrapText="1"/>
    </xf>
    <xf numFmtId="0" fontId="1" fillId="0" borderId="0" applyAlignment="1" pivotButton="0" quotePrefix="0" xfId="0">
      <alignment horizontal="left" vertical="top"/>
    </xf>
    <xf numFmtId="1" fontId="1" fillId="0" borderId="0" applyAlignment="1" pivotButton="0" quotePrefix="0" xfId="0">
      <alignment horizontal="center"/>
    </xf>
    <xf numFmtId="1" fontId="7" fillId="0" borderId="0" applyAlignment="1" pivotButton="0" quotePrefix="0" xfId="0">
      <alignment horizontal="right"/>
    </xf>
    <xf numFmtId="0" fontId="0" fillId="8" borderId="36" applyAlignment="1" pivotButton="0" quotePrefix="0" xfId="0">
      <alignment vertical="center"/>
    </xf>
    <xf numFmtId="0" fontId="0" fillId="8" borderId="51" pivotButton="0" quotePrefix="0" xfId="0"/>
    <xf numFmtId="0" fontId="0" fillId="9" borderId="0" applyAlignment="1" pivotButton="0" quotePrefix="0" xfId="0">
      <alignment vertical="top" wrapText="1"/>
    </xf>
    <xf numFmtId="1" fontId="41" fillId="4" borderId="29" applyAlignment="1" pivotButton="0" quotePrefix="0" xfId="0">
      <alignment horizontal="center" vertical="center"/>
    </xf>
    <xf numFmtId="1" fontId="58" fillId="4" borderId="5" applyAlignment="1" pivotButton="0" quotePrefix="0" xfId="0">
      <alignment horizontal="center" vertical="center" wrapText="1"/>
    </xf>
    <xf numFmtId="1" fontId="64" fillId="4" borderId="56" applyAlignment="1" pivotButton="0" quotePrefix="0" xfId="0">
      <alignment horizontal="center" vertical="center"/>
    </xf>
    <xf numFmtId="1" fontId="64" fillId="4" borderId="20" applyAlignment="1" pivotButton="0" quotePrefix="0" xfId="0">
      <alignment horizontal="center" vertical="center"/>
    </xf>
    <xf numFmtId="1" fontId="64" fillId="4" borderId="3" applyAlignment="1" pivotButton="0" quotePrefix="0" xfId="0">
      <alignment horizontal="center" vertical="center"/>
    </xf>
    <xf numFmtId="1" fontId="64" fillId="4" borderId="27" applyAlignment="1" pivotButton="0" quotePrefix="0" xfId="0">
      <alignment horizontal="center" vertical="center"/>
    </xf>
    <xf numFmtId="0" fontId="41" fillId="4" borderId="43" applyAlignment="1" pivotButton="0" quotePrefix="0" xfId="0">
      <alignment horizontal="center" vertical="center" wrapText="1"/>
    </xf>
    <xf numFmtId="0" fontId="41" fillId="4" borderId="10" applyAlignment="1" pivotButton="0" quotePrefix="0" xfId="0">
      <alignment horizontal="center" vertical="center" wrapText="1"/>
    </xf>
    <xf numFmtId="1" fontId="55" fillId="2" borderId="39" applyAlignment="1" pivotButton="0" quotePrefix="0" xfId="0">
      <alignment horizontal="center" vertical="center"/>
    </xf>
    <xf numFmtId="1" fontId="55" fillId="2" borderId="41" applyAlignment="1" pivotButton="0" quotePrefix="0" xfId="0">
      <alignment horizontal="center" vertical="center"/>
    </xf>
    <xf numFmtId="1" fontId="64" fillId="4" borderId="35" applyAlignment="1" pivotButton="0" quotePrefix="0" xfId="0">
      <alignment horizontal="center" vertical="center"/>
    </xf>
    <xf numFmtId="1" fontId="64" fillId="4" borderId="37" applyAlignment="1" pivotButton="0" quotePrefix="0" xfId="0">
      <alignment horizontal="center" vertical="center"/>
    </xf>
    <xf numFmtId="1" fontId="64" fillId="4" borderId="36" applyAlignment="1" pivotButton="0" quotePrefix="0" xfId="0">
      <alignment horizontal="center" vertical="center"/>
    </xf>
    <xf numFmtId="0" fontId="0" fillId="2" borderId="13" pivotButton="0" quotePrefix="0" xfId="0"/>
    <xf numFmtId="0" fontId="0" fillId="2" borderId="14" pivotButton="0" quotePrefix="0" xfId="0"/>
    <xf numFmtId="0" fontId="0" fillId="2" borderId="8" pivotButton="0" quotePrefix="0" xfId="0"/>
    <xf numFmtId="0" fontId="9" fillId="0" borderId="12" applyAlignment="1" pivotButton="0" quotePrefix="0" xfId="0">
      <alignment horizontal="justify" vertical="top" wrapText="1"/>
    </xf>
    <xf numFmtId="0" fontId="7" fillId="0" borderId="13" pivotButton="0" quotePrefix="0" xfId="0"/>
    <xf numFmtId="0" fontId="7" fillId="0" borderId="14" pivotButton="0" quotePrefix="0" xfId="0"/>
    <xf numFmtId="0" fontId="7" fillId="0" borderId="7" pivotButton="0" quotePrefix="0" xfId="0"/>
    <xf numFmtId="0" fontId="9" fillId="0" borderId="7" applyAlignment="1" pivotButton="0" quotePrefix="0" xfId="0">
      <alignment horizontal="justify" vertical="top" wrapText="1"/>
    </xf>
    <xf numFmtId="0" fontId="7" fillId="0" borderId="8" pivotButton="0" quotePrefix="0" xfId="0"/>
    <xf numFmtId="0" fontId="88" fillId="2" borderId="0" pivotButton="0" quotePrefix="0" xfId="0"/>
    <xf numFmtId="0" fontId="55" fillId="2" borderId="0" applyAlignment="1" applyProtection="1" pivotButton="0" quotePrefix="0" xfId="0">
      <alignment horizontal="center" vertical="top" wrapText="1"/>
      <protection locked="0" hidden="0"/>
    </xf>
    <xf numFmtId="0" fontId="55" fillId="10" borderId="47" applyAlignment="1" pivotButton="0" quotePrefix="0" xfId="0">
      <alignment horizontal="center" vertical="top" wrapText="1"/>
    </xf>
    <xf numFmtId="1" fontId="55" fillId="8" borderId="50" pivotButton="0" quotePrefix="0" xfId="0"/>
    <xf numFmtId="0" fontId="55" fillId="2" borderId="15" applyAlignment="1" applyProtection="1" pivotButton="0" quotePrefix="0" xfId="0">
      <alignment horizontal="center" vertical="top" wrapText="1"/>
      <protection locked="0" hidden="0"/>
    </xf>
    <xf numFmtId="1" fontId="42" fillId="4" borderId="7" applyAlignment="1" applyProtection="1" pivotButton="0" quotePrefix="0" xfId="0">
      <alignment horizontal="center"/>
      <protection locked="0" hidden="0"/>
    </xf>
    <xf numFmtId="0" fontId="42" fillId="4" borderId="0" applyAlignment="1" applyProtection="1" pivotButton="0" quotePrefix="0" xfId="0">
      <alignment horizontal="center" vertical="center" wrapText="1"/>
      <protection locked="0" hidden="0"/>
    </xf>
    <xf numFmtId="0" fontId="42" fillId="4" borderId="57" applyAlignment="1" applyProtection="1" pivotButton="0" quotePrefix="0" xfId="0">
      <alignment horizontal="center"/>
      <protection locked="0" hidden="0"/>
    </xf>
    <xf numFmtId="0" fontId="42" fillId="4" borderId="0" applyAlignment="1" applyProtection="1" pivotButton="0" quotePrefix="0" xfId="0">
      <alignment horizontal="center" vertical="top" wrapText="1"/>
      <protection locked="0" hidden="0"/>
    </xf>
    <xf numFmtId="0" fontId="42" fillId="4" borderId="0" applyAlignment="1" applyProtection="1" pivotButton="0" quotePrefix="0" xfId="0">
      <alignment horizontal="center"/>
      <protection locked="0" hidden="0"/>
    </xf>
    <xf numFmtId="1" fontId="42" fillId="4" borderId="0" applyAlignment="1" applyProtection="1" pivotButton="0" quotePrefix="0" xfId="0">
      <alignment horizontal="center"/>
      <protection locked="0" hidden="0"/>
    </xf>
    <xf numFmtId="1" fontId="42" fillId="4" borderId="13" applyAlignment="1" applyProtection="1" pivotButton="0" quotePrefix="0" xfId="0">
      <alignment horizontal="center"/>
      <protection locked="0" hidden="0"/>
    </xf>
    <xf numFmtId="165" fontId="41" fillId="4" borderId="23" applyAlignment="1" pivotButton="0" quotePrefix="0" xfId="0">
      <alignment horizontal="center"/>
    </xf>
    <xf numFmtId="1" fontId="0" fillId="4" borderId="28" pivotButton="0" quotePrefix="0" xfId="0"/>
    <xf numFmtId="1" fontId="42" fillId="4" borderId="22" applyAlignment="1" pivotButton="0" quotePrefix="0" xfId="0">
      <alignment horizontal="center"/>
    </xf>
    <xf numFmtId="1" fontId="42" fillId="4" borderId="23" applyAlignment="1" pivotButton="0" quotePrefix="0" xfId="0">
      <alignment horizontal="center"/>
    </xf>
    <xf numFmtId="0" fontId="42" fillId="4" borderId="23" applyAlignment="1" pivotButton="0" quotePrefix="0" xfId="0">
      <alignment horizontal="center"/>
    </xf>
    <xf numFmtId="170" fontId="41" fillId="4" borderId="23" applyAlignment="1" pivotButton="0" quotePrefix="0" xfId="0">
      <alignment horizontal="center"/>
    </xf>
    <xf numFmtId="1" fontId="2" fillId="8" borderId="1" applyAlignment="1" pivotButton="0" quotePrefix="0" xfId="0">
      <alignment vertical="center"/>
    </xf>
    <xf numFmtId="1" fontId="9" fillId="8" borderId="16" applyAlignment="1" pivotButton="0" quotePrefix="0" xfId="0">
      <alignment horizontal="center" vertical="center"/>
    </xf>
    <xf numFmtId="1" fontId="9" fillId="8" borderId="1" applyAlignment="1" pivotButton="0" quotePrefix="0" xfId="0">
      <alignment horizontal="center"/>
    </xf>
    <xf numFmtId="1" fontId="2" fillId="8" borderId="19" pivotButton="0" quotePrefix="0" xfId="0"/>
    <xf numFmtId="1" fontId="9" fillId="8" borderId="1" applyAlignment="1" pivotButton="0" quotePrefix="0" xfId="0">
      <alignment horizontal="center" vertical="center"/>
    </xf>
    <xf numFmtId="1" fontId="42" fillId="9" borderId="12" applyAlignment="1" applyProtection="1" pivotButton="0" quotePrefix="0" xfId="0">
      <alignment horizontal="center"/>
      <protection locked="0" hidden="0"/>
    </xf>
    <xf numFmtId="0" fontId="42" fillId="9" borderId="13" applyAlignment="1" applyProtection="1" pivotButton="0" quotePrefix="0" xfId="0">
      <alignment horizontal="center" vertical="center" wrapText="1"/>
      <protection locked="0" hidden="0"/>
    </xf>
    <xf numFmtId="0" fontId="42" fillId="9" borderId="58" applyAlignment="1" applyProtection="1" pivotButton="0" quotePrefix="0" xfId="0">
      <alignment horizontal="center"/>
      <protection locked="0" hidden="0"/>
    </xf>
    <xf numFmtId="165" fontId="41" fillId="4" borderId="13" applyAlignment="1" pivotButton="0" quotePrefix="0" xfId="0">
      <alignment horizontal="center"/>
    </xf>
    <xf numFmtId="0" fontId="2" fillId="4" borderId="14" applyAlignment="1" pivotButton="0" quotePrefix="0" xfId="0">
      <alignment horizontal="right"/>
    </xf>
    <xf numFmtId="1" fontId="0" fillId="4" borderId="8" pivotButton="0" quotePrefix="0" xfId="0"/>
    <xf numFmtId="165" fontId="0" fillId="4" borderId="0" pivotButton="0" quotePrefix="0" xfId="0"/>
    <xf numFmtId="165" fontId="0" fillId="4" borderId="8" pivotButton="0" quotePrefix="0" xfId="0"/>
    <xf numFmtId="1" fontId="55" fillId="2" borderId="38" applyAlignment="1" applyProtection="1" pivotButton="0" quotePrefix="0" xfId="0">
      <alignment horizontal="center" vertical="center"/>
      <protection locked="0" hidden="0"/>
    </xf>
    <xf numFmtId="1" fontId="55" fillId="2" borderId="59" applyAlignment="1" applyProtection="1" pivotButton="0" quotePrefix="0" xfId="0">
      <alignment horizontal="center" vertical="center"/>
      <protection locked="0" hidden="0"/>
    </xf>
    <xf numFmtId="0" fontId="1" fillId="0" borderId="0" applyAlignment="1" pivotButton="0" quotePrefix="0" xfId="0">
      <alignment horizontal="right" vertical="top" wrapText="1"/>
    </xf>
    <xf numFmtId="0" fontId="5" fillId="0" borderId="0" applyAlignment="1" pivotButton="0" quotePrefix="0" xfId="1">
      <alignment vertical="top" wrapText="1"/>
    </xf>
    <xf numFmtId="49" fontId="1" fillId="0" borderId="0" applyAlignment="1" pivotButton="0" quotePrefix="0" xfId="0">
      <alignment vertical="top" wrapText="1"/>
    </xf>
    <xf numFmtId="0" fontId="61" fillId="2" borderId="51" applyAlignment="1" pivotButton="0" quotePrefix="0" xfId="0">
      <alignment horizontal="center" vertical="center"/>
    </xf>
    <xf numFmtId="0" fontId="1" fillId="0" borderId="0" applyAlignment="1" pivotButton="0" quotePrefix="0" xfId="0">
      <alignment horizontal="left" wrapText="1"/>
    </xf>
    <xf numFmtId="1" fontId="61" fillId="4" borderId="35" applyAlignment="1" pivotButton="0" quotePrefix="0" xfId="0">
      <alignment horizontal="center" vertical="center"/>
    </xf>
    <xf numFmtId="1" fontId="61" fillId="4" borderId="37" applyAlignment="1" pivotButton="0" quotePrefix="0" xfId="0">
      <alignment horizontal="center" vertical="center"/>
    </xf>
    <xf numFmtId="1" fontId="61" fillId="4" borderId="36" applyAlignment="1" pivotButton="0" quotePrefix="0" xfId="0">
      <alignment horizontal="center" vertical="center"/>
    </xf>
    <xf numFmtId="0" fontId="34" fillId="0" borderId="0" applyAlignment="1" pivotButton="0" quotePrefix="0" xfId="0">
      <alignment vertical="top" wrapText="1"/>
    </xf>
    <xf numFmtId="0" fontId="69" fillId="0" borderId="0" applyAlignment="1" pivotButton="0" quotePrefix="0" xfId="1">
      <alignment vertical="top" wrapText="1"/>
    </xf>
    <xf numFmtId="49" fontId="89" fillId="0" borderId="0" applyAlignment="1" pivotButton="0" quotePrefix="0" xfId="0">
      <alignment vertical="top" wrapText="1"/>
    </xf>
    <xf numFmtId="0" fontId="34" fillId="0" borderId="0" pivotButton="0" quotePrefix="0" xfId="0"/>
    <xf numFmtId="0" fontId="2" fillId="0" borderId="0" applyAlignment="1" pivotButton="0" quotePrefix="0" xfId="0">
      <alignment vertical="top" wrapText="1"/>
    </xf>
    <xf numFmtId="1" fontId="55" fillId="2" borderId="47" applyAlignment="1" pivotButton="0" quotePrefix="0" xfId="0">
      <alignment horizontal="center" vertical="center"/>
    </xf>
    <xf numFmtId="0" fontId="53" fillId="2" borderId="0" pivotButton="0" quotePrefix="0" xfId="0"/>
    <xf numFmtId="0" fontId="15" fillId="0" borderId="4" applyAlignment="1" pivotButton="0" quotePrefix="0" xfId="0">
      <alignment vertical="top" wrapText="1"/>
    </xf>
    <xf numFmtId="1" fontId="41" fillId="5" borderId="1" applyAlignment="1" pivotButton="0" quotePrefix="0" xfId="0">
      <alignment horizontal="center" vertical="center"/>
    </xf>
    <xf numFmtId="0" fontId="15" fillId="0" borderId="0" applyAlignment="1" pivotButton="0" quotePrefix="0" xfId="0">
      <alignment horizontal="center" vertical="center"/>
    </xf>
    <xf numFmtId="0" fontId="5" fillId="0" borderId="39" applyAlignment="1" pivotButton="0" quotePrefix="0" xfId="1">
      <alignment horizontal="center"/>
    </xf>
    <xf numFmtId="0" fontId="5" fillId="0" borderId="39" applyAlignment="1" pivotButton="0" quotePrefix="0" xfId="1">
      <alignment horizontal="center"/>
    </xf>
    <xf numFmtId="0" fontId="0" fillId="2" borderId="37" pivotButton="0" quotePrefix="0" xfId="0"/>
    <xf numFmtId="0" fontId="0" fillId="2" borderId="36" pivotButton="0" quotePrefix="0" xfId="0"/>
    <xf numFmtId="0" fontId="0" fillId="2" borderId="30" pivotButton="0" quotePrefix="0" xfId="0"/>
    <xf numFmtId="0" fontId="0" fillId="2" borderId="9" pivotButton="0" quotePrefix="0" xfId="0"/>
    <xf numFmtId="0" fontId="1" fillId="2" borderId="37" pivotButton="0" quotePrefix="0" xfId="0"/>
    <xf numFmtId="0" fontId="60" fillId="9" borderId="11" applyAlignment="1" pivotButton="0" quotePrefix="0" xfId="0">
      <alignment horizontal="center" vertical="center" wrapText="1"/>
    </xf>
    <xf numFmtId="1" fontId="1" fillId="2" borderId="2" applyAlignment="1" applyProtection="1" pivotButton="0" quotePrefix="0" xfId="0">
      <alignment horizontal="center"/>
      <protection locked="0" hidden="0"/>
    </xf>
    <xf numFmtId="1" fontId="41" fillId="2" borderId="1" applyAlignment="1" applyProtection="1" pivotButton="0" quotePrefix="0" xfId="0">
      <alignment horizontal="center" vertical="center"/>
      <protection locked="0" hidden="0"/>
    </xf>
    <xf numFmtId="1" fontId="35" fillId="10" borderId="1" applyAlignment="1" pivotButton="0" quotePrefix="0" xfId="0">
      <alignment horizontal="left" vertical="top" wrapText="1"/>
    </xf>
    <xf numFmtId="1" fontId="41" fillId="7" borderId="31" applyAlignment="1" pivotButton="0" quotePrefix="0" xfId="0">
      <alignment horizontal="center" vertical="center" wrapText="1"/>
    </xf>
    <xf numFmtId="3" fontId="55" fillId="7" borderId="1" applyAlignment="1" pivotButton="0" quotePrefix="0" xfId="0">
      <alignment horizontal="center" vertical="top" wrapText="1"/>
    </xf>
    <xf numFmtId="3" fontId="39" fillId="5" borderId="1" applyAlignment="1" pivotButton="0" quotePrefix="0" xfId="0">
      <alignment horizontal="center" vertical="center"/>
    </xf>
    <xf numFmtId="3" fontId="55" fillId="6" borderId="39" applyAlignment="1" pivotButton="0" quotePrefix="0" xfId="0">
      <alignment horizontal="center" vertical="center"/>
    </xf>
    <xf numFmtId="1" fontId="55" fillId="2" borderId="48" applyAlignment="1" applyProtection="1" pivotButton="0" quotePrefix="0" xfId="0">
      <alignment horizontal="center" vertical="center"/>
      <protection locked="0" hidden="0"/>
    </xf>
    <xf numFmtId="1" fontId="55" fillId="2" borderId="60" applyAlignment="1" pivotButton="0" quotePrefix="0" xfId="0">
      <alignment horizontal="center" vertical="center"/>
    </xf>
    <xf numFmtId="1" fontId="2" fillId="2" borderId="0" applyAlignment="1" pivotButton="0" quotePrefix="0" xfId="0">
      <alignment horizontal="center" vertical="top" wrapText="1"/>
    </xf>
    <xf numFmtId="0" fontId="2" fillId="2" borderId="3" applyAlignment="1" applyProtection="1" pivotButton="0" quotePrefix="0" xfId="0">
      <alignment horizontal="center" vertical="top" wrapText="1"/>
      <protection locked="0" hidden="0"/>
    </xf>
    <xf numFmtId="1" fontId="7" fillId="3" borderId="1" applyAlignment="1" pivotButton="0" quotePrefix="0" xfId="0">
      <alignment horizontal="center" vertical="center"/>
    </xf>
    <xf numFmtId="1" fontId="9" fillId="6" borderId="29" applyAlignment="1" pivotButton="0" quotePrefix="0" xfId="0">
      <alignment horizontal="center"/>
    </xf>
    <xf numFmtId="1" fontId="7" fillId="2" borderId="9" applyAlignment="1" applyProtection="1" pivotButton="0" quotePrefix="0" xfId="0">
      <alignment horizontal="center" vertical="center"/>
      <protection locked="0" hidden="0"/>
    </xf>
    <xf numFmtId="1" fontId="7" fillId="2" borderId="11" applyAlignment="1" pivotButton="0" quotePrefix="0" xfId="0">
      <alignment horizontal="center" vertical="center"/>
    </xf>
    <xf numFmtId="1" fontId="9" fillId="6" borderId="1" applyAlignment="1" pivotButton="0" quotePrefix="0" xfId="0">
      <alignment horizontal="center"/>
    </xf>
    <xf numFmtId="1" fontId="7" fillId="2" borderId="9" applyAlignment="1" pivotButton="0" quotePrefix="0" xfId="0">
      <alignment horizontal="center" vertical="center"/>
    </xf>
    <xf numFmtId="1" fontId="7" fillId="10" borderId="11" applyAlignment="1" pivotButton="0" quotePrefix="0" xfId="0">
      <alignment vertical="center"/>
    </xf>
    <xf numFmtId="1" fontId="7" fillId="2" borderId="10" applyAlignment="1" applyProtection="1" pivotButton="0" quotePrefix="0" xfId="0">
      <alignment vertical="center"/>
      <protection locked="0" hidden="0"/>
    </xf>
    <xf numFmtId="1" fontId="7" fillId="10" borderId="9" applyAlignment="1" pivotButton="0" quotePrefix="0" xfId="0">
      <alignment vertical="center"/>
    </xf>
    <xf numFmtId="1" fontId="7" fillId="2" borderId="11" applyAlignment="1" pivotButton="0" quotePrefix="0" xfId="0">
      <alignment vertical="center"/>
    </xf>
    <xf numFmtId="1" fontId="7" fillId="2" borderId="9" applyAlignment="1" pivotButton="0" quotePrefix="0" xfId="0">
      <alignment vertical="center"/>
    </xf>
    <xf numFmtId="1" fontId="7" fillId="2" borderId="51" applyAlignment="1" applyProtection="1" pivotButton="0" quotePrefix="0" xfId="0">
      <alignment vertical="center"/>
      <protection locked="0" hidden="0"/>
    </xf>
    <xf numFmtId="1" fontId="7" fillId="2" borderId="9" applyAlignment="1" applyProtection="1" pivotButton="0" quotePrefix="0" xfId="0">
      <alignment vertical="center"/>
      <protection locked="0" hidden="0"/>
    </xf>
    <xf numFmtId="0" fontId="23" fillId="0" borderId="0" pivotButton="0" quotePrefix="0" xfId="0"/>
    <xf numFmtId="0" fontId="0" fillId="0" borderId="22" applyAlignment="1" pivotButton="0" quotePrefix="0" xfId="0">
      <alignment horizontal="center" vertical="center"/>
    </xf>
    <xf numFmtId="0" fontId="0" fillId="0" borderId="35" applyAlignment="1" pivotButton="0" quotePrefix="0" xfId="0">
      <alignment vertical="center"/>
    </xf>
    <xf numFmtId="0" fontId="0" fillId="0" borderId="10"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0" fillId="0" borderId="37" applyAlignment="1" pivotButton="0" quotePrefix="0" xfId="0">
      <alignment vertical="center"/>
    </xf>
    <xf numFmtId="0" fontId="0" fillId="0" borderId="22" applyAlignment="1" pivotButton="0" quotePrefix="0" xfId="0">
      <alignment vertical="center"/>
    </xf>
    <xf numFmtId="0" fontId="0" fillId="0" borderId="23" applyAlignment="1" pivotButton="0" quotePrefix="0" xfId="0">
      <alignment vertical="center"/>
    </xf>
    <xf numFmtId="0" fontId="0" fillId="0" borderId="28" applyAlignment="1" pivotButton="0" quotePrefix="0" xfId="0">
      <alignment vertical="center"/>
    </xf>
    <xf numFmtId="0" fontId="0" fillId="0" borderId="36" applyAlignment="1" pivotButton="0" quotePrefix="0" xfId="0">
      <alignment vertical="center"/>
    </xf>
    <xf numFmtId="0" fontId="11" fillId="0" borderId="0" pivotButton="0" quotePrefix="0" xfId="0"/>
    <xf numFmtId="49" fontId="61" fillId="2" borderId="9" applyAlignment="1" applyProtection="1" pivotButton="0" quotePrefix="0" xfId="0">
      <alignment horizontal="center" vertical="center"/>
      <protection locked="0" hidden="0"/>
    </xf>
    <xf numFmtId="0" fontId="91" fillId="0" borderId="0" applyAlignment="1" pivotButton="0" quotePrefix="0" xfId="0">
      <alignment vertical="center"/>
    </xf>
    <xf numFmtId="0" fontId="92" fillId="0" borderId="0" pivotButton="0" quotePrefix="0" xfId="0"/>
    <xf numFmtId="0" fontId="93" fillId="0" borderId="0" applyAlignment="1" pivotButton="0" quotePrefix="0" xfId="0">
      <alignment vertical="center"/>
    </xf>
    <xf numFmtId="0" fontId="94" fillId="0" borderId="0" pivotButton="0" quotePrefix="0" xfId="0"/>
    <xf numFmtId="0" fontId="23" fillId="2" borderId="0" pivotButton="0" quotePrefix="0" xfId="0"/>
    <xf numFmtId="0" fontId="1" fillId="2" borderId="20" applyAlignment="1" pivotButton="0" quotePrefix="0" xfId="0">
      <alignment horizontal="left" vertical="top" wrapText="1"/>
    </xf>
    <xf numFmtId="1" fontId="9" fillId="13" borderId="0" applyAlignment="1" pivotButton="0" quotePrefix="0" xfId="0">
      <alignment vertical="center"/>
    </xf>
    <xf numFmtId="0" fontId="0" fillId="0" borderId="0" applyAlignment="1" pivotButton="0" quotePrefix="0" xfId="0">
      <alignment horizontal="justify" vertical="top" wrapText="1"/>
    </xf>
    <xf numFmtId="0" fontId="16" fillId="2" borderId="3" applyAlignment="1" applyProtection="1" pivotButton="0" quotePrefix="0" xfId="0">
      <alignment horizontal="left" vertical="top" wrapText="1"/>
      <protection locked="0" hidden="0"/>
    </xf>
    <xf numFmtId="0" fontId="7" fillId="13" borderId="0" pivotButton="0" quotePrefix="0" xfId="0"/>
    <xf numFmtId="0" fontId="7" fillId="13" borderId="0" applyAlignment="1" pivotButton="0" quotePrefix="0" xfId="0">
      <alignment horizontal="justify" vertical="top"/>
    </xf>
    <xf numFmtId="0" fontId="7" fillId="13" borderId="0" applyAlignment="1" pivotButton="0" quotePrefix="0" xfId="0">
      <alignment horizontal="center" vertical="top"/>
    </xf>
    <xf numFmtId="0" fontId="7" fillId="13" borderId="0" applyAlignment="1" pivotButton="0" quotePrefix="0" xfId="0">
      <alignment horizontal="justify" vertical="top" wrapText="1"/>
    </xf>
    <xf numFmtId="0" fontId="9" fillId="13" borderId="0" applyAlignment="1" pivotButton="0" quotePrefix="0" xfId="0">
      <alignment vertical="center"/>
    </xf>
    <xf numFmtId="0" fontId="9" fillId="13" borderId="0" applyAlignment="1" pivotButton="0" quotePrefix="0" xfId="0">
      <alignment horizontal="left" vertical="center"/>
    </xf>
    <xf numFmtId="0" fontId="7" fillId="13" borderId="0" applyAlignment="1" pivotButton="0" quotePrefix="0" xfId="0">
      <alignment vertical="center" wrapText="1"/>
    </xf>
    <xf numFmtId="0" fontId="7" fillId="13" borderId="15" applyAlignment="1" applyProtection="1" pivotButton="0" quotePrefix="0" xfId="0">
      <alignment horizontal="left" vertical="center" wrapText="1" indent="1"/>
      <protection locked="0" hidden="0"/>
    </xf>
    <xf numFmtId="0" fontId="7" fillId="13" borderId="20" applyAlignment="1" applyProtection="1" pivotButton="0" quotePrefix="0" xfId="0">
      <alignment horizontal="left" vertical="center" wrapText="1" indent="1"/>
      <protection locked="0" hidden="0"/>
    </xf>
    <xf numFmtId="0" fontId="7" fillId="13" borderId="21" applyAlignment="1" applyProtection="1" pivotButton="0" quotePrefix="0" xfId="0">
      <alignment horizontal="left" vertical="center" wrapText="1" indent="1"/>
      <protection locked="0" hidden="0"/>
    </xf>
    <xf numFmtId="0" fontId="9" fillId="13" borderId="0" applyAlignment="1" pivotButton="0" quotePrefix="0" xfId="0">
      <alignment vertical="center" wrapText="1"/>
    </xf>
    <xf numFmtId="0" fontId="9" fillId="13" borderId="7" applyAlignment="1" pivotButton="0" quotePrefix="0" xfId="0">
      <alignment vertical="center"/>
    </xf>
    <xf numFmtId="0" fontId="9" fillId="13" borderId="7" applyAlignment="1" pivotButton="0" quotePrefix="0" xfId="0">
      <alignment vertical="center" wrapText="1"/>
    </xf>
    <xf numFmtId="0" fontId="7" fillId="13" borderId="7" applyAlignment="1" applyProtection="1" pivotButton="0" quotePrefix="0" xfId="0">
      <alignment vertical="center" wrapText="1"/>
      <protection locked="0" hidden="0"/>
    </xf>
    <xf numFmtId="0" fontId="79" fillId="13" borderId="0" applyAlignment="1" pivotButton="0" quotePrefix="0" xfId="1">
      <alignment vertical="center"/>
    </xf>
    <xf numFmtId="0" fontId="15" fillId="0" borderId="0" applyAlignment="1" pivotButton="0" quotePrefix="0" xfId="0">
      <alignment horizontal="justify" vertical="top"/>
    </xf>
    <xf numFmtId="0" fontId="1" fillId="0" borderId="0" applyAlignment="1" pivotButton="0" quotePrefix="0" xfId="0">
      <alignment horizontal="justify" vertical="top"/>
    </xf>
    <xf numFmtId="0" fontId="0" fillId="0" borderId="0" applyAlignment="1" pivotButton="0" quotePrefix="0" xfId="0">
      <alignment horizontal="justify" vertical="top"/>
    </xf>
    <xf numFmtId="0" fontId="15" fillId="0" borderId="0" applyAlignment="1" pivotButton="0" quotePrefix="0" xfId="0">
      <alignment horizontal="justify" vertical="top" wrapText="1"/>
    </xf>
    <xf numFmtId="1" fontId="15" fillId="0" borderId="33" applyAlignment="1" pivotButton="0" quotePrefix="0" xfId="0">
      <alignment horizontal="justify" vertical="top" wrapText="1"/>
    </xf>
    <xf numFmtId="1" fontId="15" fillId="0" borderId="62" applyAlignment="1" pivotButton="0" quotePrefix="0" xfId="0">
      <alignment horizontal="justify" vertical="top" wrapText="1"/>
    </xf>
    <xf numFmtId="1" fontId="15" fillId="0" borderId="40" applyAlignment="1" pivotButton="0" quotePrefix="0" xfId="0">
      <alignment horizontal="justify" vertical="top" wrapText="1"/>
    </xf>
    <xf numFmtId="1" fontId="15" fillId="0" borderId="25" applyAlignment="1" pivotButton="0" quotePrefix="0" xfId="0">
      <alignment horizontal="justify" vertical="top" wrapText="1"/>
    </xf>
    <xf numFmtId="1" fontId="15" fillId="0" borderId="64" applyAlignment="1" pivotButton="0" quotePrefix="0" xfId="0">
      <alignment horizontal="justify" vertical="top" wrapText="1"/>
    </xf>
    <xf numFmtId="0" fontId="11" fillId="0" borderId="28" applyAlignment="1" pivotButton="0" quotePrefix="0" xfId="0">
      <alignment horizontal="justify" vertical="top" wrapText="1"/>
    </xf>
    <xf numFmtId="1" fontId="15" fillId="0" borderId="16" applyAlignment="1" pivotButton="0" quotePrefix="0" xfId="0">
      <alignment horizontal="justify" vertical="top" wrapText="1"/>
    </xf>
    <xf numFmtId="1" fontId="15" fillId="0" borderId="21" applyAlignment="1" pivotButton="0" quotePrefix="0" xfId="0">
      <alignment horizontal="justify" vertical="top" wrapText="1"/>
    </xf>
    <xf numFmtId="0" fontId="15" fillId="0" borderId="5" applyAlignment="1" pivotButton="0" quotePrefix="0" xfId="0">
      <alignment horizontal="justify" vertical="top" wrapText="1"/>
    </xf>
    <xf numFmtId="1" fontId="15" fillId="0" borderId="5" applyAlignment="1" pivotButton="0" quotePrefix="0" xfId="0">
      <alignment horizontal="justify" vertical="top" wrapText="1"/>
    </xf>
    <xf numFmtId="1" fontId="15" fillId="0" borderId="0" applyAlignment="1" pivotButton="0" quotePrefix="0" xfId="0">
      <alignment horizontal="justify" vertical="top" wrapText="1"/>
    </xf>
    <xf numFmtId="1" fontId="15" fillId="0" borderId="2" applyAlignment="1" pivotButton="0" quotePrefix="0" xfId="0">
      <alignment horizontal="justify" vertical="top" wrapText="1"/>
    </xf>
    <xf numFmtId="1" fontId="15" fillId="0" borderId="28" applyAlignment="1" pivotButton="0" quotePrefix="0" xfId="0">
      <alignment horizontal="justify" vertical="top" wrapText="1"/>
    </xf>
    <xf numFmtId="0" fontId="0" fillId="0" borderId="5" applyAlignment="1" pivotButton="0" quotePrefix="0" xfId="0">
      <alignment horizontal="justify" vertical="top"/>
    </xf>
    <xf numFmtId="0" fontId="0" fillId="0" borderId="6" applyAlignment="1" pivotButton="0" quotePrefix="0" xfId="0">
      <alignment horizontal="justify" vertical="top"/>
    </xf>
    <xf numFmtId="0" fontId="0" fillId="0" borderId="9" applyAlignment="1" pivotButton="0" quotePrefix="0" xfId="0">
      <alignment horizontal="justify" vertical="top"/>
    </xf>
    <xf numFmtId="0" fontId="11" fillId="0" borderId="59" applyAlignment="1" pivotButton="0" quotePrefix="0" xfId="0">
      <alignment horizontal="justify" vertical="top" wrapText="1"/>
    </xf>
    <xf numFmtId="0" fontId="11" fillId="0" borderId="52" applyAlignment="1" pivotButton="0" quotePrefix="0" xfId="0">
      <alignment horizontal="justify" vertical="top" wrapText="1"/>
    </xf>
    <xf numFmtId="0" fontId="15" fillId="0" borderId="63" applyAlignment="1" pivotButton="0" quotePrefix="0" xfId="0">
      <alignment horizontal="justify" vertical="top" wrapText="1"/>
    </xf>
    <xf numFmtId="1" fontId="15" fillId="0" borderId="65" applyAlignment="1" pivotButton="0" quotePrefix="0" xfId="0">
      <alignment horizontal="justify" vertical="top" wrapText="1"/>
    </xf>
    <xf numFmtId="0" fontId="15" fillId="0" borderId="15" applyAlignment="1" pivotButton="0" quotePrefix="0" xfId="0">
      <alignment horizontal="justify" vertical="top" wrapText="1"/>
    </xf>
    <xf numFmtId="1" fontId="15" fillId="0" borderId="38" applyAlignment="1" pivotButton="0" quotePrefix="0" xfId="0">
      <alignment horizontal="justify" vertical="top" wrapText="1"/>
    </xf>
    <xf numFmtId="0" fontId="15" fillId="0" borderId="22" applyAlignment="1" pivotButton="0" quotePrefix="0" xfId="0">
      <alignment horizontal="justify" vertical="top" wrapText="1"/>
    </xf>
    <xf numFmtId="1" fontId="15" fillId="0" borderId="18" applyAlignment="1" pivotButton="0" quotePrefix="0" xfId="0">
      <alignment horizontal="justify" vertical="top" wrapText="1"/>
    </xf>
    <xf numFmtId="1" fontId="15" fillId="0" borderId="0" applyAlignment="1" pivotButton="0" quotePrefix="0" xfId="0">
      <alignment horizontal="justify" vertical="top"/>
    </xf>
    <xf numFmtId="1" fontId="15" fillId="0" borderId="35" applyAlignment="1" pivotButton="0" quotePrefix="0" xfId="0">
      <alignment horizontal="justify" vertical="top"/>
    </xf>
    <xf numFmtId="1" fontId="15" fillId="0" borderId="36" applyAlignment="1" pivotButton="0" quotePrefix="0" xfId="0">
      <alignment horizontal="justify" vertical="top"/>
    </xf>
    <xf numFmtId="0" fontId="11" fillId="0" borderId="0" applyAlignment="1" pivotButton="0" quotePrefix="0" xfId="0">
      <alignment horizontal="justify" vertical="top"/>
    </xf>
    <xf numFmtId="0" fontId="34" fillId="0" borderId="0" applyAlignment="1" pivotButton="0" quotePrefix="0" xfId="0">
      <alignment horizontal="justify" vertical="top"/>
    </xf>
    <xf numFmtId="0" fontId="2" fillId="0" borderId="0" applyAlignment="1" pivotButton="0" quotePrefix="0" xfId="0">
      <alignment horizontal="justify" vertical="top"/>
    </xf>
    <xf numFmtId="0" fontId="0" fillId="2" borderId="0" applyAlignment="1" pivotButton="0" quotePrefix="0" xfId="0">
      <alignment horizontal="center"/>
    </xf>
    <xf numFmtId="0" fontId="95" fillId="0" borderId="0" applyAlignment="1" pivotButton="0" quotePrefix="0" xfId="0">
      <alignment vertical="top" wrapText="1"/>
    </xf>
    <xf numFmtId="0" fontId="7" fillId="13" borderId="0" applyAlignment="1" pivotButton="0" quotePrefix="0" xfId="0">
      <alignment horizontal="center" vertical="center" wrapText="1"/>
    </xf>
    <xf numFmtId="0" fontId="83" fillId="13" borderId="0" applyAlignment="1" pivotButton="0" quotePrefix="0" xfId="0">
      <alignment vertical="top" wrapText="1"/>
    </xf>
    <xf numFmtId="20" fontId="61" fillId="2" borderId="66" applyAlignment="1" applyProtection="1" pivotButton="0" quotePrefix="0" xfId="0">
      <alignment horizontal="center" vertical="center" wrapText="1"/>
      <protection locked="0" hidden="0"/>
    </xf>
    <xf numFmtId="0" fontId="7" fillId="13" borderId="0" applyAlignment="1" pivotButton="0" quotePrefix="0" xfId="0">
      <alignment horizontal="center" vertical="center"/>
    </xf>
    <xf numFmtId="0" fontId="2" fillId="0" borderId="9" applyAlignment="1" pivotButton="0" quotePrefix="0" xfId="0">
      <alignment horizontal="center" vertical="center" wrapText="1"/>
    </xf>
    <xf numFmtId="0" fontId="2" fillId="0" borderId="32" applyAlignment="1" pivotButton="0" quotePrefix="0" xfId="0">
      <alignment horizontal="center" vertical="center" wrapText="1"/>
    </xf>
    <xf numFmtId="0" fontId="2" fillId="0" borderId="31" applyAlignment="1" pivotButton="0" quotePrefix="0" xfId="0">
      <alignment horizontal="center" vertical="center" wrapText="1"/>
    </xf>
    <xf numFmtId="0" fontId="2" fillId="0" borderId="43" applyAlignment="1" pivotButton="0" quotePrefix="0" xfId="0">
      <alignment horizontal="center" vertical="center" wrapText="1"/>
    </xf>
    <xf numFmtId="0" fontId="1" fillId="0" borderId="30" applyAlignment="1" pivotButton="0" quotePrefix="0" xfId="0">
      <alignment horizontal="center" vertical="center" wrapText="1"/>
    </xf>
    <xf numFmtId="1" fontId="1" fillId="0" borderId="33" applyAlignment="1" pivotButton="0" quotePrefix="0" xfId="0">
      <alignment horizontal="center" vertical="center" wrapText="1"/>
    </xf>
    <xf numFmtId="1" fontId="1" fillId="0" borderId="60" applyAlignment="1" pivotButton="0" quotePrefix="0" xfId="0">
      <alignment horizontal="center" vertical="center"/>
    </xf>
    <xf numFmtId="1" fontId="1" fillId="0" borderId="39" applyAlignment="1" pivotButton="0" quotePrefix="0" xfId="0">
      <alignment horizontal="center" vertical="center"/>
    </xf>
    <xf numFmtId="0" fontId="1" fillId="0" borderId="51" applyAlignment="1" pivotButton="0" quotePrefix="0" xfId="0">
      <alignment horizontal="center" vertical="center" wrapText="1"/>
    </xf>
    <xf numFmtId="1" fontId="1" fillId="0" borderId="52" applyAlignment="1" pivotButton="0" quotePrefix="0" xfId="0">
      <alignment horizontal="center" vertical="center" wrapText="1"/>
    </xf>
    <xf numFmtId="1" fontId="1" fillId="0" borderId="41" applyAlignment="1" pivotButton="0" quotePrefix="0" xfId="0">
      <alignment horizontal="center" vertical="center"/>
    </xf>
    <xf numFmtId="1" fontId="1" fillId="0" borderId="62" applyAlignment="1" pivotButton="0" quotePrefix="0" xfId="0">
      <alignment horizontal="center" vertical="center" wrapText="1"/>
    </xf>
    <xf numFmtId="1" fontId="1" fillId="0" borderId="40" applyAlignment="1" pivotButton="0" quotePrefix="0" xfId="0">
      <alignment horizontal="center" vertical="center" wrapText="1"/>
    </xf>
    <xf numFmtId="1" fontId="1" fillId="0" borderId="25" applyAlignment="1" pivotButton="0" quotePrefix="0" xfId="0">
      <alignment horizontal="center" vertical="center" wrapText="1"/>
    </xf>
    <xf numFmtId="1" fontId="1" fillId="0" borderId="64" applyAlignment="1" pivotButton="0" quotePrefix="0" xfId="0">
      <alignment horizontal="center" vertical="center" wrapText="1"/>
    </xf>
    <xf numFmtId="0" fontId="1" fillId="0" borderId="37" applyAlignment="1" pivotButton="0" quotePrefix="0" xfId="0">
      <alignment horizontal="center" vertical="center" wrapText="1"/>
    </xf>
    <xf numFmtId="0" fontId="1" fillId="0" borderId="36" applyAlignment="1" pivotButton="0" quotePrefix="0" xfId="0">
      <alignment horizontal="center" vertical="center" wrapText="1"/>
    </xf>
    <xf numFmtId="1" fontId="1" fillId="0" borderId="16" applyAlignment="1" pivotButton="0" quotePrefix="0" xfId="0">
      <alignment horizontal="center" vertical="center" wrapText="1"/>
    </xf>
    <xf numFmtId="0" fontId="1" fillId="0" borderId="67" applyAlignment="1" pivotButton="0" quotePrefix="0" xfId="0">
      <alignment horizontal="center" vertical="center" wrapText="1"/>
    </xf>
    <xf numFmtId="0" fontId="1" fillId="0" borderId="35" applyAlignment="1" pivotButton="0" quotePrefix="0" xfId="0">
      <alignment horizontal="center" vertical="center" wrapText="1"/>
    </xf>
    <xf numFmtId="1" fontId="1" fillId="0" borderId="68" applyAlignment="1" pivotButton="0" quotePrefix="0" xfId="0">
      <alignment horizontal="center" vertical="center" wrapText="1"/>
    </xf>
    <xf numFmtId="1" fontId="1" fillId="0" borderId="69" applyAlignment="1" pivotButton="0" quotePrefix="0" xfId="0">
      <alignment horizontal="center" vertical="center" wrapText="1"/>
    </xf>
    <xf numFmtId="1" fontId="1" fillId="0" borderId="39" applyAlignment="1" pivotButton="0" quotePrefix="0" xfId="0">
      <alignment horizontal="center" vertical="center" wrapText="1"/>
    </xf>
    <xf numFmtId="1" fontId="1" fillId="0" borderId="29" applyAlignment="1" pivotButton="0" quotePrefix="0" xfId="0">
      <alignment horizontal="center" vertical="center" wrapText="1"/>
    </xf>
    <xf numFmtId="1" fontId="1" fillId="0" borderId="1" applyAlignment="1" pivotButton="0" quotePrefix="0" xfId="0">
      <alignment horizontal="center" vertical="center" wrapText="1"/>
    </xf>
    <xf numFmtId="1" fontId="1" fillId="0" borderId="2" applyAlignment="1" pivotButton="0" quotePrefix="0" xfId="0">
      <alignment horizontal="center" vertical="center" wrapText="1"/>
    </xf>
    <xf numFmtId="1" fontId="1" fillId="0" borderId="28" applyAlignment="1" pivotButton="0" quotePrefix="0" xfId="0">
      <alignment horizontal="center" vertical="center" wrapText="1"/>
    </xf>
    <xf numFmtId="0" fontId="2" fillId="0" borderId="6" applyAlignment="1" pivotButton="0" quotePrefix="0" xfId="0">
      <alignment horizontal="center" vertical="center" wrapText="1"/>
    </xf>
    <xf numFmtId="1" fontId="1" fillId="0" borderId="60" applyAlignment="1" pivotButton="0" quotePrefix="0" xfId="0">
      <alignment horizontal="center" vertical="center" wrapText="1"/>
    </xf>
    <xf numFmtId="1" fontId="40" fillId="2" borderId="1" applyAlignment="1" applyProtection="1" pivotButton="0" quotePrefix="0" xfId="0">
      <alignment horizontal="center" vertical="center"/>
      <protection locked="0" hidden="0"/>
    </xf>
    <xf numFmtId="1" fontId="39" fillId="5" borderId="1" applyAlignment="1" pivotButton="0" quotePrefix="0" xfId="0">
      <alignment horizontal="center"/>
    </xf>
    <xf numFmtId="1" fontId="55" fillId="5" borderId="1" applyAlignment="1" pivotButton="0" quotePrefix="0" xfId="0">
      <alignment horizontal="center" vertical="center" wrapText="1"/>
    </xf>
    <xf numFmtId="1" fontId="39" fillId="5" borderId="19" applyAlignment="1" pivotButton="0" quotePrefix="0" xfId="0">
      <alignment horizontal="center" vertical="center"/>
    </xf>
    <xf numFmtId="1" fontId="1" fillId="0" borderId="0" pivotButton="0" quotePrefix="0" xfId="0"/>
    <xf numFmtId="1" fontId="1" fillId="0" borderId="0" pivotButton="0" quotePrefix="1" xfId="0"/>
    <xf numFmtId="0" fontId="96" fillId="0" borderId="0" applyAlignment="1" pivotButton="0" quotePrefix="0" xfId="0">
      <alignment horizontal="left" vertical="top" wrapText="1"/>
    </xf>
    <xf numFmtId="166" fontId="15" fillId="0" borderId="0" applyAlignment="1" pivotButton="0" quotePrefix="0" xfId="0">
      <alignment horizontal="left"/>
    </xf>
    <xf numFmtId="0" fontId="11" fillId="0" borderId="0" applyAlignment="1" pivotButton="0" quotePrefix="0" xfId="0">
      <alignment horizontal="justify"/>
    </xf>
    <xf numFmtId="0" fontId="1" fillId="0" borderId="0" applyAlignment="1" pivotButton="0" quotePrefix="0" xfId="0">
      <alignment horizontal="left" vertical="center"/>
    </xf>
    <xf numFmtId="0" fontId="1" fillId="0" borderId="0" applyAlignment="1" pivotButton="0" quotePrefix="0" xfId="0">
      <alignment horizontal="right" vertical="center" wrapText="1"/>
    </xf>
    <xf numFmtId="0" fontId="87" fillId="0" borderId="0" applyAlignment="1" pivotButton="0" quotePrefix="0" xfId="0">
      <alignment horizontal="left" vertical="center" wrapText="1"/>
    </xf>
    <xf numFmtId="0" fontId="2" fillId="0" borderId="0" applyAlignment="1" pivotButton="0" quotePrefix="0" xfId="0">
      <alignment horizontal="left" vertical="center" wrapText="1"/>
    </xf>
    <xf numFmtId="0" fontId="87" fillId="0" borderId="0" applyAlignment="1" pivotButton="0" quotePrefix="0" xfId="0">
      <alignment horizontal="left" vertical="center"/>
    </xf>
    <xf numFmtId="0" fontId="11" fillId="0" borderId="3" applyAlignment="1" pivotButton="0" quotePrefix="0" xfId="0">
      <alignment vertical="top"/>
    </xf>
    <xf numFmtId="173" fontId="0" fillId="2" borderId="0" pivotButton="0" quotePrefix="0" xfId="0"/>
    <xf numFmtId="0" fontId="97" fillId="0" borderId="0" applyAlignment="1" pivotButton="0" quotePrefix="0" xfId="0">
      <alignment vertical="top" wrapText="1"/>
    </xf>
    <xf numFmtId="0" fontId="15" fillId="0" borderId="0" applyAlignment="1" pivotButton="0" quotePrefix="0" xfId="0">
      <alignment horizontal="right" vertical="top" wrapText="1"/>
    </xf>
    <xf numFmtId="0" fontId="1" fillId="2" borderId="3" applyAlignment="1" pivotButton="0" quotePrefix="0" xfId="0">
      <alignment horizontal="center" vertical="top" wrapText="1"/>
    </xf>
    <xf numFmtId="0" fontId="1" fillId="2" borderId="29" applyAlignment="1" pivotButton="0" quotePrefix="0" xfId="0">
      <alignment horizontal="center" vertical="top" wrapText="1"/>
    </xf>
    <xf numFmtId="0" fontId="98" fillId="0" borderId="0" applyAlignment="1" pivotButton="0" quotePrefix="0" xfId="0">
      <alignment horizontal="right" vertical="top" wrapText="1"/>
    </xf>
    <xf numFmtId="0" fontId="2" fillId="16" borderId="0" applyAlignment="1" pivotButton="0" quotePrefix="0" xfId="0">
      <alignment vertical="top" wrapText="1"/>
    </xf>
    <xf numFmtId="0" fontId="2" fillId="17" borderId="1" applyAlignment="1" pivotButton="0" quotePrefix="0" xfId="0">
      <alignment horizontal="center" wrapText="1"/>
    </xf>
    <xf numFmtId="0" fontId="103" fillId="0" borderId="0" applyAlignment="1" pivotButton="0" quotePrefix="0" xfId="0">
      <alignment vertical="center"/>
    </xf>
    <xf numFmtId="0" fontId="104" fillId="8" borderId="61" applyAlignment="1" pivotButton="0" quotePrefix="0" xfId="0">
      <alignment vertical="center"/>
    </xf>
    <xf numFmtId="0" fontId="104" fillId="14" borderId="35" applyAlignment="1" pivotButton="0" quotePrefix="0" xfId="0">
      <alignment horizontal="center" vertical="center"/>
    </xf>
    <xf numFmtId="0" fontId="104" fillId="8" borderId="15" applyAlignment="1" pivotButton="0" quotePrefix="0" xfId="0">
      <alignment vertical="center"/>
    </xf>
    <xf numFmtId="0" fontId="104" fillId="14" borderId="37" applyAlignment="1" pivotButton="0" quotePrefix="0" xfId="0">
      <alignment horizontal="center" vertical="center"/>
    </xf>
    <xf numFmtId="0" fontId="104" fillId="8" borderId="70" applyAlignment="1" pivotButton="0" quotePrefix="0" xfId="0">
      <alignment vertical="center"/>
    </xf>
    <xf numFmtId="0" fontId="104" fillId="14" borderId="71" applyAlignment="1" pivotButton="0" quotePrefix="0" xfId="0">
      <alignment horizontal="center" vertical="center"/>
    </xf>
    <xf numFmtId="0" fontId="104" fillId="8" borderId="24" applyAlignment="1" pivotButton="0" quotePrefix="0" xfId="0">
      <alignment vertical="center" wrapText="1"/>
    </xf>
    <xf numFmtId="0" fontId="104" fillId="14" borderId="36" applyAlignment="1" pivotButton="0" quotePrefix="0" xfId="0">
      <alignment horizontal="center" vertical="center"/>
    </xf>
    <xf numFmtId="0" fontId="15" fillId="0" borderId="0" applyAlignment="1" pivotButton="0" quotePrefix="0" xfId="0">
      <alignment horizontal="left" vertical="top"/>
    </xf>
    <xf numFmtId="1" fontId="15" fillId="7" borderId="30" applyAlignment="1" pivotButton="0" quotePrefix="0" xfId="0">
      <alignment horizontal="center" vertical="center" wrapText="1"/>
    </xf>
    <xf numFmtId="1" fontId="15" fillId="7" borderId="37" applyAlignment="1" pivotButton="0" quotePrefix="0" xfId="0">
      <alignment horizontal="center" vertical="center" wrapText="1"/>
    </xf>
    <xf numFmtId="1" fontId="15" fillId="7" borderId="36" applyAlignment="1" pivotButton="0" quotePrefix="0" xfId="0">
      <alignment horizontal="center" vertical="center" wrapText="1"/>
    </xf>
    <xf numFmtId="165" fontId="42" fillId="2" borderId="35" applyAlignment="1" applyProtection="1" pivotButton="0" quotePrefix="0" xfId="0">
      <alignment horizontal="center"/>
      <protection locked="0" hidden="0"/>
    </xf>
    <xf numFmtId="165" fontId="42" fillId="2" borderId="36" applyAlignment="1" applyProtection="1" pivotButton="0" quotePrefix="0" xfId="0">
      <alignment horizontal="center"/>
      <protection locked="0" hidden="0"/>
    </xf>
    <xf numFmtId="1" fontId="7" fillId="10" borderId="72" applyAlignment="1" pivotButton="0" quotePrefix="0" xfId="0">
      <alignment horizontal="center" vertical="center"/>
    </xf>
    <xf numFmtId="1" fontId="7" fillId="2" borderId="10" applyAlignment="1" applyProtection="1" pivotButton="0" quotePrefix="0" xfId="0">
      <alignment horizontal="center" vertical="center"/>
      <protection locked="0" hidden="0"/>
    </xf>
    <xf numFmtId="1" fontId="7" fillId="2" borderId="72" applyAlignment="1" applyProtection="1" pivotButton="0" quotePrefix="0" xfId="0">
      <alignment horizontal="center" vertical="center"/>
      <protection locked="0" hidden="0"/>
    </xf>
    <xf numFmtId="1" fontId="7" fillId="11" borderId="11" applyAlignment="1" pivotButton="0" quotePrefix="0" xfId="0">
      <alignment horizontal="center" vertical="center"/>
    </xf>
    <xf numFmtId="1" fontId="7" fillId="10" borderId="11" applyAlignment="1" pivotButton="0" quotePrefix="0" xfId="0">
      <alignment horizontal="center" vertical="center"/>
    </xf>
    <xf numFmtId="1" fontId="1" fillId="0" borderId="30" applyAlignment="1" pivotButton="0" quotePrefix="0" xfId="0">
      <alignment horizontal="center" vertical="center" wrapText="1"/>
    </xf>
    <xf numFmtId="0" fontId="7" fillId="13" borderId="0" applyAlignment="1" applyProtection="1" pivotButton="0" quotePrefix="0" xfId="0">
      <alignment horizontal="left" vertical="center" wrapText="1" indent="1"/>
      <protection locked="0" hidden="0"/>
    </xf>
    <xf numFmtId="0" fontId="7" fillId="13" borderId="0" applyAlignment="1" applyProtection="1" pivotButton="0" quotePrefix="0" xfId="0">
      <alignment vertical="center" wrapText="1"/>
      <protection locked="0" hidden="0"/>
    </xf>
    <xf numFmtId="0" fontId="0" fillId="8" borderId="71" pivotButton="0" quotePrefix="0" xfId="0"/>
    <xf numFmtId="49" fontId="2" fillId="2" borderId="3" applyAlignment="1" applyProtection="1" pivotButton="0" quotePrefix="0" xfId="0">
      <alignment horizontal="left" wrapText="1" shrinkToFit="1"/>
      <protection locked="0" hidden="0"/>
    </xf>
    <xf numFmtId="1" fontId="78" fillId="0" borderId="0" applyAlignment="1" pivotButton="0" quotePrefix="0" xfId="0">
      <alignment vertical="center" wrapText="1"/>
    </xf>
    <xf numFmtId="0" fontId="42" fillId="2" borderId="57" applyAlignment="1" applyProtection="1" pivotButton="0" quotePrefix="0" xfId="0">
      <alignment horizontal="center" vertical="center"/>
      <protection locked="0" hidden="0"/>
    </xf>
    <xf numFmtId="1" fontId="39" fillId="2" borderId="48" applyAlignment="1" applyProtection="1" pivotButton="0" quotePrefix="0" xfId="0">
      <alignment horizontal="center" vertical="center"/>
      <protection locked="0" hidden="0"/>
    </xf>
    <xf numFmtId="1" fontId="55" fillId="2" borderId="46" applyAlignment="1" pivotButton="0" quotePrefix="0" xfId="0">
      <alignment horizontal="center" vertical="center"/>
    </xf>
    <xf numFmtId="0" fontId="1" fillId="13" borderId="0" applyAlignment="1" pivotButton="0" quotePrefix="0" xfId="0">
      <alignment horizontal="center" vertical="center" wrapText="1"/>
    </xf>
    <xf numFmtId="20" fontId="105" fillId="0" borderId="66" applyAlignment="1" applyProtection="1" pivotButton="0" quotePrefix="0" xfId="0">
      <alignment horizontal="center" vertical="center" wrapText="1"/>
      <protection locked="0" hidden="0"/>
    </xf>
    <xf numFmtId="0" fontId="105" fillId="0" borderId="9" applyAlignment="1" applyProtection="1" pivotButton="0" quotePrefix="0" xfId="0">
      <alignment horizontal="center" vertical="center"/>
      <protection locked="0" hidden="0"/>
    </xf>
    <xf numFmtId="0" fontId="0" fillId="0" borderId="0" applyAlignment="1" pivotButton="0" quotePrefix="0" xfId="0">
      <alignment wrapText="1"/>
    </xf>
    <xf numFmtId="0" fontId="0" fillId="0" borderId="0" applyAlignment="1" pivotButton="0" quotePrefix="0" xfId="0">
      <alignment horizontal="right"/>
    </xf>
    <xf numFmtId="0" fontId="106" fillId="0" borderId="0" pivotButton="0" quotePrefix="0" xfId="0"/>
    <xf numFmtId="0" fontId="25" fillId="0" borderId="0" applyAlignment="1" pivotButton="0" quotePrefix="0" xfId="0">
      <alignment horizontal="right" vertical="top" wrapText="1"/>
    </xf>
    <xf numFmtId="14" fontId="1" fillId="0" borderId="0" applyAlignment="1" pivotButton="0" quotePrefix="0" xfId="0">
      <alignment vertical="top" wrapText="1"/>
    </xf>
    <xf numFmtId="0" fontId="102" fillId="0" borderId="1" applyAlignment="1" pivotButton="0" quotePrefix="0" xfId="0">
      <alignment horizontal="center" wrapText="1" shrinkToFit="1"/>
    </xf>
    <xf numFmtId="0" fontId="102" fillId="0" borderId="1" applyAlignment="1" pivotButton="0" quotePrefix="0" xfId="0">
      <alignment vertical="top" wrapText="1" shrinkToFit="1"/>
    </xf>
    <xf numFmtId="14" fontId="15" fillId="0" borderId="1" applyAlignment="1" pivotButton="0" quotePrefix="0" xfId="0">
      <alignment vertical="center" wrapText="1" shrinkToFit="1"/>
    </xf>
    <xf numFmtId="0" fontId="110" fillId="0" borderId="1" applyAlignment="1" pivotButton="0" quotePrefix="0" xfId="0">
      <alignment vertical="center" wrapText="1" shrinkToFit="1"/>
    </xf>
    <xf numFmtId="0" fontId="15" fillId="0" borderId="1" applyAlignment="1" pivotButton="0" quotePrefix="0" xfId="0">
      <alignment vertical="center" wrapText="1" shrinkToFit="1"/>
    </xf>
    <xf numFmtId="14" fontId="110" fillId="0" borderId="1" applyAlignment="1" pivotButton="0" quotePrefix="0" xfId="0">
      <alignment vertical="center" wrapText="1" shrinkToFit="1"/>
    </xf>
    <xf numFmtId="49" fontId="107" fillId="0" borderId="1" applyAlignment="1" pivotButton="0" quotePrefix="0" xfId="0">
      <alignment horizontal="center"/>
    </xf>
    <xf numFmtId="0" fontId="0" fillId="0" borderId="87" applyAlignment="1" pivotButton="0" quotePrefix="0" xfId="0">
      <alignment vertical="top" wrapText="1"/>
    </xf>
    <xf numFmtId="0" fontId="0" fillId="0" borderId="29" applyAlignment="1" pivotButton="0" quotePrefix="0" xfId="0">
      <alignment vertical="top" wrapText="1"/>
    </xf>
    <xf numFmtId="0" fontId="2" fillId="0" borderId="0" applyAlignment="1" applyProtection="1" pivotButton="0" quotePrefix="0" xfId="0">
      <alignment horizontal="center" vertical="top" wrapText="1"/>
      <protection locked="0" hidden="0"/>
    </xf>
    <xf numFmtId="0" fontId="25" fillId="20" borderId="0" applyAlignment="1" pivotButton="0" quotePrefix="0" xfId="0">
      <alignment vertical="top" wrapText="1"/>
    </xf>
    <xf numFmtId="0" fontId="25" fillId="20" borderId="1" applyAlignment="1" pivotButton="0" quotePrefix="0" xfId="0">
      <alignment horizontal="right" vertical="top" wrapText="1"/>
    </xf>
    <xf numFmtId="14" fontId="25" fillId="20" borderId="1" applyAlignment="1" pivotButton="0" quotePrefix="0" xfId="0">
      <alignment vertical="top" wrapText="1"/>
    </xf>
    <xf numFmtId="0" fontId="33" fillId="20" borderId="0" applyAlignment="1" pivotButton="0" quotePrefix="0" xfId="0">
      <alignment vertical="top" wrapText="1"/>
    </xf>
    <xf numFmtId="14" fontId="33" fillId="20" borderId="0" applyAlignment="1" pivotButton="0" quotePrefix="0" xfId="0">
      <alignment vertical="top" wrapText="1"/>
    </xf>
    <xf numFmtId="0" fontId="1" fillId="20" borderId="1" applyAlignment="1" pivotButton="0" quotePrefix="0" xfId="0">
      <alignment horizontal="right" vertical="top" wrapText="1"/>
    </xf>
    <xf numFmtId="14" fontId="1" fillId="20" borderId="1" applyAlignment="1" pivotButton="0" quotePrefix="0" xfId="0">
      <alignment vertical="top" wrapText="1"/>
    </xf>
    <xf numFmtId="0" fontId="15" fillId="20" borderId="0" applyAlignment="1" pivotButton="0" quotePrefix="0" xfId="0">
      <alignment horizontal="right" vertical="top" wrapText="1"/>
    </xf>
    <xf numFmtId="0" fontId="34" fillId="20" borderId="9" applyAlignment="1" applyProtection="1" pivotButton="0" quotePrefix="0" xfId="0">
      <alignment horizontal="left" vertical="top" wrapText="1"/>
      <protection locked="0" hidden="0"/>
    </xf>
    <xf numFmtId="0" fontId="15" fillId="20" borderId="4" applyAlignment="1" applyProtection="1" pivotButton="0" quotePrefix="0" xfId="0">
      <alignment horizontal="right" vertical="top" wrapText="1"/>
      <protection locked="0" hidden="0"/>
    </xf>
    <xf numFmtId="0" fontId="1" fillId="20" borderId="0" applyAlignment="1" pivotButton="0" quotePrefix="0" xfId="0">
      <alignment horizontal="left" wrapText="1"/>
    </xf>
    <xf numFmtId="49" fontId="2" fillId="20" borderId="3" applyAlignment="1" applyProtection="1" pivotButton="0" quotePrefix="0" xfId="0">
      <alignment horizontal="left" wrapText="1" shrinkToFit="1"/>
      <protection locked="0" hidden="0"/>
    </xf>
    <xf numFmtId="49" fontId="2" fillId="0" borderId="3" applyAlignment="1" applyProtection="1" pivotButton="0" quotePrefix="0" xfId="0">
      <alignment horizontal="left" wrapText="1" shrinkToFit="1"/>
      <protection locked="0" hidden="0"/>
    </xf>
    <xf numFmtId="0" fontId="0" fillId="20" borderId="49" applyAlignment="1" pivotButton="0" quotePrefix="0" xfId="0">
      <alignment vertical="top" wrapText="1"/>
    </xf>
    <xf numFmtId="0" fontId="0" fillId="20" borderId="87" applyAlignment="1" pivotButton="0" quotePrefix="0" xfId="0">
      <alignment vertical="top" wrapText="1"/>
    </xf>
    <xf numFmtId="0" fontId="1" fillId="20" borderId="87" applyAlignment="1" pivotButton="0" quotePrefix="0" xfId="0">
      <alignment vertical="top" wrapText="1"/>
    </xf>
    <xf numFmtId="0" fontId="90" fillId="0" borderId="0" pivotButton="0" quotePrefix="0" xfId="0"/>
    <xf numFmtId="2" fontId="0" fillId="2" borderId="1" applyAlignment="1" applyProtection="1" pivotButton="0" quotePrefix="0" xfId="0">
      <alignment horizontal="center"/>
      <protection locked="0" hidden="0"/>
    </xf>
    <xf numFmtId="2" fontId="0" fillId="2" borderId="2" applyAlignment="1" applyProtection="1" pivotButton="0" quotePrefix="0" xfId="0">
      <alignment horizontal="center"/>
      <protection locked="0" hidden="0"/>
    </xf>
    <xf numFmtId="165" fontId="7" fillId="2" borderId="11" applyAlignment="1" pivotButton="0" quotePrefix="0" xfId="0">
      <alignment horizontal="center" vertical="center"/>
    </xf>
    <xf numFmtId="0" fontId="40" fillId="21" borderId="1" applyAlignment="1" pivotButton="0" quotePrefix="0" xfId="0">
      <alignment horizontal="center" vertical="center"/>
    </xf>
    <xf numFmtId="0" fontId="7" fillId="21" borderId="10" applyAlignment="1" pivotButton="0" quotePrefix="0" xfId="0">
      <alignment vertical="center"/>
    </xf>
    <xf numFmtId="0" fontId="1" fillId="0" borderId="0" applyAlignment="1" pivotButton="0" quotePrefix="0" xfId="0">
      <alignment horizontal="left" vertical="top" wrapText="1"/>
    </xf>
    <xf numFmtId="0" fontId="14" fillId="0" borderId="0" applyAlignment="1" pivotButton="0" quotePrefix="0" xfId="0">
      <alignment vertical="top" wrapText="1"/>
    </xf>
    <xf numFmtId="166" fontId="1" fillId="0" borderId="0" applyAlignment="1" applyProtection="1" pivotButton="0" quotePrefix="0" xfId="0">
      <alignment horizontal="left" vertical="top" wrapText="1"/>
      <protection locked="0" hidden="0"/>
    </xf>
    <xf numFmtId="0" fontId="14" fillId="8" borderId="0" applyAlignment="1" pivotButton="0" quotePrefix="0" xfId="0">
      <alignment horizontal="center" vertical="top" wrapText="1"/>
    </xf>
    <xf numFmtId="0" fontId="1" fillId="0" borderId="4" applyAlignment="1" pivotButton="0" quotePrefix="0" xfId="0">
      <alignment horizontal="right" vertical="top" wrapText="1"/>
    </xf>
    <xf numFmtId="0" fontId="87" fillId="0" borderId="0" applyAlignment="1" pivotButton="0" quotePrefix="0" xfId="0">
      <alignment vertical="top" wrapText="1"/>
    </xf>
    <xf numFmtId="0" fontId="1" fillId="0" borderId="0" applyAlignment="1" pivotButton="0" quotePrefix="0" xfId="0">
      <alignment vertical="center" wrapText="1"/>
    </xf>
    <xf numFmtId="0" fontId="1" fillId="0" borderId="0" applyAlignment="1" applyProtection="1" pivotButton="0" quotePrefix="0" xfId="0">
      <alignment horizontal="right" vertical="center" wrapText="1"/>
      <protection locked="0" hidden="0"/>
    </xf>
    <xf numFmtId="0" fontId="87" fillId="0" borderId="0" applyAlignment="1" pivotButton="0" quotePrefix="0" xfId="0">
      <alignment horizontal="center" vertical="top" wrapText="1"/>
    </xf>
    <xf numFmtId="0" fontId="1" fillId="0" borderId="0" applyAlignment="1" pivotButton="0" quotePrefix="0" xfId="0">
      <alignment horizontal="right" wrapText="1"/>
    </xf>
    <xf numFmtId="0" fontId="1" fillId="0" borderId="40" applyAlignment="1" pivotButton="0" quotePrefix="0" xfId="0">
      <alignment vertical="top" wrapText="1"/>
    </xf>
    <xf numFmtId="0" fontId="1" fillId="0" borderId="0" applyAlignment="1" pivotButton="0" quotePrefix="0" xfId="0">
      <alignment horizontal="left" vertical="top" wrapText="1" shrinkToFit="1"/>
    </xf>
    <xf numFmtId="0" fontId="68" fillId="0" borderId="14" applyAlignment="1" pivotButton="0" quotePrefix="0" xfId="0">
      <alignment vertical="center" wrapText="1"/>
    </xf>
    <xf numFmtId="1" fontId="1" fillId="7" borderId="9" applyAlignment="1" pivotButton="0" quotePrefix="0" xfId="0">
      <alignment horizontal="center" vertical="center" wrapText="1"/>
    </xf>
    <xf numFmtId="165" fontId="7" fillId="7" borderId="29" applyAlignment="1" pivotButton="0" quotePrefix="0" xfId="0">
      <alignment horizontal="center"/>
    </xf>
    <xf numFmtId="165" fontId="7" fillId="7" borderId="2" applyAlignment="1" pivotButton="0" quotePrefix="0" xfId="0">
      <alignment horizontal="center"/>
    </xf>
    <xf numFmtId="0" fontId="59" fillId="2" borderId="0" pivotButton="0" quotePrefix="0" xfId="0"/>
    <xf numFmtId="0" fontId="1" fillId="2" borderId="0" pivotButton="0" quotePrefix="0" xfId="0"/>
    <xf numFmtId="0" fontId="1" fillId="13" borderId="0" applyAlignment="1" pivotButton="0" quotePrefix="0" xfId="0">
      <alignment vertical="center"/>
    </xf>
    <xf numFmtId="0" fontId="1" fillId="0" borderId="7" applyAlignment="1" pivotButton="0" quotePrefix="0" xfId="0">
      <alignment horizontal="center" vertical="top" wrapText="1"/>
    </xf>
    <xf numFmtId="0" fontId="1" fillId="0" borderId="34" applyAlignment="1" pivotButton="0" quotePrefix="0" xfId="0">
      <alignment horizontal="center" vertical="top" wrapText="1"/>
    </xf>
    <xf numFmtId="0" fontId="1" fillId="0" borderId="12" applyAlignment="1" pivotButton="0" quotePrefix="0" xfId="0">
      <alignment horizontal="center" vertical="top" wrapText="1"/>
    </xf>
    <xf numFmtId="0" fontId="1" fillId="0" borderId="13" applyAlignment="1" pivotButton="0" quotePrefix="0" xfId="0">
      <alignment horizontal="center" vertical="top" wrapText="1"/>
    </xf>
    <xf numFmtId="0" fontId="1" fillId="0" borderId="14" applyAlignment="1" pivotButton="0" quotePrefix="0" xfId="0">
      <alignment horizontal="center" vertical="top" wrapText="1"/>
    </xf>
    <xf numFmtId="0" fontId="1" fillId="0" borderId="8" applyAlignment="1" pivotButton="0" quotePrefix="0" xfId="0">
      <alignment horizontal="center" vertical="top" wrapText="1"/>
    </xf>
    <xf numFmtId="0" fontId="7" fillId="0" borderId="73" pivotButton="0" quotePrefix="0" xfId="0"/>
    <xf numFmtId="0" fontId="7" fillId="0" borderId="73" applyAlignment="1" pivotButton="0" quotePrefix="0" xfId="0">
      <alignment horizontal="right"/>
    </xf>
    <xf numFmtId="0" fontId="7" fillId="0" borderId="73" applyAlignment="1" pivotButton="0" quotePrefix="0" xfId="0">
      <alignment horizontal="left"/>
    </xf>
    <xf numFmtId="0" fontId="1" fillId="0" borderId="1" applyAlignment="1" pivotButton="0" quotePrefix="0" xfId="0">
      <alignment horizontal="center" vertical="center" wrapText="1"/>
    </xf>
    <xf numFmtId="0" fontId="7" fillId="0" borderId="0" applyAlignment="1" pivotButton="0" quotePrefix="0" xfId="0">
      <alignment vertical="center"/>
    </xf>
    <xf numFmtId="0" fontId="7" fillId="0" borderId="0" applyAlignment="1" pivotButton="0" quotePrefix="0" xfId="0">
      <alignment horizontal="center"/>
    </xf>
    <xf numFmtId="0" fontId="1" fillId="0" borderId="1" applyAlignment="1" pivotButton="0" quotePrefix="0" xfId="0">
      <alignment horizontal="center" vertical="center"/>
    </xf>
    <xf numFmtId="166" fontId="1" fillId="0" borderId="0" applyAlignment="1" pivotButton="0" quotePrefix="0" xfId="0">
      <alignment horizontal="left"/>
    </xf>
    <xf numFmtId="0" fontId="61" fillId="0" borderId="61" applyAlignment="1" pivotButton="0" quotePrefix="0" xfId="0">
      <alignment vertical="center"/>
    </xf>
    <xf numFmtId="0" fontId="61" fillId="0" borderId="35" applyAlignment="1" pivotButton="0" quotePrefix="0" xfId="0">
      <alignment horizontal="center" vertical="center"/>
    </xf>
    <xf numFmtId="0" fontId="61" fillId="0" borderId="15" applyAlignment="1" pivotButton="0" quotePrefix="0" xfId="0">
      <alignment vertical="center"/>
    </xf>
    <xf numFmtId="0" fontId="61" fillId="0" borderId="37" applyAlignment="1" pivotButton="0" quotePrefix="0" xfId="0">
      <alignment horizontal="center" vertical="center"/>
    </xf>
    <xf numFmtId="0" fontId="61" fillId="0" borderId="24" applyAlignment="1" pivotButton="0" quotePrefix="0" xfId="0">
      <alignment vertical="center" wrapText="1"/>
    </xf>
    <xf numFmtId="0" fontId="61" fillId="0" borderId="36" applyAlignment="1" pivotButton="0" quotePrefix="0" xfId="0">
      <alignment horizontal="center" vertical="center"/>
    </xf>
    <xf numFmtId="0" fontId="23" fillId="0" borderId="0" applyAlignment="1" pivotButton="0" quotePrefix="0" xfId="0">
      <alignment horizontal="left" vertical="top" wrapText="1"/>
    </xf>
    <xf numFmtId="0" fontId="23" fillId="0" borderId="0" applyAlignment="1" pivotButton="0" quotePrefix="0" xfId="0">
      <alignment horizontal="left" vertical="top"/>
    </xf>
    <xf numFmtId="0" fontId="1" fillId="0" borderId="0" applyAlignment="1" pivotButton="0" quotePrefix="0" xfId="0">
      <alignment horizontal="left" vertical="top" wrapText="1"/>
    </xf>
    <xf numFmtId="0" fontId="1" fillId="0" borderId="0" applyAlignment="1" pivotButton="0" quotePrefix="0" xfId="0">
      <alignment horizontal="center" vertical="top" wrapText="1"/>
    </xf>
    <xf numFmtId="49" fontId="2" fillId="2" borderId="3" applyAlignment="1" applyProtection="1" pivotButton="0" quotePrefix="0" xfId="0">
      <alignment horizontal="left" wrapText="1" shrinkToFit="1"/>
      <protection locked="0" hidden="0"/>
    </xf>
    <xf numFmtId="0" fontId="39" fillId="2" borderId="76" applyAlignment="1" applyProtection="1" pivotButton="0" quotePrefix="0" xfId="0">
      <alignment horizontal="center" vertical="top" wrapText="1"/>
      <protection locked="0" hidden="0"/>
    </xf>
    <xf numFmtId="0" fontId="39" fillId="2" borderId="64" applyAlignment="1" applyProtection="1" pivotButton="0" quotePrefix="0" xfId="0">
      <alignment horizontal="center" vertical="top" wrapText="1"/>
      <protection locked="0" hidden="0"/>
    </xf>
    <xf numFmtId="0" fontId="98" fillId="0" borderId="0" applyAlignment="1" pivotButton="0" quotePrefix="0" xfId="0">
      <alignment horizontal="center" vertical="top" wrapText="1"/>
    </xf>
    <xf numFmtId="0" fontId="95" fillId="0" borderId="0" applyAlignment="1" pivotButton="0" quotePrefix="0" xfId="0">
      <alignment horizontal="justify" vertical="top" wrapText="1"/>
    </xf>
    <xf numFmtId="0" fontId="87" fillId="0" borderId="0" applyAlignment="1" pivotButton="0" quotePrefix="0" xfId="0">
      <alignment horizontal="left" vertical="center" wrapText="1"/>
    </xf>
    <xf numFmtId="0" fontId="1" fillId="2" borderId="75" applyAlignment="1" applyProtection="1" pivotButton="0" quotePrefix="0" xfId="0">
      <alignment horizontal="center" vertical="top" wrapText="1"/>
      <protection locked="0" hidden="0"/>
    </xf>
    <xf numFmtId="0" fontId="1" fillId="2" borderId="69" applyAlignment="1" applyProtection="1" pivotButton="0" quotePrefix="0" xfId="0">
      <alignment horizontal="center" vertical="top" wrapText="1"/>
      <protection locked="0" hidden="0"/>
    </xf>
    <xf numFmtId="0" fontId="2" fillId="2" borderId="3" applyAlignment="1" applyProtection="1" pivotButton="0" quotePrefix="0" xfId="0">
      <alignment horizontal="left" wrapText="1"/>
      <protection locked="0" hidden="0"/>
    </xf>
    <xf numFmtId="0" fontId="1" fillId="19" borderId="3" applyAlignment="1" pivotButton="0" quotePrefix="0" xfId="0">
      <alignment horizontal="left" vertical="center" wrapText="1"/>
    </xf>
    <xf numFmtId="0" fontId="40" fillId="2" borderId="20" applyAlignment="1" applyProtection="1" pivotButton="0" quotePrefix="0" xfId="0">
      <alignment horizontal="left" vertical="center" wrapText="1"/>
      <protection locked="0" hidden="0"/>
    </xf>
    <xf numFmtId="0" fontId="11" fillId="2" borderId="20" applyAlignment="1" applyProtection="1" pivotButton="0" quotePrefix="0" xfId="0">
      <alignment horizontal="left" vertical="center" wrapText="1"/>
      <protection locked="0" hidden="0"/>
    </xf>
    <xf numFmtId="0" fontId="1" fillId="0" borderId="0" applyAlignment="1" pivotButton="0" quotePrefix="0" xfId="0">
      <alignment horizontal="left" vertical="center" wrapText="1"/>
    </xf>
    <xf numFmtId="0" fontId="1" fillId="0" borderId="0" applyAlignment="1" pivotButton="0" quotePrefix="0" xfId="0">
      <alignment vertical="top" wrapText="1"/>
    </xf>
    <xf numFmtId="0" fontId="1" fillId="0" borderId="15" applyAlignment="1" pivotButton="0" quotePrefix="0" xfId="0">
      <alignment vertical="top" wrapText="1"/>
    </xf>
    <xf numFmtId="0" fontId="1" fillId="0" borderId="20" applyAlignment="1" pivotButton="0" quotePrefix="0" xfId="0">
      <alignment vertical="top" wrapText="1"/>
    </xf>
    <xf numFmtId="0" fontId="1" fillId="0" borderId="16" applyAlignment="1" pivotButton="0" quotePrefix="0" xfId="0">
      <alignment vertical="top" wrapText="1"/>
    </xf>
    <xf numFmtId="0" fontId="1" fillId="2" borderId="0" applyAlignment="1" applyProtection="1" pivotButton="0" quotePrefix="0" xfId="0">
      <alignment horizontal="left" vertical="top" wrapText="1"/>
      <protection locked="0" hidden="0"/>
    </xf>
    <xf numFmtId="0" fontId="1" fillId="2" borderId="3" applyAlignment="1" applyProtection="1" pivotButton="0" quotePrefix="0" xfId="0">
      <alignment horizontal="left" vertical="top" wrapText="1"/>
      <protection locked="0" hidden="0"/>
    </xf>
    <xf numFmtId="0" fontId="65" fillId="0" borderId="4" applyAlignment="1" pivotButton="0" quotePrefix="0" xfId="0">
      <alignment vertical="top" wrapText="1"/>
    </xf>
    <xf numFmtId="0" fontId="2" fillId="2" borderId="0" applyAlignment="1" pivotButton="0" quotePrefix="0" xfId="0">
      <alignment horizontal="center" vertical="top" wrapText="1"/>
    </xf>
    <xf numFmtId="0" fontId="2" fillId="0" borderId="0" applyAlignment="1" pivotButton="0" quotePrefix="0" xfId="0">
      <alignment horizontal="center" vertical="top" wrapText="1"/>
    </xf>
    <xf numFmtId="0" fontId="15" fillId="0" borderId="0" applyAlignment="1" pivotButton="0" quotePrefix="1" xfId="0">
      <alignment horizontal="center" wrapText="1"/>
    </xf>
    <xf numFmtId="0" fontId="1" fillId="0" borderId="26" applyAlignment="1" applyProtection="1" pivotButton="0" quotePrefix="0" xfId="0">
      <alignment vertical="top" wrapText="1"/>
      <protection locked="0" hidden="0"/>
    </xf>
    <xf numFmtId="0" fontId="1" fillId="0" borderId="23" applyAlignment="1" applyProtection="1" pivotButton="0" quotePrefix="0" xfId="0">
      <alignment vertical="top" wrapText="1"/>
      <protection locked="0" hidden="0"/>
    </xf>
    <xf numFmtId="0" fontId="1" fillId="0" borderId="52" applyAlignment="1" applyProtection="1" pivotButton="0" quotePrefix="0" xfId="0">
      <alignment vertical="top" wrapText="1"/>
      <protection locked="0" hidden="0"/>
    </xf>
    <xf numFmtId="0" fontId="1" fillId="0" borderId="38" applyAlignment="1" pivotButton="0" quotePrefix="0" xfId="0">
      <alignment vertical="top" wrapText="1"/>
    </xf>
    <xf numFmtId="0" fontId="1" fillId="0" borderId="1" applyAlignment="1" pivotButton="0" quotePrefix="0" xfId="0">
      <alignment vertical="top" wrapText="1"/>
    </xf>
    <xf numFmtId="0" fontId="1" fillId="2" borderId="19" applyAlignment="1" applyProtection="1" pivotButton="0" quotePrefix="0" xfId="0">
      <alignment horizontal="center" vertical="top" wrapText="1"/>
      <protection locked="0" hidden="0"/>
    </xf>
    <xf numFmtId="0" fontId="1" fillId="2" borderId="21" applyAlignment="1" applyProtection="1" pivotButton="0" quotePrefix="0" xfId="0">
      <alignment horizontal="center" vertical="top" wrapText="1"/>
      <protection locked="0" hidden="0"/>
    </xf>
    <xf numFmtId="0" fontId="2" fillId="0" borderId="0" applyAlignment="1" pivotButton="0" quotePrefix="0" xfId="0">
      <alignment horizontal="right" vertical="top"/>
    </xf>
    <xf numFmtId="0" fontId="2" fillId="0" borderId="0" applyAlignment="1" applyProtection="1" pivotButton="0" quotePrefix="0" xfId="0">
      <alignment horizontal="left" vertical="top" wrapText="1"/>
      <protection locked="0" hidden="0"/>
    </xf>
    <xf numFmtId="0" fontId="0" fillId="0" borderId="0" applyAlignment="1" pivotButton="0" quotePrefix="0" xfId="0">
      <alignment horizontal="center" vertical="top" wrapText="1"/>
    </xf>
    <xf numFmtId="0" fontId="51" fillId="0" borderId="0" applyAlignment="1" pivotButton="0" quotePrefix="0" xfId="0">
      <alignment horizontal="center" vertical="top" wrapText="1"/>
    </xf>
    <xf numFmtId="0" fontId="65" fillId="0" borderId="0" applyAlignment="1" pivotButton="0" quotePrefix="0" xfId="0">
      <alignment vertical="top" wrapText="1"/>
    </xf>
    <xf numFmtId="0" fontId="51" fillId="0" borderId="0" applyAlignment="1" pivotButton="0" quotePrefix="0" xfId="0">
      <alignment horizontal="center" vertical="center"/>
    </xf>
    <xf numFmtId="0" fontId="51" fillId="0" borderId="0" applyAlignment="1" pivotButton="0" quotePrefix="0" xfId="0">
      <alignment horizontal="center" vertical="center" wrapText="1"/>
    </xf>
    <xf numFmtId="0" fontId="51" fillId="0" borderId="0" applyAlignment="1" pivotButton="0" quotePrefix="0" xfId="0">
      <alignment horizontal="center"/>
    </xf>
    <xf numFmtId="0" fontId="1" fillId="0" borderId="15" applyAlignment="1" pivotButton="0" quotePrefix="0" xfId="0">
      <alignment horizontal="left" vertical="top" wrapText="1"/>
    </xf>
    <xf numFmtId="0" fontId="1" fillId="0" borderId="20" applyAlignment="1" pivotButton="0" quotePrefix="0" xfId="0">
      <alignment horizontal="left" vertical="top" wrapText="1"/>
    </xf>
    <xf numFmtId="0" fontId="1" fillId="0" borderId="16" applyAlignment="1" pivotButton="0" quotePrefix="0" xfId="0">
      <alignment horizontal="left" vertical="top" wrapText="1"/>
    </xf>
    <xf numFmtId="49" fontId="2" fillId="2" borderId="20" applyAlignment="1" applyProtection="1" pivotButton="0" quotePrefix="0" xfId="0">
      <alignment horizontal="left" wrapText="1" shrinkToFit="1"/>
      <protection locked="0" hidden="0"/>
    </xf>
    <xf numFmtId="0" fontId="1" fillId="19" borderId="3" applyAlignment="1" applyProtection="1" pivotButton="0" quotePrefix="0" xfId="0">
      <alignment horizontal="left" vertical="top" wrapText="1" shrinkToFit="1"/>
      <protection locked="0" hidden="0"/>
    </xf>
    <xf numFmtId="0" fontId="11" fillId="2" borderId="74" applyAlignment="1" applyProtection="1" pivotButton="0" quotePrefix="0" xfId="0">
      <alignment horizontal="left" vertical="top" wrapText="1" shrinkToFit="1"/>
      <protection locked="0" hidden="0"/>
    </xf>
    <xf numFmtId="0" fontId="25" fillId="0" borderId="0" applyAlignment="1" pivotButton="0" quotePrefix="0" xfId="0">
      <alignment vertical="top" wrapText="1"/>
    </xf>
    <xf numFmtId="0" fontId="2" fillId="2" borderId="0" applyAlignment="1" applyProtection="1" pivotButton="0" quotePrefix="0" xfId="0">
      <alignment horizontal="left" vertical="center" wrapText="1"/>
      <protection locked="0" hidden="0"/>
    </xf>
    <xf numFmtId="0" fontId="2" fillId="2" borderId="3" applyAlignment="1" applyProtection="1" pivotButton="0" quotePrefix="0" xfId="0">
      <alignment horizontal="left" vertical="center" wrapText="1"/>
      <protection locked="0" hidden="0"/>
    </xf>
    <xf numFmtId="0" fontId="1" fillId="2" borderId="3" applyAlignment="1" applyProtection="1" pivotButton="0" quotePrefix="0" xfId="0">
      <alignment horizontal="left" vertical="center" wrapText="1"/>
      <protection locked="0" hidden="0"/>
    </xf>
    <xf numFmtId="0" fontId="1" fillId="0" borderId="48" applyAlignment="1" pivotButton="0" quotePrefix="0" xfId="0">
      <alignment vertical="top" wrapText="1"/>
    </xf>
    <xf numFmtId="0" fontId="1" fillId="0" borderId="45" applyAlignment="1" pivotButton="0" quotePrefix="0" xfId="0">
      <alignment vertical="top" wrapText="1"/>
    </xf>
    <xf numFmtId="0" fontId="2" fillId="2" borderId="20" applyAlignment="1" applyProtection="1" pivotButton="0" quotePrefix="0" xfId="0">
      <alignment horizontal="left" wrapText="1"/>
      <protection locked="0" hidden="0"/>
    </xf>
    <xf numFmtId="0" fontId="2" fillId="18" borderId="3" applyAlignment="1" applyProtection="1" pivotButton="0" quotePrefix="0" xfId="0">
      <alignment horizontal="left" wrapText="1"/>
      <protection locked="0" hidden="0"/>
    </xf>
    <xf numFmtId="0" fontId="1" fillId="19" borderId="20" applyAlignment="1" pivotButton="0" quotePrefix="0" xfId="0">
      <alignment horizontal="left" vertical="top" wrapText="1"/>
    </xf>
    <xf numFmtId="0" fontId="9" fillId="0" borderId="0" applyAlignment="1" pivotButton="0" quotePrefix="0" xfId="0">
      <alignment horizontal="center" vertical="top" wrapText="1"/>
    </xf>
    <xf numFmtId="0" fontId="1" fillId="0" borderId="0" applyAlignment="1" pivotButton="0" quotePrefix="0" xfId="0">
      <alignment horizontal="justify" vertical="top" wrapText="1"/>
    </xf>
    <xf numFmtId="0" fontId="1" fillId="2" borderId="3" applyAlignment="1" applyProtection="1" pivotButton="0" quotePrefix="0" xfId="0">
      <alignment horizontal="center" vertical="center" wrapText="1"/>
      <protection locked="0" hidden="0"/>
    </xf>
    <xf numFmtId="0" fontId="0" fillId="2" borderId="3" applyAlignment="1" applyProtection="1" pivotButton="0" quotePrefix="0" xfId="0">
      <alignment horizontal="center" vertical="center" wrapText="1"/>
      <protection locked="0" hidden="0"/>
    </xf>
    <xf numFmtId="0" fontId="2" fillId="2" borderId="20" applyAlignment="1" applyProtection="1" pivotButton="0" quotePrefix="0" xfId="0">
      <alignment horizontal="left" vertical="top" wrapText="1"/>
      <protection locked="0" hidden="0"/>
    </xf>
    <xf numFmtId="0" fontId="1" fillId="0" borderId="0" applyAlignment="1" applyProtection="1" pivotButton="0" quotePrefix="0" xfId="0">
      <alignment vertical="top" wrapText="1"/>
      <protection locked="0" hidden="0"/>
    </xf>
    <xf numFmtId="1" fontId="1" fillId="0" borderId="12" applyAlignment="1" pivotButton="0" quotePrefix="0" xfId="0">
      <alignment horizontal="center" vertical="top"/>
    </xf>
    <xf numFmtId="1" fontId="1" fillId="0" borderId="13" applyAlignment="1" pivotButton="0" quotePrefix="0" xfId="0">
      <alignment horizontal="center" vertical="top"/>
    </xf>
    <xf numFmtId="1" fontId="1" fillId="0" borderId="14" applyAlignment="1" pivotButton="0" quotePrefix="0" xfId="0">
      <alignment horizontal="center" vertical="top"/>
    </xf>
    <xf numFmtId="1" fontId="1" fillId="0" borderId="22" applyAlignment="1" pivotButton="0" quotePrefix="0" xfId="0">
      <alignment horizontal="center"/>
    </xf>
    <xf numFmtId="1" fontId="1" fillId="0" borderId="23" applyAlignment="1" pivotButton="0" quotePrefix="0" xfId="0">
      <alignment horizontal="center"/>
    </xf>
    <xf numFmtId="1" fontId="1" fillId="0" borderId="28" applyAlignment="1" pivotButton="0" quotePrefix="0" xfId="0">
      <alignment horizontal="center"/>
    </xf>
    <xf numFmtId="1" fontId="1" fillId="0" borderId="0" applyAlignment="1" pivotButton="0" quotePrefix="0" xfId="0">
      <alignment horizontal="center"/>
    </xf>
    <xf numFmtId="1" fontId="1" fillId="0" borderId="12" applyAlignment="1" pivotButton="0" quotePrefix="0" xfId="0">
      <alignment horizontal="center"/>
    </xf>
    <xf numFmtId="1" fontId="1" fillId="0" borderId="13" applyAlignment="1" pivotButton="0" quotePrefix="0" xfId="0">
      <alignment horizontal="center"/>
    </xf>
    <xf numFmtId="1" fontId="1" fillId="0" borderId="14" applyAlignment="1" pivotButton="0" quotePrefix="0" xfId="0">
      <alignment horizontal="center"/>
    </xf>
    <xf numFmtId="0" fontId="9" fillId="6" borderId="11" applyAlignment="1" pivotButton="0" quotePrefix="0" xfId="0">
      <alignment horizontal="center" vertical="center" wrapText="1"/>
    </xf>
    <xf numFmtId="0" fontId="9" fillId="6" borderId="51" applyAlignment="1" pivotButton="0" quotePrefix="0" xfId="0">
      <alignment horizontal="center" vertical="center" wrapText="1"/>
    </xf>
    <xf numFmtId="1" fontId="56" fillId="3" borderId="17" applyAlignment="1" pivotButton="0" quotePrefix="0" xfId="0">
      <alignment horizontal="center" vertical="center" wrapText="1"/>
    </xf>
    <xf numFmtId="1" fontId="56" fillId="3" borderId="77" applyAlignment="1" pivotButton="0" quotePrefix="0" xfId="0">
      <alignment horizontal="center" vertical="center" wrapText="1"/>
    </xf>
    <xf numFmtId="1" fontId="0" fillId="0" borderId="0" applyAlignment="1" pivotButton="0" quotePrefix="0" xfId="0">
      <alignment horizontal="center"/>
    </xf>
    <xf numFmtId="1" fontId="0" fillId="0" borderId="13" applyAlignment="1" pivotButton="0" quotePrefix="0" xfId="0">
      <alignment horizontal="center"/>
    </xf>
    <xf numFmtId="1" fontId="0" fillId="0" borderId="14" applyAlignment="1" pivotButton="0" quotePrefix="0" xfId="0">
      <alignment horizontal="center"/>
    </xf>
    <xf numFmtId="1" fontId="0" fillId="0" borderId="23" applyAlignment="1" pivotButton="0" quotePrefix="0" xfId="0">
      <alignment horizontal="center"/>
    </xf>
    <xf numFmtId="1" fontId="0" fillId="0" borderId="28" applyAlignment="1" pivotButton="0" quotePrefix="0" xfId="0">
      <alignment horizontal="center"/>
    </xf>
    <xf numFmtId="0" fontId="41" fillId="10" borderId="11" applyAlignment="1" pivotButton="0" quotePrefix="0" xfId="0">
      <alignment horizontal="center" vertical="center" wrapText="1"/>
    </xf>
    <xf numFmtId="0" fontId="41" fillId="10" borderId="51" applyAlignment="1" pivotButton="0" quotePrefix="0" xfId="0">
      <alignment horizontal="center" vertical="center" wrapText="1"/>
    </xf>
    <xf numFmtId="0" fontId="56" fillId="3" borderId="19" applyAlignment="1" pivotButton="0" quotePrefix="0" xfId="0">
      <alignment horizontal="center" vertical="center" wrapText="1"/>
    </xf>
    <xf numFmtId="0" fontId="56" fillId="3" borderId="20" applyAlignment="1" pivotButton="0" quotePrefix="0" xfId="0">
      <alignment horizontal="center" vertical="center" wrapText="1"/>
    </xf>
    <xf numFmtId="0" fontId="56" fillId="3" borderId="16" applyAlignment="1" pivotButton="0" quotePrefix="0" xfId="0">
      <alignment horizontal="center" vertical="center" wrapText="1"/>
    </xf>
    <xf numFmtId="0" fontId="43" fillId="4" borderId="22" applyAlignment="1" pivotButton="0" quotePrefix="0" xfId="0">
      <alignment horizontal="center"/>
    </xf>
    <xf numFmtId="0" fontId="43" fillId="4" borderId="23" applyAlignment="1" pivotButton="0" quotePrefix="0" xfId="0">
      <alignment horizontal="center"/>
    </xf>
    <xf numFmtId="1" fontId="41" fillId="4" borderId="20" applyAlignment="1" pivotButton="0" quotePrefix="0" xfId="0">
      <alignment horizontal="right"/>
    </xf>
    <xf numFmtId="1" fontId="41" fillId="4" borderId="16" applyAlignment="1" pivotButton="0" quotePrefix="0" xfId="0">
      <alignment horizontal="right"/>
    </xf>
    <xf numFmtId="1" fontId="41" fillId="4" borderId="0" applyAlignment="1" pivotButton="0" quotePrefix="0" xfId="0">
      <alignment horizontal="right"/>
    </xf>
    <xf numFmtId="0" fontId="41" fillId="4" borderId="22" applyAlignment="1" pivotButton="0" quotePrefix="0" xfId="0">
      <alignment horizontal="center"/>
    </xf>
    <xf numFmtId="0" fontId="41" fillId="4" borderId="23" applyAlignment="1" pivotButton="0" quotePrefix="0" xfId="0">
      <alignment horizontal="center"/>
    </xf>
    <xf numFmtId="1" fontId="66" fillId="5" borderId="13" applyAlignment="1" pivotButton="0" quotePrefix="0" xfId="0">
      <alignment horizontal="center" vertical="center" wrapText="1"/>
    </xf>
    <xf numFmtId="1" fontId="66" fillId="5" borderId="0" applyAlignment="1" pivotButton="0" quotePrefix="0" xfId="0">
      <alignment horizontal="center" vertical="center" wrapText="1"/>
    </xf>
    <xf numFmtId="0" fontId="41" fillId="10" borderId="67" applyAlignment="1" pivotButton="0" quotePrefix="0" xfId="0">
      <alignment horizontal="center" vertical="center" wrapText="1"/>
    </xf>
    <xf numFmtId="1" fontId="41" fillId="10" borderId="0" applyAlignment="1" pivotButton="0" quotePrefix="0" xfId="0">
      <alignment horizontal="right" vertical="center" wrapText="1"/>
    </xf>
    <xf numFmtId="1" fontId="41" fillId="10" borderId="23" applyAlignment="1" pivotButton="0" quotePrefix="0" xfId="0">
      <alignment horizontal="right" vertical="center" wrapText="1"/>
    </xf>
    <xf numFmtId="0" fontId="58" fillId="5" borderId="22" applyAlignment="1" pivotButton="0" quotePrefix="0" xfId="0">
      <alignment horizontal="center"/>
    </xf>
    <xf numFmtId="0" fontId="58" fillId="5" borderId="23" applyAlignment="1" pivotButton="0" quotePrefix="0" xfId="0">
      <alignment horizontal="center"/>
    </xf>
    <xf numFmtId="1" fontId="41" fillId="4" borderId="3" applyAlignment="1" pivotButton="0" quotePrefix="0" xfId="0">
      <alignment horizontal="right"/>
    </xf>
    <xf numFmtId="1" fontId="41" fillId="4" borderId="29" applyAlignment="1" pivotButton="0" quotePrefix="0" xfId="0">
      <alignment horizontal="right"/>
    </xf>
    <xf numFmtId="0" fontId="43" fillId="5" borderId="12" applyAlignment="1" pivotButton="0" quotePrefix="0" xfId="0">
      <alignment horizontal="center" vertical="center"/>
    </xf>
    <xf numFmtId="0" fontId="43" fillId="5" borderId="13" applyAlignment="1" pivotButton="0" quotePrefix="0" xfId="0">
      <alignment horizontal="center" vertical="center"/>
    </xf>
    <xf numFmtId="0" fontId="43" fillId="5" borderId="14" applyAlignment="1" pivotButton="0" quotePrefix="0" xfId="0">
      <alignment horizontal="center" vertical="center"/>
    </xf>
    <xf numFmtId="0" fontId="41" fillId="10" borderId="7" applyAlignment="1" pivotButton="0" quotePrefix="0" xfId="0">
      <alignment horizontal="right"/>
    </xf>
    <xf numFmtId="0" fontId="41" fillId="10" borderId="0" applyAlignment="1" pivotButton="0" quotePrefix="0" xfId="0">
      <alignment horizontal="right"/>
    </xf>
    <xf numFmtId="1" fontId="24" fillId="7" borderId="5" applyAlignment="1" pivotButton="0" quotePrefix="0" xfId="0">
      <alignment horizontal="left" vertical="center" wrapText="1"/>
    </xf>
    <xf numFmtId="1" fontId="24" fillId="7" borderId="6" applyAlignment="1" pivotButton="0" quotePrefix="0" xfId="0">
      <alignment horizontal="left" vertical="center" wrapText="1"/>
    </xf>
    <xf numFmtId="0" fontId="45" fillId="5" borderId="14" applyAlignment="1" pivotButton="0" quotePrefix="0" xfId="0">
      <alignment vertical="center"/>
    </xf>
    <xf numFmtId="0" fontId="1" fillId="2" borderId="12" applyAlignment="1" applyProtection="1" pivotButton="0" quotePrefix="0" xfId="0">
      <alignment horizontal="left" vertical="top"/>
      <protection locked="0" hidden="0"/>
    </xf>
    <xf numFmtId="0" fontId="1" fillId="2" borderId="13" applyAlignment="1" applyProtection="1" pivotButton="0" quotePrefix="0" xfId="0">
      <alignment horizontal="left" vertical="top"/>
      <protection locked="0" hidden="0"/>
    </xf>
    <xf numFmtId="0" fontId="1" fillId="2" borderId="14" applyAlignment="1" applyProtection="1" pivotButton="0" quotePrefix="0" xfId="0">
      <alignment horizontal="left" vertical="top"/>
      <protection locked="0" hidden="0"/>
    </xf>
    <xf numFmtId="0" fontId="1" fillId="2" borderId="7" applyAlignment="1" applyProtection="1" pivotButton="0" quotePrefix="0" xfId="0">
      <alignment horizontal="left" vertical="top"/>
      <protection locked="0" hidden="0"/>
    </xf>
    <xf numFmtId="0" fontId="1" fillId="2" borderId="0" applyAlignment="1" applyProtection="1" pivotButton="0" quotePrefix="0" xfId="0">
      <alignment horizontal="left" vertical="top"/>
      <protection locked="0" hidden="0"/>
    </xf>
    <xf numFmtId="0" fontId="1" fillId="2" borderId="8" applyAlignment="1" applyProtection="1" pivotButton="0" quotePrefix="0" xfId="0">
      <alignment horizontal="left" vertical="top"/>
      <protection locked="0" hidden="0"/>
    </xf>
    <xf numFmtId="0" fontId="1" fillId="2" borderId="22" applyAlignment="1" applyProtection="1" pivotButton="0" quotePrefix="0" xfId="0">
      <alignment horizontal="left" vertical="top"/>
      <protection locked="0" hidden="0"/>
    </xf>
    <xf numFmtId="0" fontId="1" fillId="2" borderId="23" applyAlignment="1" applyProtection="1" pivotButton="0" quotePrefix="0" xfId="0">
      <alignment horizontal="left" vertical="top"/>
      <protection locked="0" hidden="0"/>
    </xf>
    <xf numFmtId="0" fontId="1" fillId="2" borderId="28" applyAlignment="1" applyProtection="1" pivotButton="0" quotePrefix="0" xfId="0">
      <alignment horizontal="left" vertical="top"/>
      <protection locked="0" hidden="0"/>
    </xf>
    <xf numFmtId="165" fontId="68" fillId="4" borderId="80" applyAlignment="1" pivotButton="0" quotePrefix="0" xfId="0">
      <alignment horizontal="center" vertical="center" wrapText="1"/>
    </xf>
    <xf numFmtId="165" fontId="68" fillId="4" borderId="8" applyAlignment="1" pivotButton="0" quotePrefix="0" xfId="0">
      <alignment horizontal="center" vertical="center" wrapText="1"/>
    </xf>
    <xf numFmtId="0" fontId="60" fillId="10" borderId="10" applyAlignment="1" pivotButton="0" quotePrefix="0" xfId="0">
      <alignment horizontal="left" vertical="center"/>
    </xf>
    <xf numFmtId="0" fontId="60" fillId="10" borderId="5" applyAlignment="1" pivotButton="0" quotePrefix="0" xfId="0">
      <alignment horizontal="left" vertical="center"/>
    </xf>
    <xf numFmtId="0" fontId="60" fillId="10" borderId="6" applyAlignment="1" pivotButton="0" quotePrefix="0" xfId="0">
      <alignment horizontal="left" vertical="center"/>
    </xf>
    <xf numFmtId="165" fontId="42" fillId="10" borderId="11" applyAlignment="1" applyProtection="1" pivotButton="0" quotePrefix="0" xfId="0">
      <alignment horizontal="center" vertical="center" wrapText="1"/>
      <protection locked="0" hidden="0"/>
    </xf>
    <xf numFmtId="165" fontId="42" fillId="10" borderId="51" applyAlignment="1" applyProtection="1" pivotButton="0" quotePrefix="0" xfId="0">
      <alignment horizontal="center" vertical="center" wrapText="1"/>
      <protection locked="0" hidden="0"/>
    </xf>
    <xf numFmtId="1" fontId="43" fillId="10" borderId="12" applyAlignment="1" pivotButton="0" quotePrefix="0" xfId="0">
      <alignment horizontal="center" vertical="center"/>
    </xf>
    <xf numFmtId="1" fontId="43" fillId="10" borderId="13" applyAlignment="1" pivotButton="0" quotePrefix="0" xfId="0">
      <alignment horizontal="center" vertical="center"/>
    </xf>
    <xf numFmtId="1" fontId="43" fillId="10" borderId="14" applyAlignment="1" pivotButton="0" quotePrefix="0" xfId="0">
      <alignment horizontal="center" vertical="center"/>
    </xf>
    <xf numFmtId="0" fontId="41" fillId="10" borderId="22" applyAlignment="1" pivotButton="0" quotePrefix="0" xfId="0">
      <alignment horizontal="right"/>
    </xf>
    <xf numFmtId="0" fontId="42" fillId="0" borderId="23" pivotButton="0" quotePrefix="0" xfId="0"/>
    <xf numFmtId="0" fontId="42" fillId="5" borderId="7" applyAlignment="1" pivotButton="0" quotePrefix="0" xfId="0">
      <alignment horizontal="right" wrapText="1"/>
    </xf>
    <xf numFmtId="0" fontId="42" fillId="5" borderId="0" applyAlignment="1" pivotButton="0" quotePrefix="0" xfId="0">
      <alignment horizontal="right" wrapText="1"/>
    </xf>
    <xf numFmtId="0" fontId="42" fillId="5" borderId="44" applyAlignment="1" pivotButton="0" quotePrefix="0" xfId="0">
      <alignment horizontal="right" wrapText="1"/>
    </xf>
    <xf numFmtId="0" fontId="60" fillId="5" borderId="12" applyAlignment="1" pivotButton="0" quotePrefix="0" xfId="0">
      <alignment horizontal="left"/>
    </xf>
    <xf numFmtId="0" fontId="60" fillId="5" borderId="13" applyAlignment="1" pivotButton="0" quotePrefix="0" xfId="0">
      <alignment horizontal="left"/>
    </xf>
    <xf numFmtId="0" fontId="60" fillId="5" borderId="14" applyAlignment="1" pivotButton="0" quotePrefix="0" xfId="0">
      <alignment horizontal="left"/>
    </xf>
    <xf numFmtId="0" fontId="2" fillId="0" borderId="0" applyAlignment="1" pivotButton="0" quotePrefix="0" xfId="0">
      <alignment horizontal="center"/>
    </xf>
    <xf numFmtId="1" fontId="43" fillId="5" borderId="61" applyAlignment="1" pivotButton="0" quotePrefix="0" xfId="0">
      <alignment horizontal="right"/>
    </xf>
    <xf numFmtId="1" fontId="43" fillId="5" borderId="56" applyAlignment="1" pivotButton="0" quotePrefix="0" xfId="0">
      <alignment horizontal="right"/>
    </xf>
    <xf numFmtId="0" fontId="47" fillId="5" borderId="10" applyAlignment="1" pivotButton="0" quotePrefix="0" xfId="0">
      <alignment horizontal="center"/>
    </xf>
    <xf numFmtId="0" fontId="47" fillId="5" borderId="5" applyAlignment="1" pivotButton="0" quotePrefix="0" xfId="0">
      <alignment horizontal="center"/>
    </xf>
    <xf numFmtId="0" fontId="47" fillId="5" borderId="6" applyAlignment="1" pivotButton="0" quotePrefix="0" xfId="0">
      <alignment horizontal="center"/>
    </xf>
    <xf numFmtId="0" fontId="45" fillId="2" borderId="48" applyAlignment="1" applyProtection="1" pivotButton="0" quotePrefix="0" xfId="0">
      <alignment horizontal="left"/>
      <protection locked="0" hidden="0"/>
    </xf>
    <xf numFmtId="0" fontId="45" fillId="2" borderId="45" applyAlignment="1" applyProtection="1" pivotButton="0" quotePrefix="0" xfId="0">
      <alignment horizontal="left"/>
      <protection locked="0" hidden="0"/>
    </xf>
    <xf numFmtId="0" fontId="45" fillId="2" borderId="46" applyAlignment="1" applyProtection="1" pivotButton="0" quotePrefix="0" xfId="0">
      <alignment horizontal="left"/>
      <protection locked="0" hidden="0"/>
    </xf>
    <xf numFmtId="0" fontId="45" fillId="2" borderId="40" applyAlignment="1" applyProtection="1" pivotButton="0" quotePrefix="0" xfId="0">
      <alignment horizontal="left"/>
      <protection locked="0" hidden="0"/>
    </xf>
    <xf numFmtId="0" fontId="45" fillId="2" borderId="2" applyAlignment="1" applyProtection="1" pivotButton="0" quotePrefix="0" xfId="0">
      <alignment horizontal="left"/>
      <protection locked="0" hidden="0"/>
    </xf>
    <xf numFmtId="0" fontId="45" fillId="2" borderId="41" applyAlignment="1" applyProtection="1" pivotButton="0" quotePrefix="0" xfId="0">
      <alignment horizontal="left"/>
      <protection locked="0" hidden="0"/>
    </xf>
    <xf numFmtId="1" fontId="78" fillId="0" borderId="7" applyAlignment="1" pivotButton="0" quotePrefix="0" xfId="0">
      <alignment horizontal="center" vertical="center" wrapText="1"/>
    </xf>
    <xf numFmtId="1" fontId="78" fillId="0" borderId="0" applyAlignment="1" pivotButton="0" quotePrefix="0" xfId="0">
      <alignment horizontal="center" vertical="center" wrapText="1"/>
    </xf>
    <xf numFmtId="1" fontId="43" fillId="4" borderId="12" applyAlignment="1" applyProtection="1" pivotButton="0" quotePrefix="0" xfId="0">
      <alignment horizontal="center"/>
      <protection locked="0" hidden="0"/>
    </xf>
    <xf numFmtId="1" fontId="43" fillId="4" borderId="13" applyAlignment="1" applyProtection="1" pivotButton="0" quotePrefix="0" xfId="0">
      <alignment horizontal="center"/>
      <protection locked="0" hidden="0"/>
    </xf>
    <xf numFmtId="1" fontId="43" fillId="4" borderId="14" applyAlignment="1" applyProtection="1" pivotButton="0" quotePrefix="0" xfId="0">
      <alignment horizontal="center"/>
      <protection locked="0" hidden="0"/>
    </xf>
    <xf numFmtId="0" fontId="42" fillId="5" borderId="34" applyAlignment="1" pivotButton="0" quotePrefix="0" xfId="0">
      <alignment horizontal="left" wrapText="1"/>
    </xf>
    <xf numFmtId="0" fontId="42" fillId="5" borderId="0" applyAlignment="1" pivotButton="0" quotePrefix="0" xfId="0">
      <alignment horizontal="left" wrapText="1"/>
    </xf>
    <xf numFmtId="0" fontId="78" fillId="4" borderId="12" applyAlignment="1" pivotButton="0" quotePrefix="0" xfId="0">
      <alignment horizontal="center" vertical="center" wrapText="1"/>
    </xf>
    <xf numFmtId="0" fontId="78" fillId="4" borderId="13" applyAlignment="1" pivotButton="0" quotePrefix="0" xfId="0">
      <alignment horizontal="center" vertical="center" wrapText="1"/>
    </xf>
    <xf numFmtId="0" fontId="78" fillId="4" borderId="14" applyAlignment="1" pivotButton="0" quotePrefix="0" xfId="0">
      <alignment horizontal="center" vertical="center" wrapText="1"/>
    </xf>
    <xf numFmtId="0" fontId="60" fillId="4" borderId="12" applyAlignment="1" pivotButton="0" quotePrefix="0" xfId="0">
      <alignment horizontal="right" vertical="center" wrapText="1"/>
    </xf>
    <xf numFmtId="0" fontId="60" fillId="4" borderId="13" applyAlignment="1" pivotButton="0" quotePrefix="0" xfId="0">
      <alignment horizontal="right" vertical="center" wrapText="1"/>
    </xf>
    <xf numFmtId="0" fontId="60" fillId="4" borderId="14" applyAlignment="1" pivotButton="0" quotePrefix="0" xfId="0">
      <alignment horizontal="right" vertical="center" wrapText="1"/>
    </xf>
    <xf numFmtId="0" fontId="43" fillId="5" borderId="38" applyAlignment="1" pivotButton="0" quotePrefix="0" xfId="0">
      <alignment horizontal="center" vertical="center"/>
    </xf>
    <xf numFmtId="0" fontId="43" fillId="5" borderId="1" applyAlignment="1" pivotButton="0" quotePrefix="0" xfId="0">
      <alignment horizontal="center" vertical="center"/>
    </xf>
    <xf numFmtId="0" fontId="43" fillId="5" borderId="39" applyAlignment="1" pivotButton="0" quotePrefix="0" xfId="0">
      <alignment horizontal="center" vertical="center"/>
    </xf>
    <xf numFmtId="0" fontId="43" fillId="4" borderId="0" applyAlignment="1" pivotButton="0" quotePrefix="0" xfId="0">
      <alignment horizontal="center" vertical="center" wrapText="1"/>
    </xf>
    <xf numFmtId="1" fontId="43" fillId="4" borderId="7" applyAlignment="1" pivotButton="0" quotePrefix="0" xfId="0">
      <alignment horizontal="left" vertical="center" wrapText="1"/>
    </xf>
    <xf numFmtId="0" fontId="43" fillId="4" borderId="8" applyAlignment="1" pivotButton="0" quotePrefix="0" xfId="0">
      <alignment horizontal="right" vertical="center" wrapText="1"/>
    </xf>
    <xf numFmtId="1" fontId="45" fillId="5" borderId="5" pivotButton="0" quotePrefix="0" xfId="0"/>
    <xf numFmtId="1" fontId="45" fillId="5" borderId="23" pivotButton="0" quotePrefix="0" xfId="0"/>
    <xf numFmtId="1" fontId="45" fillId="5" borderId="28" pivotButton="0" quotePrefix="0" xfId="0"/>
    <xf numFmtId="1" fontId="45" fillId="5" borderId="10" pivotButton="0" quotePrefix="0" xfId="0"/>
    <xf numFmtId="1" fontId="45" fillId="5" borderId="6" pivotButton="0" quotePrefix="0" xfId="0"/>
    <xf numFmtId="1" fontId="45" fillId="5" borderId="5" applyAlignment="1" pivotButton="0" quotePrefix="0" xfId="0">
      <alignment horizontal="left"/>
    </xf>
    <xf numFmtId="1" fontId="45" fillId="5" borderId="6" applyAlignment="1" pivotButton="0" quotePrefix="0" xfId="0">
      <alignment horizontal="left"/>
    </xf>
    <xf numFmtId="1" fontId="45" fillId="5" borderId="10" applyAlignment="1" pivotButton="0" quotePrefix="0" xfId="0">
      <alignment horizontal="left"/>
    </xf>
    <xf numFmtId="1" fontId="45" fillId="5" borderId="23" applyAlignment="1" pivotButton="0" quotePrefix="0" xfId="0">
      <alignment horizontal="left"/>
    </xf>
    <xf numFmtId="0" fontId="9" fillId="6" borderId="49" applyAlignment="1" pivotButton="0" quotePrefix="0" xfId="0">
      <alignment horizontal="center" vertical="center" wrapText="1"/>
    </xf>
    <xf numFmtId="0" fontId="9" fillId="6" borderId="29" applyAlignment="1" pivotButton="0" quotePrefix="0" xfId="0">
      <alignment horizontal="center" vertical="center" wrapText="1"/>
    </xf>
    <xf numFmtId="0" fontId="41" fillId="10" borderId="72" applyAlignment="1" pivotButton="0" quotePrefix="0" xfId="0">
      <alignment horizontal="center" vertical="center" wrapText="1"/>
    </xf>
    <xf numFmtId="0" fontId="41" fillId="10" borderId="59" applyAlignment="1" pivotButton="0" quotePrefix="0" xfId="0">
      <alignment horizontal="center" vertical="center" wrapText="1"/>
    </xf>
    <xf numFmtId="0" fontId="41" fillId="10" borderId="79" applyAlignment="1" pivotButton="0" quotePrefix="0" xfId="0">
      <alignment horizontal="center" vertical="center" wrapText="1"/>
    </xf>
    <xf numFmtId="0" fontId="41" fillId="10" borderId="50" applyAlignment="1" pivotButton="0" quotePrefix="0" xfId="0">
      <alignment horizontal="center" vertical="center" wrapText="1"/>
    </xf>
    <xf numFmtId="0" fontId="41" fillId="10" borderId="78" applyAlignment="1" pivotButton="0" quotePrefix="0" xfId="0">
      <alignment horizontal="center" vertical="center" wrapText="1"/>
    </xf>
    <xf numFmtId="0" fontId="41" fillId="10" borderId="47" applyAlignment="1" pivotButton="0" quotePrefix="0" xfId="0">
      <alignment horizontal="center" vertical="center" wrapText="1"/>
    </xf>
    <xf numFmtId="165" fontId="41" fillId="10" borderId="12" applyAlignment="1" pivotButton="0" quotePrefix="0" xfId="0">
      <alignment horizontal="center"/>
    </xf>
    <xf numFmtId="165" fontId="41" fillId="10" borderId="14" applyAlignment="1" pivotButton="0" quotePrefix="0" xfId="0">
      <alignment horizontal="center"/>
    </xf>
    <xf numFmtId="0" fontId="2" fillId="3" borderId="19" applyAlignment="1" pivotButton="0" quotePrefix="0" xfId="0">
      <alignment horizontal="center" vertical="center" wrapText="1"/>
    </xf>
    <xf numFmtId="0" fontId="2" fillId="3" borderId="20" applyAlignment="1" pivotButton="0" quotePrefix="0" xfId="0">
      <alignment horizontal="center" vertical="center" wrapText="1"/>
    </xf>
    <xf numFmtId="0" fontId="2" fillId="3" borderId="16" applyAlignment="1" pivotButton="0" quotePrefix="0" xfId="0">
      <alignment horizontal="center" vertical="center" wrapText="1"/>
    </xf>
    <xf numFmtId="0" fontId="41" fillId="10" borderId="61" applyAlignment="1" pivotButton="0" quotePrefix="0" xfId="0">
      <alignment horizontal="justify" vertical="center"/>
    </xf>
    <xf numFmtId="0" fontId="41" fillId="10" borderId="56" applyAlignment="1" pivotButton="0" quotePrefix="0" xfId="0">
      <alignment horizontal="justify" vertical="center"/>
    </xf>
    <xf numFmtId="0" fontId="77" fillId="5" borderId="10" applyAlignment="1" pivotButton="0" quotePrefix="0" xfId="0">
      <alignment horizontal="center" vertical="top" wrapText="1"/>
    </xf>
    <xf numFmtId="0" fontId="77" fillId="5" borderId="13" applyAlignment="1" pivotButton="0" quotePrefix="0" xfId="0">
      <alignment horizontal="center" vertical="top" wrapText="1"/>
    </xf>
    <xf numFmtId="0" fontId="77" fillId="5" borderId="14" applyAlignment="1" pivotButton="0" quotePrefix="0" xfId="0">
      <alignment horizontal="center" vertical="top" wrapText="1"/>
    </xf>
    <xf numFmtId="169" fontId="45" fillId="5" borderId="5" applyAlignment="1" pivotButton="0" quotePrefix="0" xfId="0">
      <alignment horizontal="left"/>
    </xf>
    <xf numFmtId="169" fontId="45" fillId="5" borderId="6" applyAlignment="1" pivotButton="0" quotePrefix="0" xfId="0">
      <alignment horizontal="left"/>
    </xf>
    <xf numFmtId="0" fontId="46" fillId="5" borderId="5" applyAlignment="1" pivotButton="0" quotePrefix="0" xfId="0">
      <alignment horizontal="left"/>
    </xf>
    <xf numFmtId="0" fontId="46" fillId="5" borderId="6" applyAlignment="1" pivotButton="0" quotePrefix="0" xfId="0">
      <alignment horizontal="left"/>
    </xf>
    <xf numFmtId="0" fontId="60" fillId="7" borderId="10" applyAlignment="1" pivotButton="0" quotePrefix="0" xfId="0">
      <alignment horizontal="left" vertical="center" wrapText="1"/>
    </xf>
    <xf numFmtId="0" fontId="60" fillId="7" borderId="5" applyAlignment="1" pivotButton="0" quotePrefix="0" xfId="0">
      <alignment horizontal="left" vertical="center"/>
    </xf>
    <xf numFmtId="0" fontId="60" fillId="7" borderId="6" applyAlignment="1" pivotButton="0" quotePrefix="0" xfId="0">
      <alignment horizontal="left" vertical="center"/>
    </xf>
    <xf numFmtId="0" fontId="43" fillId="5" borderId="10" applyAlignment="1" pivotButton="0" quotePrefix="0" xfId="0">
      <alignment horizontal="left" vertical="top"/>
    </xf>
    <xf numFmtId="0" fontId="43" fillId="5" borderId="5" applyAlignment="1" pivotButton="0" quotePrefix="0" xfId="0">
      <alignment horizontal="left" vertical="top"/>
    </xf>
    <xf numFmtId="0" fontId="43" fillId="5" borderId="6" applyAlignment="1" pivotButton="0" quotePrefix="0" xfId="0">
      <alignment horizontal="left" vertical="top"/>
    </xf>
    <xf numFmtId="1" fontId="45" fillId="5" borderId="13" applyAlignment="1" pivotButton="0" quotePrefix="0" xfId="0">
      <alignment horizontal="left"/>
    </xf>
    <xf numFmtId="0" fontId="45" fillId="5" borderId="10" applyAlignment="1" pivotButton="0" quotePrefix="0" xfId="0">
      <alignment horizontal="left"/>
    </xf>
    <xf numFmtId="0" fontId="1" fillId="0" borderId="5" applyAlignment="1" pivotButton="0" quotePrefix="0" xfId="0">
      <alignment horizontal="left"/>
    </xf>
    <xf numFmtId="0" fontId="1" fillId="0" borderId="6" applyAlignment="1" pivotButton="0" quotePrefix="0" xfId="0">
      <alignment horizontal="left"/>
    </xf>
    <xf numFmtId="0" fontId="1" fillId="0" borderId="5" pivotButton="0" quotePrefix="0" xfId="0"/>
    <xf numFmtId="0" fontId="45" fillId="5" borderId="5" applyAlignment="1" pivotButton="0" quotePrefix="0" xfId="0">
      <alignment horizontal="left"/>
    </xf>
    <xf numFmtId="0" fontId="45" fillId="5" borderId="6" applyAlignment="1" pivotButton="0" quotePrefix="0" xfId="0">
      <alignment horizontal="left"/>
    </xf>
    <xf numFmtId="0" fontId="43" fillId="5" borderId="7" applyAlignment="1" pivotButton="0" quotePrefix="0" xfId="0">
      <alignment horizontal="left" vertical="top" wrapText="1" readingOrder="1"/>
    </xf>
    <xf numFmtId="0" fontId="45" fillId="5" borderId="0" applyAlignment="1" pivotButton="0" quotePrefix="0" xfId="0">
      <alignment horizontal="left" vertical="top" wrapText="1" readingOrder="1"/>
    </xf>
    <xf numFmtId="0" fontId="45" fillId="5" borderId="8" applyAlignment="1" pivotButton="0" quotePrefix="0" xfId="0">
      <alignment horizontal="left" vertical="top" wrapText="1" readingOrder="1"/>
    </xf>
    <xf numFmtId="0" fontId="45" fillId="5" borderId="22" applyAlignment="1" pivotButton="0" quotePrefix="0" xfId="0">
      <alignment horizontal="left" vertical="top" wrapText="1" readingOrder="1"/>
    </xf>
    <xf numFmtId="0" fontId="45" fillId="5" borderId="23" applyAlignment="1" pivotButton="0" quotePrefix="0" xfId="0">
      <alignment horizontal="left" vertical="top" wrapText="1" readingOrder="1"/>
    </xf>
    <xf numFmtId="0" fontId="45" fillId="5" borderId="28" applyAlignment="1" pivotButton="0" quotePrefix="0" xfId="0">
      <alignment horizontal="left" vertical="top" wrapText="1" readingOrder="1"/>
    </xf>
    <xf numFmtId="1" fontId="43" fillId="4" borderId="22" applyAlignment="1" applyProtection="1" pivotButton="0" quotePrefix="0" xfId="0">
      <alignment horizontal="center"/>
      <protection locked="0" hidden="0"/>
    </xf>
    <xf numFmtId="1" fontId="43" fillId="4" borderId="23" applyAlignment="1" applyProtection="1" pivotButton="0" quotePrefix="0" xfId="0">
      <alignment horizontal="center"/>
      <protection locked="0" hidden="0"/>
    </xf>
    <xf numFmtId="1" fontId="43" fillId="4" borderId="28" applyAlignment="1" applyProtection="1" pivotButton="0" quotePrefix="0" xfId="0">
      <alignment horizontal="center"/>
      <protection locked="0" hidden="0"/>
    </xf>
    <xf numFmtId="2" fontId="41" fillId="10" borderId="24" applyAlignment="1" pivotButton="0" quotePrefix="0" xfId="0">
      <alignment horizontal="justify" vertical="center"/>
    </xf>
    <xf numFmtId="2" fontId="41" fillId="10" borderId="27" applyAlignment="1" pivotButton="0" quotePrefix="0" xfId="0">
      <alignment horizontal="justify" vertical="center"/>
    </xf>
    <xf numFmtId="1" fontId="2" fillId="3" borderId="17" applyAlignment="1" pivotButton="0" quotePrefix="0" xfId="0">
      <alignment horizontal="center" vertical="top" wrapText="1"/>
    </xf>
    <xf numFmtId="1" fontId="2" fillId="3" borderId="77" applyAlignment="1" pivotButton="0" quotePrefix="0" xfId="0">
      <alignment horizontal="center" vertical="top" wrapText="1"/>
    </xf>
    <xf numFmtId="0" fontId="44" fillId="5" borderId="22" applyAlignment="1" pivotButton="0" quotePrefix="0" xfId="0">
      <alignment horizontal="center" wrapText="1"/>
    </xf>
    <xf numFmtId="0" fontId="44" fillId="5" borderId="23" applyAlignment="1" pivotButton="0" quotePrefix="0" xfId="0">
      <alignment horizontal="center" wrapText="1"/>
    </xf>
    <xf numFmtId="0" fontId="44" fillId="5" borderId="28" applyAlignment="1" pivotButton="0" quotePrefix="0" xfId="0">
      <alignment horizontal="center" wrapText="1"/>
    </xf>
    <xf numFmtId="0" fontId="49" fillId="10" borderId="61" applyAlignment="1" pivotButton="0" quotePrefix="0" xfId="0">
      <alignment horizontal="justify" vertical="center"/>
    </xf>
    <xf numFmtId="0" fontId="49" fillId="10" borderId="56" applyAlignment="1" pivotButton="0" quotePrefix="0" xfId="0">
      <alignment horizontal="justify" vertical="center"/>
    </xf>
    <xf numFmtId="2" fontId="47" fillId="10" borderId="10" applyAlignment="1" pivotButton="0" quotePrefix="0" xfId="0">
      <alignment horizontal="center" vertical="center" wrapText="1"/>
    </xf>
    <xf numFmtId="2" fontId="47" fillId="10" borderId="5" applyAlignment="1" pivotButton="0" quotePrefix="0" xfId="0">
      <alignment horizontal="center" vertical="center" wrapText="1"/>
    </xf>
    <xf numFmtId="2" fontId="47" fillId="10" borderId="28" applyAlignment="1" pivotButton="0" quotePrefix="0" xfId="0">
      <alignment horizontal="center" vertical="center" wrapText="1"/>
    </xf>
    <xf numFmtId="165" fontId="60" fillId="10" borderId="12" applyAlignment="1" pivotButton="0" quotePrefix="0" xfId="0">
      <alignment horizontal="center" vertical="center"/>
    </xf>
    <xf numFmtId="165" fontId="60" fillId="10" borderId="14" applyAlignment="1" pivotButton="0" quotePrefix="0" xfId="0">
      <alignment horizontal="center" vertical="center"/>
    </xf>
    <xf numFmtId="0" fontId="41" fillId="10" borderId="10" applyAlignment="1" pivotButton="0" quotePrefix="0" xfId="0">
      <alignment horizontal="center" vertical="center" wrapText="1"/>
    </xf>
    <xf numFmtId="0" fontId="41" fillId="10" borderId="5" applyAlignment="1" pivotButton="0" quotePrefix="0" xfId="0">
      <alignment horizontal="center" vertical="center" wrapText="1"/>
    </xf>
    <xf numFmtId="2" fontId="49" fillId="10" borderId="24" applyAlignment="1" pivotButton="0" quotePrefix="0" xfId="0">
      <alignment horizontal="justify" vertical="center"/>
    </xf>
    <xf numFmtId="2" fontId="49" fillId="10" borderId="27" applyAlignment="1" pivotButton="0" quotePrefix="0" xfId="0">
      <alignment horizontal="justify" vertical="center"/>
    </xf>
    <xf numFmtId="0" fontId="43" fillId="10" borderId="61" applyAlignment="1" pivotButton="0" quotePrefix="0" xfId="0">
      <alignment horizontal="justify" vertical="center"/>
    </xf>
    <xf numFmtId="0" fontId="43" fillId="10" borderId="56" applyAlignment="1" pivotButton="0" quotePrefix="0" xfId="0">
      <alignment horizontal="justify" vertical="center"/>
    </xf>
    <xf numFmtId="2" fontId="47" fillId="10" borderId="6" applyAlignment="1" pivotButton="0" quotePrefix="0" xfId="0">
      <alignment horizontal="center" vertical="center" wrapText="1"/>
    </xf>
    <xf numFmtId="2" fontId="10" fillId="0" borderId="7" applyAlignment="1" pivotButton="0" quotePrefix="0" xfId="0">
      <alignment horizontal="left"/>
    </xf>
    <xf numFmtId="2" fontId="10" fillId="0" borderId="0" applyAlignment="1" pivotButton="0" quotePrefix="0" xfId="0">
      <alignment horizontal="left"/>
    </xf>
    <xf numFmtId="2" fontId="3" fillId="0" borderId="7" applyAlignment="1" pivotButton="0" quotePrefix="0" xfId="0">
      <alignment horizontal="left"/>
    </xf>
    <xf numFmtId="2" fontId="3" fillId="0" borderId="0" applyAlignment="1" pivotButton="0" quotePrefix="0" xfId="0">
      <alignment horizontal="left"/>
    </xf>
    <xf numFmtId="2" fontId="12" fillId="0" borderId="7" applyAlignment="1" pivotButton="0" quotePrefix="0" xfId="0">
      <alignment horizontal="center" vertical="center"/>
    </xf>
    <xf numFmtId="2" fontId="12" fillId="0" borderId="0" applyAlignment="1" pivotButton="0" quotePrefix="0" xfId="0">
      <alignment horizontal="center" vertical="center"/>
    </xf>
    <xf numFmtId="49" fontId="105" fillId="0" borderId="10" applyAlignment="1" applyProtection="1" pivotButton="0" quotePrefix="0" xfId="0">
      <alignment horizontal="center" vertical="center" wrapText="1"/>
      <protection locked="0" hidden="0"/>
    </xf>
    <xf numFmtId="49" fontId="107" fillId="0" borderId="5" applyAlignment="1" applyProtection="1" pivotButton="0" quotePrefix="0" xfId="0">
      <alignment horizontal="center" vertical="center" wrapText="1"/>
      <protection locked="0" hidden="0"/>
    </xf>
    <xf numFmtId="49" fontId="107" fillId="0" borderId="6" applyAlignment="1" applyProtection="1" pivotButton="0" quotePrefix="0" xfId="0">
      <alignment horizontal="center" vertical="center" wrapText="1"/>
      <protection locked="0" hidden="0"/>
    </xf>
    <xf numFmtId="0" fontId="107" fillId="0" borderId="6" applyAlignment="1" applyProtection="1" pivotButton="0" quotePrefix="0" xfId="0">
      <alignment horizontal="center" vertical="center" wrapText="1"/>
      <protection locked="0" hidden="0"/>
    </xf>
    <xf numFmtId="0" fontId="7" fillId="13" borderId="0" applyAlignment="1" applyProtection="1" pivotButton="0" quotePrefix="0" xfId="0">
      <alignment horizontal="justify" vertical="top" wrapText="1"/>
      <protection locked="0" hidden="0"/>
    </xf>
    <xf numFmtId="20" fontId="55" fillId="0" borderId="10" applyAlignment="1" pivotButton="0" quotePrefix="0" xfId="0">
      <alignment horizontal="center" vertical="center" wrapText="1"/>
    </xf>
    <xf numFmtId="0" fontId="39" fillId="0" borderId="5" applyAlignment="1" pivotButton="0" quotePrefix="0" xfId="0">
      <alignment horizontal="center" vertical="center" wrapText="1"/>
    </xf>
    <xf numFmtId="0" fontId="39" fillId="0" borderId="6" applyAlignment="1" pivotButton="0" quotePrefix="0" xfId="0">
      <alignment horizontal="center" vertical="center" wrapText="1"/>
    </xf>
    <xf numFmtId="20" fontId="105" fillId="0" borderId="10" applyAlignment="1" applyProtection="1" pivotButton="0" quotePrefix="0" xfId="0">
      <alignment horizontal="center" vertical="center" wrapText="1"/>
      <protection locked="0" hidden="0"/>
    </xf>
    <xf numFmtId="0" fontId="107" fillId="0" borderId="5" applyAlignment="1" applyProtection="1" pivotButton="0" quotePrefix="0" xfId="0">
      <alignment horizontal="center" vertical="center" wrapText="1"/>
      <protection locked="0" hidden="0"/>
    </xf>
    <xf numFmtId="0" fontId="2" fillId="2" borderId="12" applyAlignment="1" pivotButton="0" quotePrefix="0" xfId="0">
      <alignment horizontal="center" vertical="center" wrapText="1"/>
    </xf>
    <xf numFmtId="0" fontId="2" fillId="2" borderId="13" applyAlignment="1" pivotButton="0" quotePrefix="0" xfId="0">
      <alignment horizontal="center" vertical="center" wrapText="1"/>
    </xf>
    <xf numFmtId="0" fontId="2" fillId="2" borderId="14"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0" applyAlignment="1" pivotButton="0" quotePrefix="0" xfId="0">
      <alignment horizontal="center" vertical="center" wrapText="1"/>
    </xf>
    <xf numFmtId="0" fontId="2" fillId="2" borderId="8" applyAlignment="1" pivotButton="0" quotePrefix="0" xfId="0">
      <alignment horizontal="center" vertical="center" wrapText="1"/>
    </xf>
    <xf numFmtId="0" fontId="61" fillId="2" borderId="10" applyAlignment="1" pivotButton="0" quotePrefix="0" xfId="0">
      <alignment horizontal="center" vertical="center" wrapText="1"/>
    </xf>
    <xf numFmtId="0" fontId="61" fillId="2" borderId="5" applyAlignment="1" pivotButton="0" quotePrefix="0" xfId="0">
      <alignment horizontal="center" vertical="center" wrapText="1"/>
    </xf>
    <xf numFmtId="0" fontId="61" fillId="2" borderId="6" applyAlignment="1" pivotButton="0" quotePrefix="0" xfId="0">
      <alignment horizontal="center" vertical="center" wrapText="1"/>
    </xf>
    <xf numFmtId="0" fontId="39" fillId="8" borderId="10" applyAlignment="1" pivotButton="0" quotePrefix="0" xfId="0">
      <alignment horizontal="center"/>
    </xf>
    <xf numFmtId="0" fontId="39" fillId="8" borderId="5" applyAlignment="1" pivotButton="0" quotePrefix="0" xfId="0">
      <alignment horizontal="center"/>
    </xf>
    <xf numFmtId="0" fontId="39" fillId="8" borderId="6" applyAlignment="1" pivotButton="0" quotePrefix="0" xfId="0">
      <alignment horizontal="center"/>
    </xf>
    <xf numFmtId="0" fontId="0" fillId="2" borderId="0" applyAlignment="1" pivotButton="0" quotePrefix="0" xfId="0">
      <alignment horizontal="center" vertical="center" wrapText="1"/>
    </xf>
    <xf numFmtId="0" fontId="0" fillId="0" borderId="0" applyAlignment="1" pivotButton="0" quotePrefix="0" xfId="0">
      <alignment horizontal="justify" vertical="top" wrapText="1"/>
    </xf>
    <xf numFmtId="0" fontId="7" fillId="13" borderId="0" applyAlignment="1" pivotButton="0" quotePrefix="0" xfId="0">
      <alignment horizontal="justify" vertical="top" wrapText="1"/>
    </xf>
    <xf numFmtId="0" fontId="1" fillId="13" borderId="4" applyAlignment="1" pivotButton="0" quotePrefix="0" xfId="0">
      <alignment horizontal="center" vertical="center" wrapText="1"/>
    </xf>
    <xf numFmtId="0" fontId="2" fillId="2" borderId="10" applyAlignment="1" pivotButton="0" quotePrefix="0" xfId="0">
      <alignment horizontal="center" vertical="center" wrapText="1"/>
    </xf>
    <xf numFmtId="0" fontId="2" fillId="2" borderId="5" applyAlignment="1" pivotButton="0" quotePrefix="0" xfId="0">
      <alignment horizontal="center" vertical="center" wrapText="1"/>
    </xf>
    <xf numFmtId="0" fontId="2" fillId="2" borderId="6" applyAlignment="1" pivotButton="0" quotePrefix="0" xfId="0">
      <alignment horizontal="center" vertical="center" wrapText="1"/>
    </xf>
    <xf numFmtId="0" fontId="7" fillId="13" borderId="0" applyAlignment="1" pivotButton="0" quotePrefix="0" xfId="0">
      <alignment horizontal="center" vertical="top"/>
    </xf>
    <xf numFmtId="49" fontId="1" fillId="13" borderId="0" applyAlignment="1" pivotButton="0" quotePrefix="0" xfId="0">
      <alignment horizontal="center" vertical="center" wrapText="1"/>
    </xf>
    <xf numFmtId="173" fontId="0" fillId="2" borderId="0" applyAlignment="1" pivotButton="0" quotePrefix="0" xfId="0">
      <alignment horizontal="center"/>
    </xf>
    <xf numFmtId="0" fontId="16" fillId="13" borderId="0" applyAlignment="1" pivotButton="0" quotePrefix="0" xfId="0">
      <alignment horizontal="center" vertical="top"/>
    </xf>
    <xf numFmtId="0" fontId="1" fillId="13" borderId="0" applyAlignment="1" pivotButton="0" quotePrefix="0" xfId="0">
      <alignment horizontal="center" vertical="center" wrapText="1"/>
    </xf>
    <xf numFmtId="0" fontId="6" fillId="13" borderId="0" applyAlignment="1" pivotButton="0" quotePrefix="0" xfId="0">
      <alignment horizontal="center" vertical="top"/>
    </xf>
    <xf numFmtId="20" fontId="55" fillId="8" borderId="10" applyAlignment="1" pivotButton="0" quotePrefix="0" xfId="0">
      <alignment horizontal="center" vertical="center" wrapText="1"/>
    </xf>
    <xf numFmtId="0" fontId="39" fillId="8" borderId="5" applyAlignment="1" pivotButton="0" quotePrefix="0" xfId="0">
      <alignment horizontal="center" vertical="center" wrapText="1"/>
    </xf>
    <xf numFmtId="0" fontId="39" fillId="8" borderId="6" applyAlignment="1" pivotButton="0" quotePrefix="0" xfId="0">
      <alignment horizontal="center" vertical="center" wrapText="1"/>
    </xf>
    <xf numFmtId="0" fontId="105" fillId="0" borderId="10" applyAlignment="1" applyProtection="1" pivotButton="0" quotePrefix="0" xfId="0">
      <alignment horizontal="center" vertical="center" wrapText="1"/>
      <protection locked="0" hidden="0"/>
    </xf>
    <xf numFmtId="0" fontId="105" fillId="0" borderId="6" applyAlignment="1" applyProtection="1" pivotButton="0" quotePrefix="0" xfId="0">
      <alignment horizontal="center" vertical="center" wrapText="1"/>
      <protection locked="0" hidden="0"/>
    </xf>
    <xf numFmtId="49" fontId="111" fillId="0" borderId="10" applyAlignment="1" applyProtection="1" pivotButton="0" quotePrefix="0" xfId="3">
      <alignment horizontal="center" vertical="center" wrapText="1"/>
      <protection locked="0" hidden="0"/>
    </xf>
    <xf numFmtId="49" fontId="111" fillId="0" borderId="6" applyAlignment="1" applyProtection="1" pivotButton="0" quotePrefix="0" xfId="3">
      <alignment horizontal="center" vertical="center" wrapText="1"/>
      <protection locked="0" hidden="0"/>
    </xf>
    <xf numFmtId="0" fontId="9" fillId="13" borderId="0" applyAlignment="1" pivotButton="0" quotePrefix="0" xfId="0">
      <alignment horizontal="center" vertical="top" wrapText="1"/>
    </xf>
    <xf numFmtId="0" fontId="9" fillId="13" borderId="0" applyAlignment="1" pivotButton="0" quotePrefix="0" xfId="0">
      <alignment horizontal="justify" vertical="top"/>
    </xf>
    <xf numFmtId="0" fontId="7" fillId="0" borderId="0" applyAlignment="1" pivotButton="0" quotePrefix="0" xfId="0">
      <alignment horizontal="justify" vertical="top"/>
    </xf>
    <xf numFmtId="0" fontId="83" fillId="13" borderId="0" applyAlignment="1" pivotButton="0" quotePrefix="0" xfId="0">
      <alignment horizontal="justify" vertical="top" wrapText="1"/>
    </xf>
    <xf numFmtId="0" fontId="7" fillId="13" borderId="15" applyAlignment="1" applyProtection="1" pivotButton="0" quotePrefix="0" xfId="0">
      <alignment horizontal="left" vertical="center" wrapText="1" indent="1"/>
      <protection locked="0" hidden="0"/>
    </xf>
    <xf numFmtId="0" fontId="7" fillId="13" borderId="20" applyAlignment="1" applyProtection="1" pivotButton="0" quotePrefix="0" xfId="0">
      <alignment horizontal="left" vertical="center" wrapText="1" indent="1"/>
      <protection locked="0" hidden="0"/>
    </xf>
    <xf numFmtId="0" fontId="7" fillId="13" borderId="21" applyAlignment="1" applyProtection="1" pivotButton="0" quotePrefix="0" xfId="0">
      <alignment horizontal="left" vertical="center" wrapText="1" indent="1"/>
      <protection locked="0" hidden="0"/>
    </xf>
    <xf numFmtId="0" fontId="80" fillId="13" borderId="0" applyAlignment="1" pivotButton="0" quotePrefix="0" xfId="0">
      <alignment horizontal="left" vertical="center"/>
    </xf>
    <xf numFmtId="0" fontId="7" fillId="13" borderId="24" applyAlignment="1" applyProtection="1" pivotButton="0" quotePrefix="0" xfId="0">
      <alignment horizontal="left" vertical="center" wrapText="1" indent="1"/>
      <protection locked="0" hidden="0"/>
    </xf>
    <xf numFmtId="0" fontId="7" fillId="13" borderId="27" applyAlignment="1" applyProtection="1" pivotButton="0" quotePrefix="0" xfId="0">
      <alignment horizontal="left" vertical="center" wrapText="1" indent="1"/>
      <protection locked="0" hidden="0"/>
    </xf>
    <xf numFmtId="0" fontId="7" fillId="13" borderId="64" applyAlignment="1" applyProtection="1" pivotButton="0" quotePrefix="0" xfId="0">
      <alignment horizontal="left" vertical="center" wrapText="1" indent="1"/>
      <protection locked="0" hidden="0"/>
    </xf>
    <xf numFmtId="0" fontId="7" fillId="13" borderId="0" applyAlignment="1" pivotButton="0" quotePrefix="0" xfId="0">
      <alignment horizontal="left" vertical="center" wrapText="1"/>
    </xf>
    <xf numFmtId="0" fontId="5" fillId="13" borderId="0" applyAlignment="1" pivotButton="0" quotePrefix="0" xfId="1">
      <alignment horizontal="left" vertical="center"/>
    </xf>
    <xf numFmtId="0" fontId="7" fillId="13" borderId="0" applyAlignment="1" pivotButton="0" quotePrefix="0" xfId="0">
      <alignment horizontal="left" vertical="center"/>
    </xf>
    <xf numFmtId="1" fontId="7" fillId="13" borderId="0" applyAlignment="1" pivotButton="0" quotePrefix="0" xfId="0">
      <alignment horizontal="left" vertical="center"/>
    </xf>
    <xf numFmtId="0" fontId="7" fillId="13" borderId="61" applyAlignment="1" applyProtection="1" pivotButton="0" quotePrefix="0" xfId="0">
      <alignment horizontal="left" vertical="center" wrapText="1" indent="1"/>
      <protection locked="0" hidden="0"/>
    </xf>
    <xf numFmtId="0" fontId="7" fillId="13" borderId="56" applyAlignment="1" applyProtection="1" pivotButton="0" quotePrefix="0" xfId="0">
      <alignment horizontal="left" vertical="center" wrapText="1" indent="1"/>
      <protection locked="0" hidden="0"/>
    </xf>
    <xf numFmtId="0" fontId="7" fillId="13" borderId="86" applyAlignment="1" applyProtection="1" pivotButton="0" quotePrefix="0" xfId="0">
      <alignment horizontal="left" vertical="center" wrapText="1" indent="1"/>
      <protection locked="0" hidden="0"/>
    </xf>
    <xf numFmtId="0" fontId="7" fillId="13" borderId="65" applyAlignment="1" applyProtection="1" pivotButton="0" quotePrefix="0" xfId="0">
      <alignment horizontal="left" vertical="center" wrapText="1" indent="1"/>
      <protection locked="0" hidden="0"/>
    </xf>
    <xf numFmtId="0" fontId="7" fillId="13" borderId="3" applyAlignment="1" applyProtection="1" pivotButton="0" quotePrefix="0" xfId="0">
      <alignment horizontal="left" vertical="center" wrapText="1" indent="1"/>
      <protection locked="0" hidden="0"/>
    </xf>
    <xf numFmtId="0" fontId="7" fillId="13" borderId="62" applyAlignment="1" applyProtection="1" pivotButton="0" quotePrefix="0" xfId="0">
      <alignment horizontal="left" vertical="center" wrapText="1" indent="1"/>
      <protection locked="0" hidden="0"/>
    </xf>
    <xf numFmtId="1" fontId="9" fillId="13" borderId="0" applyAlignment="1" pivotButton="0" quotePrefix="0" xfId="0">
      <alignment horizontal="left" vertical="center"/>
    </xf>
    <xf numFmtId="0" fontId="7" fillId="13" borderId="15" applyAlignment="1" applyProtection="1" pivotButton="0" quotePrefix="0" xfId="0">
      <alignment horizontal="center" vertical="center" wrapText="1"/>
      <protection locked="0" hidden="0"/>
    </xf>
    <xf numFmtId="0" fontId="7" fillId="13" borderId="20" applyAlignment="1" applyProtection="1" pivotButton="0" quotePrefix="0" xfId="0">
      <alignment horizontal="center" vertical="center" wrapText="1"/>
      <protection locked="0" hidden="0"/>
    </xf>
    <xf numFmtId="0" fontId="7" fillId="13" borderId="21" applyAlignment="1" applyProtection="1" pivotButton="0" quotePrefix="0" xfId="0">
      <alignment horizontal="center" vertical="center" wrapText="1"/>
      <protection locked="0" hidden="0"/>
    </xf>
    <xf numFmtId="0" fontId="9" fillId="13" borderId="10" applyAlignment="1" pivotButton="0" quotePrefix="0" xfId="0">
      <alignment horizontal="center" vertical="center"/>
    </xf>
    <xf numFmtId="0" fontId="9" fillId="13" borderId="5" applyAlignment="1" pivotButton="0" quotePrefix="0" xfId="0">
      <alignment horizontal="center" vertical="center"/>
    </xf>
    <xf numFmtId="0" fontId="9" fillId="13" borderId="10" applyAlignment="1" pivotButton="0" quotePrefix="0" xfId="0">
      <alignment horizontal="center" vertical="center" wrapText="1"/>
    </xf>
    <xf numFmtId="0" fontId="9" fillId="13" borderId="5" applyAlignment="1" pivotButton="0" quotePrefix="0" xfId="0">
      <alignment horizontal="center" vertical="center" wrapText="1"/>
    </xf>
    <xf numFmtId="0" fontId="9" fillId="13" borderId="6" applyAlignment="1" pivotButton="0" quotePrefix="0" xfId="0">
      <alignment horizontal="center" vertical="center" wrapText="1"/>
    </xf>
    <xf numFmtId="0" fontId="7" fillId="13" borderId="22" applyAlignment="1" applyProtection="1" pivotButton="0" quotePrefix="0" xfId="0">
      <alignment horizontal="center" vertical="center" wrapText="1"/>
      <protection locked="0" hidden="0"/>
    </xf>
    <xf numFmtId="0" fontId="7" fillId="13" borderId="23" applyAlignment="1" applyProtection="1" pivotButton="0" quotePrefix="0" xfId="0">
      <alignment horizontal="center" vertical="center" wrapText="1"/>
      <protection locked="0" hidden="0"/>
    </xf>
    <xf numFmtId="0" fontId="7" fillId="13" borderId="28" applyAlignment="1" applyProtection="1" pivotButton="0" quotePrefix="0" xfId="0">
      <alignment horizontal="center" vertical="center" wrapText="1"/>
      <protection locked="0" hidden="0"/>
    </xf>
    <xf numFmtId="1" fontId="9" fillId="13" borderId="0" applyAlignment="1" pivotButton="0" quotePrefix="0" xfId="0">
      <alignment horizontal="center" vertical="center"/>
    </xf>
    <xf numFmtId="0" fontId="9" fillId="13" borderId="0" applyAlignment="1" pivotButton="0" quotePrefix="0" xfId="0">
      <alignment horizontal="left" vertical="center"/>
    </xf>
    <xf numFmtId="0" fontId="5" fillId="13" borderId="0" applyAlignment="1" pivotButton="0" quotePrefix="0" xfId="1">
      <alignment horizontal="left" vertical="center" wrapText="1"/>
    </xf>
    <xf numFmtId="0" fontId="15" fillId="13" borderId="0" applyAlignment="1" pivotButton="0" quotePrefix="0" xfId="0">
      <alignment horizontal="left" vertical="center" wrapText="1"/>
    </xf>
    <xf numFmtId="1" fontId="7" fillId="13" borderId="0" applyAlignment="1" pivotButton="0" quotePrefix="0" xfId="0">
      <alignment horizontal="center" vertical="center"/>
    </xf>
    <xf numFmtId="0" fontId="7" fillId="13" borderId="22" applyAlignment="1" applyProtection="1" pivotButton="0" quotePrefix="0" xfId="0">
      <alignment horizontal="left" vertical="center" wrapText="1" indent="1"/>
      <protection locked="0" hidden="0"/>
    </xf>
    <xf numFmtId="0" fontId="7" fillId="13" borderId="23" applyAlignment="1" applyProtection="1" pivotButton="0" quotePrefix="0" xfId="0">
      <alignment horizontal="left" vertical="center" wrapText="1" indent="1"/>
      <protection locked="0" hidden="0"/>
    </xf>
    <xf numFmtId="0" fontId="7" fillId="13" borderId="28" applyAlignment="1" applyProtection="1" pivotButton="0" quotePrefix="0" xfId="0">
      <alignment horizontal="left" vertical="center" wrapText="1" indent="1"/>
      <protection locked="0" hidden="0"/>
    </xf>
    <xf numFmtId="0" fontId="7" fillId="13" borderId="63" applyAlignment="1" applyProtection="1" pivotButton="0" quotePrefix="0" xfId="0">
      <alignment horizontal="left" vertical="center" wrapText="1" indent="1"/>
      <protection locked="0" hidden="0"/>
    </xf>
    <xf numFmtId="174" fontId="7" fillId="13" borderId="0" applyAlignment="1" pivotButton="0" quotePrefix="0" xfId="0">
      <alignment horizontal="left" vertical="center"/>
    </xf>
    <xf numFmtId="1" fontId="11" fillId="13" borderId="81" applyAlignment="1" pivotButton="0" quotePrefix="0" xfId="0">
      <alignment horizontal="center" wrapText="1"/>
    </xf>
    <xf numFmtId="1" fontId="11" fillId="13" borderId="82" applyAlignment="1" pivotButton="0" quotePrefix="0" xfId="0">
      <alignment horizontal="center" wrapText="1"/>
    </xf>
    <xf numFmtId="1" fontId="11" fillId="13" borderId="83" applyAlignment="1" pivotButton="0" quotePrefix="0" xfId="0">
      <alignment horizontal="center" wrapText="1"/>
    </xf>
    <xf numFmtId="1" fontId="21" fillId="13" borderId="84" applyAlignment="1" pivotButton="0" quotePrefix="0" xfId="0">
      <alignment horizontal="right"/>
    </xf>
    <xf numFmtId="1" fontId="21" fillId="13" borderId="85" applyAlignment="1" pivotButton="0" quotePrefix="0" xfId="0">
      <alignment horizontal="right"/>
    </xf>
    <xf numFmtId="0" fontId="7" fillId="0" borderId="0" pivotButton="0" quotePrefix="0" xfId="0"/>
    <xf numFmtId="0" fontId="3" fillId="0" borderId="0" applyAlignment="1" pivotButton="0" quotePrefix="0" xfId="0">
      <alignment horizontal="center" vertical="center" wrapText="1"/>
    </xf>
    <xf numFmtId="0" fontId="11" fillId="0" borderId="0" applyAlignment="1" pivotButton="0" quotePrefix="0" xfId="0">
      <alignment horizontal="left" vertical="center"/>
    </xf>
    <xf numFmtId="0" fontId="1" fillId="0" borderId="0" applyAlignment="1" pivotButton="0" quotePrefix="0" xfId="0">
      <alignment horizontal="justify" vertical="center" wrapText="1"/>
    </xf>
    <xf numFmtId="0" fontId="32" fillId="0" borderId="0" applyAlignment="1" pivotButton="0" quotePrefix="0" xfId="0">
      <alignment horizontal="left" vertical="center" wrapText="1"/>
    </xf>
    <xf numFmtId="166" fontId="1" fillId="0" borderId="0" applyAlignment="1" pivotButton="0" quotePrefix="0" xfId="0">
      <alignment horizontal="left"/>
    </xf>
    <xf numFmtId="0" fontId="1" fillId="0" borderId="1" applyAlignment="1" pivotButton="0" quotePrefix="0" xfId="0">
      <alignment horizontal="center" vertical="center" wrapText="1"/>
    </xf>
    <xf numFmtId="1" fontId="9" fillId="0" borderId="0" applyAlignment="1" pivotButton="0" quotePrefix="0" xfId="0">
      <alignment horizontal="left"/>
    </xf>
    <xf numFmtId="0" fontId="1" fillId="0" borderId="1" applyAlignment="1" pivotButton="0" quotePrefix="0" xfId="0">
      <alignment horizontal="center" vertical="center"/>
    </xf>
    <xf numFmtId="0" fontId="1" fillId="0" borderId="19" applyAlignment="1" pivotButton="0" quotePrefix="0" xfId="0">
      <alignment horizontal="center" vertical="center" wrapText="1"/>
    </xf>
    <xf numFmtId="0" fontId="1" fillId="0" borderId="20" applyAlignment="1" pivotButton="0" quotePrefix="0" xfId="0">
      <alignment horizontal="center" vertical="center" wrapText="1"/>
    </xf>
    <xf numFmtId="0" fontId="1" fillId="0" borderId="16" applyAlignment="1" pivotButton="0" quotePrefix="0" xfId="0">
      <alignment horizontal="center" vertical="center" wrapText="1"/>
    </xf>
    <xf numFmtId="0" fontId="27" fillId="0" borderId="1" applyAlignment="1" pivotButton="0" quotePrefix="0" xfId="0">
      <alignment horizontal="center" vertical="center" wrapText="1"/>
    </xf>
    <xf numFmtId="0" fontId="7" fillId="0" borderId="0" applyAlignment="1" pivotButton="0" quotePrefix="0" xfId="0">
      <alignment vertical="top" wrapText="1"/>
    </xf>
    <xf numFmtId="0" fontId="2" fillId="0" borderId="0" pivotButton="0" quotePrefix="0" xfId="0"/>
    <xf numFmtId="0" fontId="9" fillId="0" borderId="0" pivotButton="0" quotePrefix="0" xfId="0"/>
    <xf numFmtId="0" fontId="33" fillId="0" borderId="0" applyAlignment="1" pivotButton="0" quotePrefix="0" xfId="0">
      <alignment horizontal="justify" vertical="center" wrapText="1"/>
    </xf>
    <xf numFmtId="0" fontId="9" fillId="0" borderId="10" applyAlignment="1" pivotButton="0" quotePrefix="0" xfId="0">
      <alignment horizontal="center" vertical="top" wrapText="1"/>
    </xf>
    <xf numFmtId="0" fontId="9" fillId="0" borderId="5" applyAlignment="1" pivotButton="0" quotePrefix="0" xfId="0">
      <alignment horizontal="center" vertical="top" wrapText="1"/>
    </xf>
    <xf numFmtId="0" fontId="9" fillId="0" borderId="6" applyAlignment="1" pivotButton="0" quotePrefix="0" xfId="0">
      <alignment horizontal="center" vertical="top" wrapText="1"/>
    </xf>
    <xf numFmtId="0" fontId="22" fillId="4" borderId="0" applyAlignment="1" pivotButton="0" quotePrefix="0" xfId="0">
      <alignment horizontal="left" vertical="center"/>
    </xf>
    <xf numFmtId="0" fontId="9" fillId="0" borderId="10" applyAlignment="1" pivotButton="0" quotePrefix="0" xfId="0">
      <alignment horizontal="center" wrapText="1"/>
    </xf>
    <xf numFmtId="0" fontId="9" fillId="0" borderId="5" applyAlignment="1" pivotButton="0" quotePrefix="0" xfId="0">
      <alignment horizontal="center" wrapText="1"/>
    </xf>
    <xf numFmtId="0" fontId="9" fillId="0" borderId="6" applyAlignment="1" pivotButton="0" quotePrefix="0" xfId="0">
      <alignment horizontal="center" wrapText="1"/>
    </xf>
    <xf numFmtId="0" fontId="67" fillId="0" borderId="0" applyAlignment="1" pivotButton="0" quotePrefix="0" xfId="0">
      <alignment horizontal="right" vertical="center"/>
    </xf>
    <xf numFmtId="0" fontId="19" fillId="4" borderId="0" applyAlignment="1" pivotButton="0" quotePrefix="0" xfId="0">
      <alignment horizontal="left" vertical="center"/>
    </xf>
    <xf numFmtId="0" fontId="9" fillId="0" borderId="0" applyAlignment="1" pivotButton="0" quotePrefix="0" xfId="0">
      <alignment horizontal="left" vertical="top" wrapText="1"/>
    </xf>
    <xf numFmtId="0" fontId="11" fillId="0" borderId="0" applyAlignment="1" pivotButton="0" quotePrefix="0" xfId="0">
      <alignment horizontal="justify" vertical="top" wrapText="1"/>
    </xf>
    <xf numFmtId="0" fontId="1" fillId="0" borderId="1" pivotButton="0" quotePrefix="0" xfId="0"/>
    <xf numFmtId="0" fontId="2" fillId="0" borderId="0" applyAlignment="1" pivotButton="0" quotePrefix="0" xfId="0">
      <alignment horizontal="justify" vertical="top" wrapText="1"/>
    </xf>
    <xf numFmtId="0" fontId="0" fillId="0" borderId="0" applyAlignment="1" pivotButton="0" quotePrefix="0" xfId="0">
      <alignment horizontal="center" wrapText="1"/>
    </xf>
    <xf numFmtId="0" fontId="2" fillId="0" borderId="0" applyAlignment="1" pivotButton="0" quotePrefix="0" xfId="0">
      <alignment horizontal="left"/>
    </xf>
    <xf numFmtId="0" fontId="11" fillId="0" borderId="0" applyAlignment="1" pivotButton="0" quotePrefix="0" xfId="0">
      <alignment horizontal="center" vertical="center"/>
    </xf>
    <xf numFmtId="174" fontId="0" fillId="0" borderId="0" applyAlignment="1" pivotButton="0" quotePrefix="0" xfId="0">
      <alignment horizontal="right"/>
    </xf>
    <xf numFmtId="0" fontId="0" fillId="0" borderId="0" applyAlignment="1" pivotButton="0" quotePrefix="0" xfId="0">
      <alignment horizontal="right"/>
    </xf>
    <xf numFmtId="0" fontId="1" fillId="0" borderId="0" applyAlignment="1" pivotButton="0" quotePrefix="0" xfId="0">
      <alignment horizontal="center"/>
    </xf>
    <xf numFmtId="0" fontId="11" fillId="6" borderId="12" applyAlignment="1" pivotButton="0" quotePrefix="0" xfId="0">
      <alignment horizontal="left" vertical="center"/>
    </xf>
    <xf numFmtId="0" fontId="11" fillId="6" borderId="14" applyAlignment="1" pivotButton="0" quotePrefix="0" xfId="0">
      <alignment horizontal="left" vertical="center"/>
    </xf>
    <xf numFmtId="0" fontId="11" fillId="6" borderId="7" applyAlignment="1" pivotButton="0" quotePrefix="0" xfId="0">
      <alignment horizontal="left" vertical="center"/>
    </xf>
    <xf numFmtId="0" fontId="11" fillId="6" borderId="8" applyAlignment="1" pivotButton="0" quotePrefix="0" xfId="0">
      <alignment horizontal="left" vertical="center"/>
    </xf>
    <xf numFmtId="0" fontId="11" fillId="6" borderId="22" applyAlignment="1" pivotButton="0" quotePrefix="0" xfId="0">
      <alignment horizontal="left" vertical="center"/>
    </xf>
    <xf numFmtId="0" fontId="11" fillId="6" borderId="28" applyAlignment="1" pivotButton="0" quotePrefix="0" xfId="0">
      <alignment horizontal="left" vertical="center"/>
    </xf>
    <xf numFmtId="20" fontId="61" fillId="2" borderId="10" applyAlignment="1" applyProtection="1" pivotButton="0" quotePrefix="0" xfId="0">
      <alignment horizontal="center" vertical="center" wrapText="1"/>
      <protection locked="0" hidden="0"/>
    </xf>
    <xf numFmtId="0" fontId="39" fillId="2" borderId="5" applyAlignment="1" applyProtection="1" pivotButton="0" quotePrefix="0" xfId="0">
      <alignment horizontal="center" vertical="center" wrapText="1"/>
      <protection locked="0" hidden="0"/>
    </xf>
    <xf numFmtId="0" fontId="39" fillId="2" borderId="6" applyAlignment="1" applyProtection="1" pivotButton="0" quotePrefix="0" xfId="0">
      <alignment horizontal="center" vertical="center" wrapText="1"/>
      <protection locked="0" hidden="0"/>
    </xf>
    <xf numFmtId="20" fontId="61" fillId="2" borderId="6" applyAlignment="1" applyProtection="1" pivotButton="0" quotePrefix="0" xfId="0">
      <alignment horizontal="center" vertical="center" wrapText="1"/>
      <protection locked="0" hidden="0"/>
    </xf>
    <xf numFmtId="49" fontId="108" fillId="2" borderId="5" applyAlignment="1" pivotButton="0" quotePrefix="0" xfId="0">
      <alignment horizontal="left"/>
    </xf>
    <xf numFmtId="49" fontId="108" fillId="2" borderId="6" applyAlignment="1" pivotButton="0" quotePrefix="0" xfId="0">
      <alignment horizontal="left"/>
    </xf>
    <xf numFmtId="0" fontId="9" fillId="13" borderId="0" applyAlignment="1" pivotButton="0" quotePrefix="0" xfId="0">
      <alignment horizontal="center" wrapText="1"/>
    </xf>
    <xf numFmtId="49" fontId="99" fillId="2" borderId="5" applyAlignment="1" pivotButton="0" quotePrefix="0" xfId="0">
      <alignment horizontal="left"/>
    </xf>
    <xf numFmtId="49" fontId="99" fillId="2" borderId="6" applyAlignment="1" pivotButton="0" quotePrefix="0" xfId="0">
      <alignment horizontal="left"/>
    </xf>
    <xf numFmtId="0" fontId="0" fillId="0" borderId="0" applyAlignment="1" pivotButton="0" quotePrefix="0" xfId="0">
      <alignment horizontal="center" vertical="center" wrapText="1"/>
    </xf>
    <xf numFmtId="0" fontId="39" fillId="0" borderId="10" applyAlignment="1" pivotButton="0" quotePrefix="0" xfId="0">
      <alignment horizontal="center"/>
    </xf>
    <xf numFmtId="0" fontId="39" fillId="0" borderId="5" applyAlignment="1" pivotButton="0" quotePrefix="0" xfId="0">
      <alignment horizontal="center"/>
    </xf>
    <xf numFmtId="0" fontId="39" fillId="0" borderId="6" applyAlignment="1" pivotButton="0" quotePrefix="0" xfId="0">
      <alignment horizontal="center"/>
    </xf>
    <xf numFmtId="0" fontId="7" fillId="13" borderId="0" applyAlignment="1" pivotButton="0" quotePrefix="0" xfId="0">
      <alignment horizontal="justify" vertical="top"/>
    </xf>
    <xf numFmtId="20" fontId="1" fillId="13" borderId="4"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14" applyAlignment="1" pivotButton="0" quotePrefix="0" xfId="0">
      <alignment horizontal="center" vertical="center" wrapText="1"/>
    </xf>
    <xf numFmtId="0" fontId="2" fillId="0" borderId="22" applyAlignment="1" pivotButton="0" quotePrefix="0" xfId="0">
      <alignment horizontal="center" vertical="center" wrapText="1"/>
    </xf>
    <xf numFmtId="0" fontId="2" fillId="0" borderId="28" applyAlignment="1" pivotButton="0" quotePrefix="0" xfId="0">
      <alignment horizontal="center" vertical="center" wrapText="1"/>
    </xf>
    <xf numFmtId="0" fontId="2" fillId="0" borderId="1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8" applyAlignment="1" pivotButton="0" quotePrefix="0" xfId="0">
      <alignment horizontal="center" vertical="center" wrapText="1"/>
    </xf>
    <xf numFmtId="49" fontId="61" fillId="2" borderId="10" applyAlignment="1" applyProtection="1" pivotButton="0" quotePrefix="0" xfId="0">
      <alignment horizontal="center" vertical="center" wrapText="1"/>
      <protection locked="0" hidden="0"/>
    </xf>
    <xf numFmtId="49" fontId="39" fillId="2" borderId="5" applyAlignment="1" applyProtection="1" pivotButton="0" quotePrefix="0" xfId="0">
      <alignment horizontal="center" vertical="center" wrapText="1"/>
      <protection locked="0" hidden="0"/>
    </xf>
    <xf numFmtId="49" fontId="39" fillId="2" borderId="6" applyAlignment="1" applyProtection="1" pivotButton="0" quotePrefix="0" xfId="0">
      <alignment horizontal="center" vertical="center" wrapText="1"/>
      <protection locked="0" hidden="0"/>
    </xf>
    <xf numFmtId="0" fontId="15" fillId="0" borderId="0" applyAlignment="1" pivotButton="0" quotePrefix="0" xfId="0">
      <alignment vertical="center" wrapText="1"/>
    </xf>
    <xf numFmtId="0" fontId="15" fillId="0" borderId="0" applyAlignment="1" pivotButton="0" quotePrefix="0" xfId="0">
      <alignment horizontal="justify" vertical="top" wrapText="1"/>
    </xf>
    <xf numFmtId="0" fontId="11" fillId="0" borderId="0" pivotButton="0" quotePrefix="0" xfId="0"/>
    <xf numFmtId="0" fontId="15" fillId="0" borderId="0" applyAlignment="1" pivotButton="0" quotePrefix="0" xfId="0">
      <alignment horizontal="justify" vertical="center" wrapText="1"/>
    </xf>
    <xf numFmtId="1" fontId="11" fillId="0" borderId="0" applyAlignment="1" pivotButton="0" quotePrefix="0" xfId="0">
      <alignment horizontal="left"/>
    </xf>
    <xf numFmtId="0" fontId="86" fillId="0" borderId="0" applyAlignment="1" pivotButton="0" quotePrefix="0" xfId="0">
      <alignment horizontal="justify" vertical="top" wrapText="1"/>
    </xf>
    <xf numFmtId="0" fontId="15" fillId="0" borderId="0" pivotButton="0" quotePrefix="0" xfId="0"/>
    <xf numFmtId="1" fontId="21" fillId="15" borderId="10" applyAlignment="1" pivotButton="0" quotePrefix="0" xfId="0">
      <alignment horizontal="right"/>
    </xf>
    <xf numFmtId="1" fontId="21" fillId="15" borderId="6" applyAlignment="1" pivotButton="0" quotePrefix="0" xfId="0">
      <alignment horizontal="right"/>
    </xf>
    <xf numFmtId="1" fontId="11" fillId="15" borderId="10" applyAlignment="1" pivotButton="0" quotePrefix="0" xfId="0">
      <alignment horizontal="center" vertical="center" wrapText="1"/>
    </xf>
    <xf numFmtId="1" fontId="11" fillId="15" borderId="5" applyAlignment="1" pivotButton="0" quotePrefix="0" xfId="0">
      <alignment horizontal="center" vertical="center" wrapText="1"/>
    </xf>
    <xf numFmtId="1" fontId="11" fillId="15" borderId="6" applyAlignment="1" pivotButton="0" quotePrefix="0" xfId="0">
      <alignment horizontal="center" vertical="center" wrapText="1"/>
    </xf>
    <xf numFmtId="0" fontId="100" fillId="6" borderId="10" applyAlignment="1" pivotButton="0" quotePrefix="0" xfId="0">
      <alignment horizontal="center"/>
    </xf>
    <xf numFmtId="0" fontId="100" fillId="6" borderId="5" applyAlignment="1" pivotButton="0" quotePrefix="0" xfId="0">
      <alignment horizontal="center"/>
    </xf>
    <xf numFmtId="0" fontId="100" fillId="6" borderId="6" applyAlignment="1" pivotButton="0" quotePrefix="0" xfId="0">
      <alignment horizontal="center"/>
    </xf>
    <xf numFmtId="0" fontId="3" fillId="0" borderId="0" applyAlignment="1" pivotButton="0" quotePrefix="0" xfId="0">
      <alignment horizontal="center" wrapText="1"/>
    </xf>
    <xf numFmtId="0" fontId="3" fillId="0" borderId="0" applyAlignment="1" pivotButton="0" quotePrefix="0" xfId="0">
      <alignment horizontal="left" vertical="center"/>
    </xf>
    <xf numFmtId="0" fontId="6" fillId="0" borderId="0" applyAlignment="1" pivotButton="0" quotePrefix="0" xfId="0">
      <alignment horizontal="right" vertical="top"/>
    </xf>
    <xf numFmtId="0" fontId="11" fillId="0" borderId="0" applyAlignment="1" pivotButton="0" quotePrefix="0" xfId="0">
      <alignment horizontal="left"/>
    </xf>
    <xf numFmtId="166" fontId="15" fillId="0" borderId="0" applyAlignment="1" pivotButton="0" quotePrefix="0" xfId="0">
      <alignment horizontal="left"/>
    </xf>
    <xf numFmtId="0" fontId="11" fillId="0" borderId="0" applyAlignment="1" pivotButton="0" quotePrefix="0" xfId="0">
      <alignment horizontal="left" vertical="top" wrapText="1"/>
    </xf>
    <xf numFmtId="0" fontId="82" fillId="0" borderId="0" applyAlignment="1" pivotButton="0" quotePrefix="0" xfId="0">
      <alignment horizontal="justify" vertical="top" wrapText="1"/>
    </xf>
    <xf numFmtId="0" fontId="85" fillId="0" borderId="0" applyAlignment="1" pivotButton="0" quotePrefix="0" xfId="0">
      <alignment horizontal="justify" vertical="top" wrapText="1"/>
    </xf>
    <xf numFmtId="0" fontId="0" fillId="0" borderId="0" applyAlignment="1" pivotButton="0" quotePrefix="0" xfId="0">
      <alignment horizontal="left" vertical="top"/>
    </xf>
    <xf numFmtId="0" fontId="0" fillId="0" borderId="13" applyAlignment="1" pivotButton="0" quotePrefix="0" xfId="0">
      <alignment horizontal="left" vertical="top"/>
    </xf>
    <xf numFmtId="0" fontId="0" fillId="8" borderId="10" applyAlignment="1" pivotButton="0" quotePrefix="0" xfId="0">
      <alignment horizontal="left" vertical="top"/>
    </xf>
    <xf numFmtId="0" fontId="0" fillId="8" borderId="5" applyAlignment="1" pivotButton="0" quotePrefix="0" xfId="0">
      <alignment horizontal="left" vertical="top"/>
    </xf>
    <xf numFmtId="0" fontId="0" fillId="0" borderId="0" applyAlignment="1" pivotButton="0" quotePrefix="0" xfId="0">
      <alignment horizontal="justify" vertical="top"/>
    </xf>
    <xf numFmtId="0" fontId="15" fillId="0" borderId="0" applyAlignment="1" pivotButton="0" quotePrefix="0" xfId="0">
      <alignment horizontal="justify" vertical="top"/>
    </xf>
    <xf numFmtId="0" fontId="1" fillId="0" borderId="0" applyAlignment="1" pivotButton="0" quotePrefix="0" xfId="0">
      <alignment horizontal="justify" vertical="top"/>
    </xf>
    <xf numFmtId="2" fontId="0" fillId="0" borderId="0" applyAlignment="1" pivotButton="0" quotePrefix="0" xfId="0">
      <alignment horizontal="justify" vertical="top"/>
    </xf>
    <xf numFmtId="0" fontId="2" fillId="0" borderId="23" applyAlignment="1" pivotButton="0" quotePrefix="0" xfId="0">
      <alignment horizontal="center" vertical="center" wrapText="1"/>
    </xf>
    <xf numFmtId="0" fontId="1" fillId="0" borderId="1" applyAlignment="1" pivotButton="0" quotePrefix="0" xfId="0">
      <alignment horizontal="justify" vertical="center" wrapText="1"/>
    </xf>
    <xf numFmtId="0" fontId="1" fillId="0" borderId="19" applyAlignment="1" pivotButton="0" quotePrefix="0" xfId="0">
      <alignment horizontal="justify" vertical="center" wrapText="1"/>
    </xf>
    <xf numFmtId="0" fontId="1" fillId="0" borderId="16" applyAlignment="1" pivotButton="0" quotePrefix="0" xfId="0">
      <alignment horizontal="justify" vertical="center" wrapText="1"/>
    </xf>
    <xf numFmtId="0" fontId="15" fillId="0" borderId="0" applyAlignment="1" pivotButton="0" quotePrefix="0" xfId="0">
      <alignment horizontal="right" vertical="top"/>
    </xf>
    <xf numFmtId="0" fontId="15" fillId="0" borderId="0" applyAlignment="1" pivotButton="0" quotePrefix="0" xfId="0">
      <alignment horizontal="left" vertical="top"/>
    </xf>
    <xf numFmtId="0" fontId="3" fillId="0" borderId="0" applyAlignment="1" pivotButton="0" quotePrefix="0" xfId="0">
      <alignment horizontal="center" vertical="top"/>
    </xf>
    <xf numFmtId="0" fontId="81" fillId="0" borderId="0" applyAlignment="1" pivotButton="0" quotePrefix="0" xfId="0">
      <alignment horizontal="justify" vertical="top" wrapText="1"/>
    </xf>
    <xf numFmtId="0" fontId="11" fillId="0" borderId="0" applyAlignment="1" pivotButton="0" quotePrefix="0" xfId="0">
      <alignment horizontal="justify" vertical="top"/>
    </xf>
    <xf numFmtId="0" fontId="11" fillId="0" borderId="0" applyAlignment="1" pivotButton="0" quotePrefix="0" xfId="0">
      <alignment horizontal="right" vertical="top"/>
    </xf>
    <xf numFmtId="0" fontId="11" fillId="0" borderId="12" applyAlignment="1" pivotButton="0" quotePrefix="0" xfId="0">
      <alignment horizontal="justify" vertical="top" wrapText="1"/>
    </xf>
    <xf numFmtId="0" fontId="11" fillId="0" borderId="7" applyAlignment="1" pivotButton="0" quotePrefix="0" xfId="0">
      <alignment horizontal="justify" vertical="top" wrapText="1"/>
    </xf>
    <xf numFmtId="0" fontId="15" fillId="0" borderId="22" applyAlignment="1" pivotButton="0" quotePrefix="0" xfId="0">
      <alignment horizontal="justify" vertical="top" wrapText="1"/>
    </xf>
    <xf numFmtId="0" fontId="15" fillId="0" borderId="13" applyAlignment="1" pivotButton="0" quotePrefix="0" xfId="0">
      <alignment horizontal="left" vertical="top"/>
    </xf>
    <xf numFmtId="0" fontId="15" fillId="0" borderId="14" applyAlignment="1" pivotButton="0" quotePrefix="0" xfId="0">
      <alignment horizontal="left" vertical="top"/>
    </xf>
    <xf numFmtId="0" fontId="15" fillId="0" borderId="8" applyAlignment="1" pivotButton="0" quotePrefix="0" xfId="0">
      <alignment horizontal="left" vertical="top"/>
    </xf>
    <xf numFmtId="0" fontId="11" fillId="0" borderId="13" applyAlignment="1" pivotButton="0" quotePrefix="0" xfId="0">
      <alignment horizontal="justify" vertical="top" wrapText="1"/>
    </xf>
    <xf numFmtId="0" fontId="11" fillId="0" borderId="14" applyAlignment="1" pivotButton="0" quotePrefix="0" xfId="0">
      <alignment horizontal="justify" vertical="top" wrapText="1"/>
    </xf>
    <xf numFmtId="0" fontId="15" fillId="0" borderId="0" applyAlignment="1" pivotButton="0" quotePrefix="0" xfId="0">
      <alignment horizontal="center" vertical="center"/>
    </xf>
    <xf numFmtId="1" fontId="84" fillId="0" borderId="22" applyAlignment="1" pivotButton="0" quotePrefix="0" xfId="0">
      <alignment horizontal="center" vertical="center"/>
    </xf>
    <xf numFmtId="1" fontId="84" fillId="0" borderId="23" applyAlignment="1" pivotButton="0" quotePrefix="0" xfId="0">
      <alignment horizontal="center" vertical="center"/>
    </xf>
    <xf numFmtId="1" fontId="84" fillId="0" borderId="28" applyAlignment="1" pivotButton="0" quotePrefix="0" xfId="0">
      <alignment horizontal="center" vertical="center"/>
    </xf>
    <xf numFmtId="0" fontId="11" fillId="0" borderId="8" applyAlignment="1" pivotButton="0" quotePrefix="0" xfId="0">
      <alignment horizontal="justify" vertical="top" wrapText="1"/>
    </xf>
    <xf numFmtId="0" fontId="11" fillId="0" borderId="28" applyAlignment="1" pivotButton="0" quotePrefix="0" xfId="0">
      <alignment horizontal="justify" vertical="top" wrapText="1"/>
    </xf>
    <xf numFmtId="0" fontId="11" fillId="0" borderId="22" applyAlignment="1" pivotButton="0" quotePrefix="0" xfId="0">
      <alignment horizontal="justify" vertical="top" wrapText="1"/>
    </xf>
    <xf numFmtId="0" fontId="11" fillId="0" borderId="23" applyAlignment="1" pivotButton="0" quotePrefix="0" xfId="0">
      <alignment horizontal="justify" vertical="top" wrapText="1"/>
    </xf>
    <xf numFmtId="0" fontId="15" fillId="0" borderId="4" applyAlignment="1" pivotButton="0" quotePrefix="0" xfId="0">
      <alignment horizontal="center" vertical="top" wrapText="1"/>
    </xf>
    <xf numFmtId="0" fontId="15" fillId="0" borderId="0" applyAlignment="1" pivotButton="0" quotePrefix="0" xfId="0">
      <alignment horizontal="center" vertical="top" wrapText="1"/>
    </xf>
    <xf numFmtId="0" fontId="15" fillId="0" borderId="3" applyAlignment="1" pivotButton="0" quotePrefix="0" xfId="0">
      <alignment horizontal="center" vertical="top"/>
    </xf>
    <xf numFmtId="0" fontId="15" fillId="0" borderId="0" applyAlignment="1" pivotButton="0" quotePrefix="0" xfId="0">
      <alignment horizontal="left" vertical="top" wrapText="1"/>
    </xf>
    <xf numFmtId="1" fontId="15" fillId="0" borderId="0" applyAlignment="1" pivotButton="0" quotePrefix="0" xfId="0">
      <alignment horizontal="center" vertical="center"/>
    </xf>
    <xf numFmtId="1" fontId="15" fillId="0" borderId="7" applyAlignment="1" pivotButton="0" quotePrefix="0" xfId="0">
      <alignment horizontal="left" vertical="center"/>
    </xf>
    <xf numFmtId="0" fontId="15" fillId="0" borderId="8" applyAlignment="1" pivotButton="0" quotePrefix="0" xfId="0">
      <alignment horizontal="right" vertical="center"/>
    </xf>
    <xf numFmtId="0" fontId="2" fillId="0" borderId="10"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6" applyAlignment="1" pivotButton="0" quotePrefix="0" xfId="0">
      <alignment horizontal="center" vertical="center" wrapText="1"/>
    </xf>
    <xf numFmtId="1" fontId="84" fillId="0" borderId="12" applyAlignment="1" pivotButton="0" quotePrefix="0" xfId="0">
      <alignment horizontal="center" vertical="center"/>
    </xf>
    <xf numFmtId="1" fontId="84" fillId="0" borderId="13" applyAlignment="1" pivotButton="0" quotePrefix="0" xfId="0">
      <alignment horizontal="center" vertical="center"/>
    </xf>
    <xf numFmtId="1" fontId="84" fillId="0" borderId="14" applyAlignment="1" pivotButton="0" quotePrefix="0" xfId="0">
      <alignment horizontal="center" vertical="center"/>
    </xf>
    <xf numFmtId="0" fontId="0" fillId="0" borderId="3" applyProtection="1" pivotButton="0" quotePrefix="0" xfId="0">
      <protection locked="0" hidden="0"/>
    </xf>
    <xf numFmtId="166" fontId="1" fillId="0"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20" applyProtection="1" pivotButton="0" quotePrefix="0" xfId="0">
      <protection locked="0" hidden="0"/>
    </xf>
    <xf numFmtId="0" fontId="0" fillId="0" borderId="3" pivotButton="0" quotePrefix="0" xfId="0"/>
    <xf numFmtId="0" fontId="0" fillId="0" borderId="20" pivotButton="0" quotePrefix="0" xfId="0"/>
    <xf numFmtId="0" fontId="0" fillId="0" borderId="74" applyProtection="1" pivotButton="0" quotePrefix="0" xfId="0">
      <protection locked="0" hidden="0"/>
    </xf>
    <xf numFmtId="0" fontId="0" fillId="0" borderId="56" pivotButton="0" quotePrefix="0" xfId="0"/>
    <xf numFmtId="0" fontId="0" fillId="0" borderId="68" pivotButton="0" quotePrefix="0" xfId="0"/>
    <xf numFmtId="0" fontId="1" fillId="2" borderId="46" applyAlignment="1" applyProtection="1" pivotButton="0" quotePrefix="0" xfId="0">
      <alignment horizontal="center" vertical="top" wrapText="1"/>
      <protection locked="0" hidden="0"/>
    </xf>
    <xf numFmtId="0" fontId="0" fillId="0" borderId="69" applyProtection="1" pivotButton="0" quotePrefix="0" xfId="0">
      <protection locked="0" hidden="0"/>
    </xf>
    <xf numFmtId="0" fontId="1" fillId="0" borderId="38" applyAlignment="1" pivotButton="0" quotePrefix="0" xfId="0">
      <alignment horizontal="left" vertical="top" wrapText="1"/>
    </xf>
    <xf numFmtId="0" fontId="0" fillId="0" borderId="16" pivotButton="0" quotePrefix="0" xfId="0"/>
    <xf numFmtId="0" fontId="1" fillId="2" borderId="39" applyAlignment="1" applyProtection="1" pivotButton="0" quotePrefix="0" xfId="0">
      <alignment horizontal="center" vertical="top" wrapText="1"/>
      <protection locked="0" hidden="0"/>
    </xf>
    <xf numFmtId="0" fontId="0" fillId="0" borderId="21" applyProtection="1" pivotButton="0" quotePrefix="0" xfId="0">
      <protection locked="0" hidden="0"/>
    </xf>
    <xf numFmtId="0" fontId="1" fillId="0" borderId="50" applyAlignment="1" applyProtection="1" pivotButton="0" quotePrefix="0" xfId="0">
      <alignment vertical="top" wrapText="1"/>
      <protection locked="0" hidden="0"/>
    </xf>
    <xf numFmtId="0" fontId="0" fillId="0" borderId="23" applyProtection="1" pivotButton="0" quotePrefix="0" xfId="0">
      <protection locked="0" hidden="0"/>
    </xf>
    <xf numFmtId="0" fontId="0" fillId="0" borderId="52" applyProtection="1" pivotButton="0" quotePrefix="0" xfId="0">
      <protection locked="0" hidden="0"/>
    </xf>
    <xf numFmtId="0" fontId="39" fillId="2" borderId="41" applyAlignment="1" applyProtection="1" pivotButton="0" quotePrefix="0" xfId="0">
      <alignment horizontal="center" vertical="top" wrapText="1"/>
      <protection locked="0" hidden="0"/>
    </xf>
    <xf numFmtId="0" fontId="0" fillId="0" borderId="64" applyProtection="1" pivotButton="0" quotePrefix="0" xfId="0">
      <protection locked="0" hidden="0"/>
    </xf>
    <xf numFmtId="0" fontId="0" fillId="0" borderId="4" pivotButton="0" quotePrefix="0" xfId="0"/>
    <xf numFmtId="168" fontId="0" fillId="0" borderId="0" pivotButton="0" quotePrefix="0" xfId="2"/>
    <xf numFmtId="0" fontId="47" fillId="5" borderId="9" applyAlignment="1" pivotButton="0" quotePrefix="0" xfId="0">
      <alignment horizontal="center"/>
    </xf>
    <xf numFmtId="168" fontId="2" fillId="0" borderId="0" pivotButton="0" quotePrefix="0" xfId="2"/>
    <xf numFmtId="0" fontId="77" fillId="5" borderId="9" applyAlignment="1" pivotButton="0" quotePrefix="0" xfId="0">
      <alignment horizontal="center" vertical="top" wrapText="1"/>
    </xf>
    <xf numFmtId="0" fontId="0" fillId="0" borderId="56" applyProtection="1" pivotButton="0" quotePrefix="0" xfId="0">
      <protection locked="0" hidden="0"/>
    </xf>
    <xf numFmtId="0" fontId="0" fillId="0" borderId="68" applyProtection="1" pivotButton="0" quotePrefix="0" xfId="0">
      <protection locked="0" hidden="0"/>
    </xf>
    <xf numFmtId="167" fontId="48" fillId="0" borderId="0" applyAlignment="1" pivotButton="0" quotePrefix="0" xfId="2">
      <alignment horizontal="center"/>
    </xf>
    <xf numFmtId="0" fontId="0" fillId="0" borderId="27" applyProtection="1" pivotButton="0" quotePrefix="0" xfId="0">
      <protection locked="0" hidden="0"/>
    </xf>
    <xf numFmtId="0" fontId="0" fillId="0" borderId="25" applyProtection="1" pivotButton="0" quotePrefix="0" xfId="0">
      <protection locked="0" hidden="0"/>
    </xf>
    <xf numFmtId="169" fontId="48" fillId="0" borderId="0" applyAlignment="1" pivotButton="0" quotePrefix="0" xfId="0">
      <alignment horizontal="left"/>
    </xf>
    <xf numFmtId="168" fontId="48" fillId="0" borderId="0" pivotButton="0" quotePrefix="0" xfId="2"/>
    <xf numFmtId="1" fontId="45" fillId="5" borderId="9" applyAlignment="1" pivotButton="0" quotePrefix="0" xfId="0">
      <alignment horizontal="left"/>
    </xf>
    <xf numFmtId="169" fontId="45" fillId="5" borderId="6" applyAlignment="1" pivotButton="0" quotePrefix="0" xfId="0">
      <alignment horizontal="left"/>
    </xf>
    <xf numFmtId="1" fontId="45" fillId="5" borderId="9" pivotButton="0" quotePrefix="0" xfId="0"/>
    <xf numFmtId="0" fontId="45" fillId="5" borderId="9" applyAlignment="1" pivotButton="0" quotePrefix="0" xfId="0">
      <alignment horizontal="left"/>
    </xf>
    <xf numFmtId="0" fontId="43" fillId="5" borderId="51" applyAlignment="1" pivotButton="0" quotePrefix="0" xfId="0">
      <alignment horizontal="left" vertical="top" wrapText="1" readingOrder="1"/>
    </xf>
    <xf numFmtId="0" fontId="43" fillId="5" borderId="9" applyAlignment="1" pivotButton="0" quotePrefix="0" xfId="0">
      <alignment horizontal="left" vertical="top"/>
    </xf>
    <xf numFmtId="0" fontId="1" fillId="2" borderId="9" applyAlignment="1" applyProtection="1" pivotButton="0" quotePrefix="0" xfId="0">
      <alignment horizontal="left" vertical="top"/>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67" fontId="0" fillId="0" borderId="0" applyAlignment="1" pivotButton="0" quotePrefix="0" xfId="2">
      <alignment horizontal="center"/>
    </xf>
    <xf numFmtId="0" fontId="0" fillId="0" borderId="7" applyProtection="1" pivotButton="0" quotePrefix="0" xfId="0">
      <protection locked="0" hidden="0"/>
    </xf>
    <xf numFmtId="0" fontId="0" fillId="0" borderId="8" applyProtection="1" pivotButton="0" quotePrefix="0" xfId="0">
      <protection locked="0" hidden="0"/>
    </xf>
    <xf numFmtId="0" fontId="0" fillId="0" borderId="22" applyProtection="1" pivotButton="0" quotePrefix="0" xfId="0">
      <protection locked="0" hidden="0"/>
    </xf>
    <xf numFmtId="0" fontId="0" fillId="0" borderId="28" applyProtection="1" pivotButton="0" quotePrefix="0" xfId="0">
      <protection locked="0" hidden="0"/>
    </xf>
    <xf numFmtId="0" fontId="78" fillId="4" borderId="11" applyAlignment="1" pivotButton="0" quotePrefix="0" xfId="0">
      <alignment horizontal="center" vertical="center" wrapText="1"/>
    </xf>
    <xf numFmtId="0" fontId="0" fillId="0" borderId="14" pivotButton="0" quotePrefix="0" xfId="0"/>
    <xf numFmtId="0" fontId="60" fillId="4" borderId="11" applyAlignment="1" pivotButton="0" quotePrefix="0" xfId="0">
      <alignment horizontal="right" vertical="center" wrapText="1"/>
    </xf>
    <xf numFmtId="1" fontId="1" fillId="0" borderId="11" applyAlignment="1" pivotButton="0" quotePrefix="0" xfId="0">
      <alignment horizontal="center" vertical="top"/>
    </xf>
    <xf numFmtId="1" fontId="1" fillId="0" borderId="51" applyAlignment="1" pivotButton="0" quotePrefix="0" xfId="0">
      <alignment horizontal="center"/>
    </xf>
    <xf numFmtId="165" fontId="68" fillId="4" borderId="91" applyAlignment="1" pivotButton="0" quotePrefix="0" xfId="0">
      <alignment horizontal="center" vertical="center" wrapText="1"/>
    </xf>
    <xf numFmtId="1" fontId="43" fillId="4" borderId="11" applyAlignment="1" applyProtection="1" pivotButton="0" quotePrefix="0" xfId="0">
      <alignment horizontal="center"/>
      <protection locked="0" hidden="0"/>
    </xf>
    <xf numFmtId="0" fontId="0" fillId="0" borderId="80" pivotButton="0" quotePrefix="0" xfId="0"/>
    <xf numFmtId="1" fontId="1" fillId="0" borderId="11" applyAlignment="1" pivotButton="0" quotePrefix="0" xfId="0">
      <alignment horizontal="center"/>
    </xf>
    <xf numFmtId="1" fontId="43" fillId="4" borderId="51" applyAlignment="1" applyProtection="1" pivotButton="0" quotePrefix="0" xfId="0">
      <alignment horizontal="center"/>
      <protection locked="0" hidden="0"/>
    </xf>
    <xf numFmtId="170" fontId="41" fillId="4" borderId="23" applyAlignment="1" pivotButton="0" quotePrefix="0" xfId="0">
      <alignment horizontal="center"/>
    </xf>
    <xf numFmtId="170" fontId="2" fillId="0" borderId="0" pivotButton="0" quotePrefix="0" xfId="0"/>
    <xf numFmtId="0" fontId="43" fillId="5" borderId="11" applyAlignment="1" pivotButton="0" quotePrefix="0" xfId="0">
      <alignment horizontal="center" vertical="center"/>
    </xf>
    <xf numFmtId="167" fontId="42" fillId="0" borderId="0" applyAlignment="1" pivotButton="0" quotePrefix="0" xfId="2">
      <alignment horizontal="center"/>
    </xf>
    <xf numFmtId="0" fontId="60" fillId="5" borderId="11" applyAlignment="1" pivotButton="0" quotePrefix="0" xfId="0">
      <alignment horizontal="left"/>
    </xf>
    <xf numFmtId="0" fontId="42" fillId="5" borderId="86" applyAlignment="1" pivotButton="0" quotePrefix="0" xfId="0">
      <alignment horizontal="right" wrapText="1"/>
    </xf>
    <xf numFmtId="0" fontId="0" fillId="0" borderId="44" pivotButton="0" quotePrefix="0" xfId="0"/>
    <xf numFmtId="0" fontId="44" fillId="5" borderId="51" applyAlignment="1" pivotButton="0" quotePrefix="0" xfId="0">
      <alignment horizontal="center" wrapText="1"/>
    </xf>
    <xf numFmtId="0" fontId="60" fillId="7" borderId="9" applyAlignment="1" pivotButton="0" quotePrefix="0" xfId="0">
      <alignment horizontal="left" vertical="center" wrapText="1"/>
    </xf>
    <xf numFmtId="171" fontId="0" fillId="0" borderId="0" pivotButton="0" quotePrefix="0" xfId="0"/>
    <xf numFmtId="164" fontId="0" fillId="0" borderId="0" applyAlignment="1" pivotButton="0" quotePrefix="0" xfId="0">
      <alignment horizontal="center"/>
    </xf>
    <xf numFmtId="172" fontId="2" fillId="0" borderId="0" applyAlignment="1" pivotButton="0" quotePrefix="0" xfId="0">
      <alignment horizontal="center"/>
    </xf>
    <xf numFmtId="167" fontId="2" fillId="0" borderId="0" applyAlignment="1" pivotButton="0" quotePrefix="0" xfId="2">
      <alignment horizontal="center"/>
    </xf>
    <xf numFmtId="0" fontId="0" fillId="0" borderId="33" pivotButton="0" quotePrefix="0" xfId="0"/>
    <xf numFmtId="0" fontId="60" fillId="10" borderId="9" applyAlignment="1" pivotButton="0" quotePrefix="0" xfId="0">
      <alignment horizontal="left" vertical="center"/>
    </xf>
    <xf numFmtId="1" fontId="43" fillId="10" borderId="11" applyAlignment="1" pivotButton="0" quotePrefix="0" xfId="0">
      <alignment horizontal="center" vertical="center"/>
    </xf>
    <xf numFmtId="165" fontId="42" fillId="10" borderId="9" applyAlignment="1" applyProtection="1" pivotButton="0" quotePrefix="0" xfId="0">
      <alignment horizontal="center" vertical="center" wrapText="1"/>
      <protection locked="0" hidden="0"/>
    </xf>
    <xf numFmtId="0" fontId="0" fillId="0" borderId="51" applyProtection="1" pivotButton="0" quotePrefix="0" xfId="0">
      <protection locked="0" hidden="0"/>
    </xf>
    <xf numFmtId="0" fontId="41" fillId="10" borderId="9" applyAlignment="1" pivotButton="0" quotePrefix="0" xfId="0">
      <alignment horizontal="center" vertical="center" wrapText="1"/>
    </xf>
    <xf numFmtId="1" fontId="56" fillId="3" borderId="19" applyAlignment="1" pivotButton="0" quotePrefix="0" xfId="0">
      <alignment horizontal="center" vertical="center" wrapText="1"/>
    </xf>
    <xf numFmtId="0" fontId="9" fillId="6" borderId="9" applyAlignment="1" pivotButton="0" quotePrefix="0" xfId="0">
      <alignment horizontal="center" vertical="center" wrapText="1"/>
    </xf>
    <xf numFmtId="164" fontId="7" fillId="0" borderId="0" applyAlignment="1" pivotButton="0" quotePrefix="0" xfId="0">
      <alignment horizontal="center" vertical="center"/>
    </xf>
    <xf numFmtId="0" fontId="0" fillId="0" borderId="51" pivotButton="0" quotePrefix="0" xfId="0"/>
    <xf numFmtId="0" fontId="0" fillId="0" borderId="77" pivotButton="0" quotePrefix="0" xfId="0"/>
    <xf numFmtId="164" fontId="39" fillId="0" borderId="0" applyAlignment="1" pivotButton="0" quotePrefix="0" xfId="0">
      <alignment horizontal="center"/>
    </xf>
    <xf numFmtId="164" fontId="39" fillId="0" borderId="0" applyAlignment="1" pivotButton="0" quotePrefix="0" xfId="0">
      <alignment horizontal="center" vertical="center"/>
    </xf>
    <xf numFmtId="2" fontId="47" fillId="10" borderId="9" applyAlignment="1" pivotButton="0" quotePrefix="0" xfId="0">
      <alignment horizontal="center" vertical="center" wrapText="1"/>
    </xf>
    <xf numFmtId="0" fontId="0" fillId="0" borderId="27" pivotButton="0" quotePrefix="0" xfId="0"/>
    <xf numFmtId="0" fontId="41" fillId="10" borderId="42" applyAlignment="1" pivotButton="0" quotePrefix="0" xfId="0">
      <alignment horizontal="center" vertical="center" wrapText="1"/>
    </xf>
    <xf numFmtId="0" fontId="41" fillId="10" borderId="31" applyAlignment="1" pivotButton="0" quotePrefix="0" xfId="0">
      <alignment horizontal="center" vertical="center" wrapText="1"/>
    </xf>
    <xf numFmtId="0" fontId="41" fillId="10" borderId="43" applyAlignment="1" pivotButton="0" quotePrefix="0" xfId="0">
      <alignment horizontal="center" vertical="center" wrapText="1"/>
    </xf>
    <xf numFmtId="165" fontId="60" fillId="10" borderId="11" applyAlignment="1" pivotButton="0" quotePrefix="0" xfId="0">
      <alignment horizontal="center" vertical="center"/>
    </xf>
    <xf numFmtId="1" fontId="2" fillId="3" borderId="19" applyAlignment="1" pivotButton="0" quotePrefix="0" xfId="0">
      <alignment horizontal="center" vertical="top" wrapText="1"/>
    </xf>
    <xf numFmtId="0" fontId="9" fillId="6" borderId="1" applyAlignment="1" pivotButton="0" quotePrefix="0" xfId="0">
      <alignment horizontal="center" vertical="center" wrapText="1"/>
    </xf>
    <xf numFmtId="164" fontId="0" fillId="0" borderId="0" applyAlignment="1" pivotButton="0" quotePrefix="1" xfId="0">
      <alignment horizontal="center"/>
    </xf>
    <xf numFmtId="0" fontId="0" fillId="0" borderId="59" pivotButton="0" quotePrefix="0" xfId="0"/>
    <xf numFmtId="0" fontId="0" fillId="0" borderId="50" pivotButton="0" quotePrefix="0" xfId="0"/>
    <xf numFmtId="0" fontId="0" fillId="0" borderId="47" pivotButton="0" quotePrefix="0" xfId="0"/>
    <xf numFmtId="0" fontId="0" fillId="0" borderId="29" pivotButton="0" quotePrefix="0" xfId="0"/>
    <xf numFmtId="165" fontId="41" fillId="10" borderId="11" applyAlignment="1" pivotButton="0" quotePrefix="0" xfId="0">
      <alignment horizontal="center"/>
    </xf>
    <xf numFmtId="49" fontId="105" fillId="0" borderId="9" applyAlignment="1" applyProtection="1" pivotButton="0" quotePrefix="0" xfId="0">
      <alignment horizontal="center" vertical="center"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105" fillId="0" borderId="9" applyAlignment="1" applyProtection="1" pivotButton="0" quotePrefix="0" xfId="0">
      <alignment horizontal="center" vertical="center" wrapText="1"/>
      <protection locked="0" hidden="0"/>
    </xf>
    <xf numFmtId="49" fontId="111" fillId="0" borderId="9" applyAlignment="1" applyProtection="1" pivotButton="0" quotePrefix="0" xfId="3">
      <alignment horizontal="center" vertical="center" wrapText="1"/>
      <protection locked="0" hidden="0"/>
    </xf>
    <xf numFmtId="20" fontId="105" fillId="0" borderId="9" applyAlignment="1" applyProtection="1" pivotButton="0" quotePrefix="0" xfId="0">
      <alignment horizontal="center" vertical="center" wrapText="1"/>
      <protection locked="0" hidden="0"/>
    </xf>
    <xf numFmtId="20" fontId="55" fillId="0" borderId="9" applyAlignment="1" pivotButton="0" quotePrefix="0" xfId="0">
      <alignment horizontal="center" vertical="center" wrapText="1"/>
    </xf>
    <xf numFmtId="20" fontId="55" fillId="8" borderId="9" applyAlignment="1" pivotButton="0" quotePrefix="0" xfId="0">
      <alignment horizontal="center" vertical="center" wrapText="1"/>
    </xf>
    <xf numFmtId="0" fontId="39" fillId="8" borderId="9" applyAlignment="1" pivotButton="0" quotePrefix="0" xfId="0">
      <alignment horizontal="center"/>
    </xf>
    <xf numFmtId="0" fontId="2" fillId="2" borderId="11" applyAlignment="1" pivotButton="0" quotePrefix="0" xfId="0">
      <alignment horizontal="center" vertical="center" wrapText="1"/>
    </xf>
    <xf numFmtId="0" fontId="2" fillId="2" borderId="9" applyAlignment="1" pivotButton="0" quotePrefix="0" xfId="0">
      <alignment horizontal="center" vertical="center" wrapText="1"/>
    </xf>
    <xf numFmtId="0" fontId="61" fillId="2" borderId="9" applyAlignment="1" pivotButton="0" quotePrefix="0" xfId="0">
      <alignment horizontal="center" vertical="center" wrapText="1"/>
    </xf>
    <xf numFmtId="0" fontId="9" fillId="13" borderId="9" applyAlignment="1" pivotButton="0" quotePrefix="0" xfId="0">
      <alignment horizontal="center" vertical="center" wrapText="1"/>
    </xf>
    <xf numFmtId="0" fontId="0" fillId="0" borderId="62" applyProtection="1" pivotButton="0" quotePrefix="0" xfId="0">
      <protection locked="0" hidden="0"/>
    </xf>
    <xf numFmtId="0" fontId="0" fillId="0" borderId="65" applyProtection="1" pivotButton="0" quotePrefix="0" xfId="0">
      <protection locked="0" hidden="0"/>
    </xf>
    <xf numFmtId="0" fontId="7" fillId="13" borderId="37" applyAlignment="1" applyProtection="1" pivotButton="0" quotePrefix="0" xfId="0">
      <alignment horizontal="center" vertical="center" wrapText="1"/>
      <protection locked="0" hidden="0"/>
    </xf>
    <xf numFmtId="0" fontId="7" fillId="13" borderId="37" applyAlignment="1" applyProtection="1" pivotButton="0" quotePrefix="0" xfId="0">
      <alignment horizontal="left" vertical="center" wrapText="1" indent="1"/>
      <protection locked="0" hidden="0"/>
    </xf>
    <xf numFmtId="0" fontId="7" fillId="13" borderId="51" applyAlignment="1" applyProtection="1" pivotButton="0" quotePrefix="0" xfId="0">
      <alignment horizontal="center" vertical="center" wrapText="1"/>
      <protection locked="0" hidden="0"/>
    </xf>
    <xf numFmtId="0" fontId="7" fillId="13" borderId="51" applyAlignment="1" applyProtection="1" pivotButton="0" quotePrefix="0" xfId="0">
      <alignment horizontal="left" vertical="center" wrapText="1" indent="1"/>
      <protection locked="0" hidden="0"/>
    </xf>
    <xf numFmtId="0" fontId="7" fillId="13" borderId="36" applyAlignment="1" applyProtection="1" pivotButton="0" quotePrefix="0" xfId="0">
      <alignment horizontal="left" vertical="center" wrapText="1" indent="1"/>
      <protection locked="0" hidden="0"/>
    </xf>
    <xf numFmtId="0" fontId="0" fillId="0" borderId="85" pivotButton="0" quotePrefix="0" xfId="0"/>
    <xf numFmtId="1" fontId="11" fillId="13" borderId="92" applyAlignment="1" pivotButton="0" quotePrefix="0" xfId="0">
      <alignment horizontal="center" wrapText="1"/>
    </xf>
    <xf numFmtId="0" fontId="0" fillId="0" borderId="82" pivotButton="0" quotePrefix="0" xfId="0"/>
    <xf numFmtId="0" fontId="0" fillId="0" borderId="83" pivotButton="0" quotePrefix="0" xfId="0"/>
    <xf numFmtId="167" fontId="15" fillId="0" borderId="0" applyAlignment="1" pivotButton="0" quotePrefix="0" xfId="2">
      <alignment horizontal="center"/>
    </xf>
    <xf numFmtId="0" fontId="9" fillId="0" borderId="9" applyAlignment="1" pivotButton="0" quotePrefix="0" xfId="0">
      <alignment horizontal="center" vertical="top" wrapText="1"/>
    </xf>
    <xf numFmtId="0" fontId="9" fillId="0" borderId="9" applyAlignment="1" pivotButton="0" quotePrefix="0" xfId="0">
      <alignment horizontal="center" wrapText="1"/>
    </xf>
    <xf numFmtId="166" fontId="1" fillId="0" borderId="0" applyAlignment="1" pivotButton="0" quotePrefix="0" xfId="0">
      <alignment horizontal="left"/>
    </xf>
    <xf numFmtId="166" fontId="9" fillId="0" borderId="0" pivotButton="0" quotePrefix="0" xfId="0"/>
    <xf numFmtId="0" fontId="11" fillId="6" borderId="9" applyAlignment="1" pivotButton="0" quotePrefix="0" xfId="0">
      <alignment horizontal="left" vertical="center"/>
    </xf>
    <xf numFmtId="49" fontId="61" fillId="2" borderId="9" applyAlignment="1" applyProtection="1" pivotButton="0" quotePrefix="0" xfId="0">
      <alignment horizontal="center" vertical="center" wrapText="1"/>
      <protection locked="0" hidden="0"/>
    </xf>
    <xf numFmtId="20" fontId="61" fillId="2" borderId="9" applyAlignment="1" applyProtection="1" pivotButton="0" quotePrefix="0" xfId="0">
      <alignment horizontal="center" vertical="center" wrapText="1"/>
      <protection locked="0" hidden="0"/>
    </xf>
    <xf numFmtId="0" fontId="39" fillId="0" borderId="9" applyAlignment="1" pivotButton="0" quotePrefix="0" xfId="0">
      <alignment horizontal="center"/>
    </xf>
    <xf numFmtId="0" fontId="2" fillId="0" borderId="11" applyAlignment="1" pivotButton="0" quotePrefix="0" xfId="0">
      <alignment horizontal="center" vertical="center" wrapText="1"/>
    </xf>
    <xf numFmtId="1" fontId="21" fillId="15" borderId="9" applyAlignment="1" pivotButton="0" quotePrefix="0" xfId="0">
      <alignment horizontal="right"/>
    </xf>
    <xf numFmtId="1" fontId="11" fillId="15" borderId="9" applyAlignment="1" pivotButton="0" quotePrefix="0" xfId="0">
      <alignment horizontal="center" vertical="center" wrapText="1"/>
    </xf>
    <xf numFmtId="0" fontId="100" fillId="6" borderId="9" applyAlignment="1" pivotButton="0" quotePrefix="0" xfId="0">
      <alignment horizontal="center"/>
    </xf>
    <xf numFmtId="166" fontId="15" fillId="0" borderId="0" applyAlignment="1" pivotButton="0" quotePrefix="0" xfId="0">
      <alignment horizontal="left"/>
    </xf>
    <xf numFmtId="0" fontId="2" fillId="0" borderId="51" applyAlignment="1" pivotButton="0" quotePrefix="0" xfId="0">
      <alignment horizontal="center" vertical="center" wrapText="1"/>
    </xf>
    <xf numFmtId="1" fontId="84" fillId="0" borderId="11" applyAlignment="1" pivotButton="0" quotePrefix="0" xfId="0">
      <alignment horizontal="center" vertical="center"/>
    </xf>
    <xf numFmtId="1" fontId="84" fillId="0" borderId="51" applyAlignment="1" pivotButton="0" quotePrefix="0" xfId="0">
      <alignment horizontal="center" vertical="center"/>
    </xf>
    <xf numFmtId="0" fontId="11" fillId="0" borderId="10" applyAlignment="1" pivotButton="0" quotePrefix="0" xfId="0">
      <alignment horizontal="justify" vertical="top" wrapText="1"/>
    </xf>
    <xf numFmtId="0" fontId="11" fillId="0" borderId="11" applyAlignment="1" pivotButton="0" quotePrefix="0" xfId="0">
      <alignment horizontal="justify" vertical="top" wrapText="1"/>
    </xf>
    <xf numFmtId="0" fontId="11" fillId="0" borderId="6" applyAlignment="1" pivotButton="0" quotePrefix="0" xfId="0">
      <alignment horizontal="justify" vertical="top" wrapText="1"/>
    </xf>
    <xf numFmtId="0" fontId="11" fillId="0" borderId="51" applyAlignment="1" pivotButton="0" quotePrefix="0" xfId="0">
      <alignment horizontal="justify" vertical="top" wrapText="1"/>
    </xf>
  </cellXfs>
  <cellStyles count="4">
    <cellStyle name="Normal" xfId="0" builtinId="0"/>
    <cellStyle name="Hipervínculo" xfId="1" builtinId="8"/>
    <cellStyle name="Millares" xfId="2" builtinId="3"/>
    <cellStyle name="Hyperlink" xfId="3"/>
  </cellStyles>
  <dxfs count="46">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1"/>
        <i val="1"/>
        <condense val="0"/>
        <color indexed="10"/>
        <extend val="0"/>
      </font>
    </dxf>
    <dxf>
      <font>
        <b val="1"/>
        <condense val="0"/>
        <color indexed="10"/>
        <extend val="0"/>
      </font>
    </dxf>
    <dxf>
      <font>
        <b val="1"/>
        <condense val="0"/>
        <color indexed="10"/>
        <extend val="0"/>
      </font>
      <fill>
        <patternFill>
          <bgColor indexed="65"/>
        </patternFill>
      </fill>
    </dxf>
    <dxf>
      <font>
        <b val="1"/>
        <condense val="0"/>
        <color indexed="10"/>
        <extend val="0"/>
      </font>
      <fill>
        <patternFill>
          <bgColor indexed="65"/>
        </patternFill>
      </fill>
    </dxf>
    <dxf>
      <font>
        <b val="1"/>
        <condense val="0"/>
        <color indexed="10"/>
        <extend val="0"/>
      </font>
      <fill>
        <patternFill>
          <bgColor indexed="65"/>
        </patternFill>
      </fill>
    </dxf>
    <dxf>
      <font>
        <b val="1"/>
        <condense val="0"/>
        <color indexed="10"/>
        <extend val="0"/>
      </font>
      <fill>
        <patternFill>
          <bgColor indexed="65"/>
        </patternFill>
      </fill>
    </dxf>
    <dxf>
      <font>
        <b val="1"/>
        <condense val="0"/>
        <color indexed="10"/>
        <extend val="0"/>
      </font>
      <fill>
        <patternFill>
          <bgColor indexed="65"/>
        </patternFill>
      </fill>
    </dxf>
    <dxf>
      <font>
        <b val="1"/>
        <i val="1"/>
        <condense val="0"/>
        <color indexed="10"/>
        <extend val="0"/>
      </font>
    </dxf>
    <dxf>
      <font>
        <b val="1"/>
        <condense val="0"/>
        <color indexed="10"/>
        <extend val="0"/>
      </font>
    </dxf>
    <dxf>
      <font>
        <b val="1"/>
        <condense val="0"/>
        <color indexed="10"/>
        <extend val="0"/>
      </font>
      <fill>
        <patternFill>
          <bgColor indexed="13"/>
        </patternFill>
      </fill>
    </dxf>
    <dxf>
      <font>
        <b val="1"/>
        <condense val="0"/>
        <color indexed="10"/>
        <extend val="0"/>
      </font>
      <fill>
        <patternFill>
          <bgColor indexed="13"/>
        </patternFill>
      </fill>
    </dxf>
    <dxf>
      <font>
        <b val="1"/>
        <condense val="0"/>
        <color indexed="10"/>
        <extend val="0"/>
      </font>
      <fill>
        <patternFill>
          <bgColor indexed="13"/>
        </patternFill>
      </fill>
    </dxf>
    <dxf>
      <fill>
        <patternFill>
          <bgColor indexed="13"/>
        </patternFill>
      </fill>
    </dxf>
    <dxf>
      <font>
        <b val="1"/>
        <i val="1"/>
        <condense val="0"/>
        <color indexed="10"/>
        <extend val="0"/>
      </font>
    </dxf>
    <dxf>
      <fill>
        <patternFill>
          <bgColor indexed="13"/>
        </patternFill>
      </fill>
    </dxf>
    <dxf>
      <font>
        <b val="1"/>
        <condense val="0"/>
        <color indexed="10"/>
        <extend val="0"/>
      </font>
    </dxf>
    <dxf>
      <fill>
        <patternFill>
          <bgColor indexed="34"/>
        </patternFill>
      </fill>
    </dxf>
    <dxf>
      <font>
        <b val="1"/>
        <condense val="0"/>
        <color indexed="10"/>
        <extend val="0"/>
      </font>
    </dxf>
    <dxf>
      <font>
        <b val="1"/>
        <condense val="0"/>
        <color indexed="10"/>
        <extend val="0"/>
      </font>
    </dxf>
    <dxf>
      <font>
        <b val="1"/>
        <condense val="0"/>
        <color indexed="10"/>
        <extend val="0"/>
      </font>
    </dxf>
    <dxf>
      <font>
        <b val="1"/>
        <condense val="0"/>
        <color indexed="10"/>
        <extend val="0"/>
      </font>
    </dxf>
    <dxf>
      <font>
        <b val="1"/>
        <condense val="0"/>
        <color indexed="10"/>
        <extend val="0"/>
      </font>
    </dxf>
    <dxf>
      <font>
        <b val="1"/>
        <condense val="0"/>
        <color indexed="10"/>
        <extend val="0"/>
      </font>
    </dxf>
    <dxf>
      <font>
        <b val="1"/>
        <condense val="0"/>
        <color indexed="10"/>
        <extend val="0"/>
      </font>
    </dxf>
    <dxf>
      <font>
        <b val="1"/>
        <condense val="0"/>
        <color indexed="10"/>
        <extend val="0"/>
      </font>
    </dxf>
    <dxf>
      <font>
        <condense val="0"/>
        <color indexed="13"/>
        <extend val="0"/>
      </font>
      <fill>
        <patternFill>
          <bgColor indexed="10"/>
        </patternFill>
      </fill>
    </dxf>
    <dxf>
      <font>
        <b val="1"/>
        <condense val="0"/>
        <color indexed="10"/>
        <extend val="0"/>
      </font>
    </dxf>
    <dxf>
      <font>
        <b val="1"/>
        <condense val="0"/>
        <color indexed="10"/>
        <extend val="0"/>
      </font>
    </dxf>
    <dxf>
      <font>
        <b val="1"/>
        <condense val="0"/>
        <color indexed="10"/>
        <extend val="0"/>
      </font>
    </dxf>
    <dxf>
      <font>
        <b val="1"/>
        <condense val="0"/>
        <color indexed="10"/>
        <extend val="0"/>
      </font>
    </dxf>
    <dxf>
      <font>
        <b val="1"/>
        <condense val="0"/>
        <color indexed="10"/>
        <extend val="0"/>
      </font>
      <fill>
        <patternFill>
          <bgColor indexed="2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Mariela</author>
    <author>Usuario</author>
    <author>Pablo Siklosi Avila</author>
  </authors>
  <commentList>
    <comment ref="C14" authorId="0" shapeId="0">
      <text>
        <t>datos de la constacia de CUIT</t>
      </text>
    </comment>
    <comment ref="C18" authorId="0" shapeId="0">
      <text>
        <t>(*) ubicación del instrumento!!</t>
      </text>
    </comment>
    <comment ref="B31" authorId="1" shapeId="0">
      <text>
        <t>Usuario:
Número de disposción de AM que se baja del SOL.</t>
      </text>
    </comment>
    <comment ref="F31" authorId="1" shapeId="0">
      <text>
        <t>Usuario:
Número de disposición de AM que se baja del SOL</t>
      </text>
    </comment>
    <comment ref="B32" authorId="1" shapeId="0">
      <text>
        <t>Usuario:
Fecha de la disposición de AM que de baja del SOL.</t>
      </text>
    </comment>
    <comment ref="F32" authorId="1" shapeId="0">
      <text>
        <t>Usuario:
Fecha de la disposición de AM que se baja del SOL.</t>
      </text>
    </comment>
    <comment ref="B33" authorId="2" shapeId="0">
      <text>
        <t>El listado está en la columna I completar los datos cuando sea necesario</t>
      </text>
    </comment>
    <comment ref="I33" authorId="2" shapeId="0">
      <text>
        <t>Razón social del solicitante de la OT</t>
      </text>
    </comment>
    <comment ref="J33" authorId="2" shapeId="0">
      <text>
        <t>CUIT corespondiente al solicitante de OT</t>
      </text>
    </comment>
    <comment ref="C44" authorId="2" shapeId="0">
      <text>
        <t>Este dato no tiene impacto en las actas</t>
      </text>
    </comment>
  </commentList>
</comments>
</file>

<file path=xl/comments/comment2.xml><?xml version="1.0" encoding="utf-8"?>
<comments xmlns="http://schemas.openxmlformats.org/spreadsheetml/2006/main">
  <authors>
    <author>Mariela</author>
    <author>JJones</author>
  </authors>
  <commentList>
    <comment ref="D39" authorId="0" shapeId="0">
      <text>
        <t>Colocar:
INGRESO o
EGRESO</t>
      </text>
    </comment>
    <comment ref="J39" authorId="0" shapeId="0">
      <text>
        <t>Idem: INGRESO o EGRESO</t>
      </text>
    </comment>
    <comment ref="E68" authorId="1" shapeId="0">
      <text>
        <t>Carga Aplicada:
En caso que la carga utilizada para este ensayo difiera del cociente entre Máx./Cant. Apoyos, ingrese el valor manualmente.</t>
      </text>
    </comment>
    <comment ref="G69" authorId="1" shapeId="0">
      <text>
        <t>Sobrecarga:
Ingrese el valor de carga (en múltiplos de 1/10 d) que provoca el cambio de indicación. El ingreso de estos valores es optativo para VPE y mandatorio para VPR</t>
      </text>
    </comment>
    <comment ref="D196" authorId="0" shapeId="0">
      <text>
        <t>Mariela:
se muestra el el valor nominal de la carga sustituta, teniendo en cuenta el error de indicación que arrastramos</t>
      </text>
    </comment>
    <comment ref="F208" authorId="0" shapeId="0">
      <text>
        <t>Mariela:
idem: se toma la indicación luego de ajustar para que salte con la misma sobrecarga que en la etapa anterior.</t>
      </text>
    </comment>
    <comment ref="F209" authorId="0" shapeId="0">
      <text>
        <t>Mariela:
Idem: se toma el último valor de la columna F de la etapa anterior</t>
      </text>
    </comment>
    <comment ref="H209" authorId="0" shapeId="0">
      <text>
        <t>Mariela:
Idem: sobrecarga con la cual salta la indicación al  finalizar la etapa anterior</t>
      </text>
    </comment>
  </commentList>
</comments>
</file>

<file path=xl/comments/comment3.xml><?xml version="1.0" encoding="utf-8"?>
<comments xmlns="http://schemas.openxmlformats.org/spreadsheetml/2006/main">
  <authors>
    <author>Mariela</author>
  </authors>
  <commentList>
    <comment ref="L10" authorId="0" shapeId="0">
      <text>
        <t>Seleccionar el ensayo que no pasa (según tipo de balanza). O seleccionar "Otro" para otro motivo de suspensión.</t>
      </text>
    </comment>
    <comment ref="J18" authorId="0" shapeId="0">
      <text>
        <t xml:space="preserve">colocar: HORA SIN MINUTOS (ej 15 ó 16)
</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mailto:grottola@inti.gob.ar%201133556773" TargetMode="External" Id="rId1" /><Relationship Type="http://schemas.openxmlformats.org/officeDocument/2006/relationships/hyperlink" Target="mailto:oguillen@inti.gob.ar%20-%20TE%20011-1533107309" TargetMode="External" Id="rId2" /><Relationship Type="http://schemas.openxmlformats.org/officeDocument/2006/relationships/hyperlink" Target="mailto:avagnina@inti.gob.ar%20-%20TE%20011-1566509752" TargetMode="External" Id="rId3" /><Relationship Type="http://schemas.openxmlformats.org/officeDocument/2006/relationships/hyperlink" Target="mailto:saks@inti.gob.ar%20-%20TE%20011-1557294873" TargetMode="External" Id="rId4" /><Relationship Type="http://schemas.openxmlformats.org/officeDocument/2006/relationships/hyperlink" Target="mailto:mpagot@inti.gob.ar%20-%20TE%20011-1557281013" TargetMode="External" Id="rId5" /><Relationship Type="http://schemas.openxmlformats.org/officeDocument/2006/relationships/hyperlink" Target="mailto:mbaulies@inti.gob.ar%20-%20TE%200351-158141793" TargetMode="External" Id="rId6" /><Relationship Type="http://schemas.openxmlformats.org/officeDocument/2006/relationships/hyperlink" Target="mailto:elafon@inti.gob.ar%20-%20TE%20011-1557272544" TargetMode="External" Id="rId7" /><Relationship Type="http://schemas.openxmlformats.org/officeDocument/2006/relationships/hyperlink" Target="mailto:jfiguero@inti.gob.ar" TargetMode="External" Id="rId8" /><Relationship Type="http://schemas.openxmlformats.org/officeDocument/2006/relationships/hyperlink" Target="mailto:gdenot@inti.gob.ar%20-%20TE%20011-1557284370" TargetMode="External" Id="rId9" /><Relationship Type="http://schemas.openxmlformats.org/officeDocument/2006/relationships/hyperlink" Target="mailto:pcornet@inti.gob.ar%20-%20TE%20011-1557279865" TargetMode="External" Id="rId10" /><Relationship Type="http://schemas.openxmlformats.org/officeDocument/2006/relationships/hyperlink" Target="mailto:maroveri@inti.gob.ar%20-%20TE%20011-1560378645" TargetMode="External" Id="rId11" /><Relationship Type="http://schemas.openxmlformats.org/officeDocument/2006/relationships/hyperlink" Target="mailto:agerman@inti.gob.ar%20TE:%200341%20152%20132372" TargetMode="External" Id="rId12" /><Relationship Type="http://schemas.openxmlformats.org/officeDocument/2006/relationships/hyperlink" Target="mailto:lpiedrabuena@inti.gob.ar%20TE:%200341%20153695196" TargetMode="External" Id="rId13" /><Relationship Type="http://schemas.openxmlformats.org/officeDocument/2006/relationships/hyperlink" Target="mailto:garroyo@inti.gob.ar%20TE:%200341%20152297176" TargetMode="External" Id="rId14" /><Relationship Type="http://schemas.openxmlformats.org/officeDocument/2006/relationships/hyperlink" Target="mailto:dquevedo@inti.gob.ar%20%20-%20%20TE:%200341%20155%20967156" TargetMode="External" Id="rId15" /><Relationship Type="http://schemas.openxmlformats.org/officeDocument/2006/relationships/hyperlink" Target="mailto:piascik@inti.gob.ar%20TE:%200342%20154%20731405" TargetMode="External" Id="rId16" /><Relationship Type="http://schemas.openxmlformats.org/officeDocument/2006/relationships/hyperlink" Target="mailto:gzanutti@inti.gob.ar%20TE:%200342%20155%20494338" TargetMode="External" Id="rId17" /><Relationship Type="http://schemas.openxmlformats.org/officeDocument/2006/relationships/hyperlink" Target="mailto:jaraujo@inti.gob.ar%20TE:%200379-154207685" TargetMode="External" Id="rId18" /><Relationship Type="http://schemas.openxmlformats.org/officeDocument/2006/relationships/hyperlink" Target="mailto:psiklosi@inti.gob.ar%202615774172" TargetMode="External" Id="rId19" /><Relationship Type="http://schemas.openxmlformats.org/officeDocument/2006/relationships/hyperlink" Target="mailto:quednosayde@inti.gob.ar" TargetMode="External" Id="rId20"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mailto:deposito@agl-transport.com%20-%202612675691" TargetMode="External" Id="rId1" /></Relationships>
</file>

<file path=xl/worksheets/_rels/sheet4.xml.rels><Relationships xmlns="http://schemas.openxmlformats.org/package/2006/relationships"><Relationship Type="http://schemas.openxmlformats.org/officeDocument/2006/relationships/hyperlink" Target="https://www.inti.gob.ar/areas/metrologia-y-calidad/metrologia/metrologia-legal/empresas-reparadoras-auditadas" TargetMode="External" Id="rId1" /><Relationship Type="http://schemas.openxmlformats.org/officeDocument/2006/relationships/hyperlink" Target="https://www.argentina.gob.ar/empresas-acreditadascertificadas" TargetMode="External" Id="rId2" /></Relationships>
</file>

<file path=xl/worksheets/_rels/sheet8.xml.rels><Relationships xmlns="http://schemas.openxmlformats.org/package/2006/relationships"><Relationship Type="http://schemas.openxmlformats.org/officeDocument/2006/relationships/hyperlink" Target="mailto:=@'Acta%20Verificaci&#243;n%20'!K19:L19" TargetMode="Externa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codeName="Hoja1">
    <outlinePr summaryBelow="1" summaryRight="1"/>
    <pageSetUpPr/>
  </sheetPr>
  <dimension ref="A1:S70"/>
  <sheetViews>
    <sheetView showGridLines="0" tabSelected="1" defaultGridColor="0" view="pageBreakPreview" topLeftCell="A3" colorId="8" zoomScaleNormal="75" zoomScaleSheetLayoutView="100" workbookViewId="0">
      <selection activeCell="C14" sqref="C14:G14"/>
    </sheetView>
  </sheetViews>
  <sheetFormatPr baseColWidth="10" defaultColWidth="13.7109375" defaultRowHeight="12.75"/>
  <cols>
    <col width="25.140625" customWidth="1" style="20" min="1" max="1"/>
    <col width="23.42578125" customWidth="1" style="20" min="2" max="2"/>
    <col width="11.28515625" customWidth="1" style="20" min="3" max="3"/>
    <col width="16.42578125" customWidth="1" style="20" min="4" max="4"/>
    <col width="16" customWidth="1" style="20" min="5" max="5"/>
    <col width="10.140625" customWidth="1" style="20" min="6" max="6"/>
    <col width="19.28515625" customWidth="1" style="20" min="7" max="7"/>
    <col width="13.7109375" customWidth="1" style="20" min="8" max="8"/>
    <col width="25.85546875" customWidth="1" style="20" min="9" max="9"/>
    <col width="13.7109375" customWidth="1" style="20" min="10" max="11"/>
    <col width="67.7109375" customWidth="1" style="20" min="12" max="12"/>
    <col width="13.7109375" customWidth="1" style="20" min="13" max="13"/>
    <col width="29.85546875" customWidth="1" style="20" min="14" max="14"/>
    <col width="13.7109375" customWidth="1" style="20" min="15" max="15"/>
    <col width="44.42578125" customWidth="1" style="20" min="16" max="16"/>
    <col width="13.7109375" customWidth="1" style="20" min="17" max="18"/>
    <col width="45.7109375" customWidth="1" style="20" min="19" max="19"/>
    <col width="13.7109375" customWidth="1" style="20" min="20" max="16384"/>
  </cols>
  <sheetData>
    <row r="1" ht="15.75" customHeight="1">
      <c r="A1" s="801" t="inlineStr">
        <is>
          <t>IDENTIFICACIÓN DEL INSTRUMENTO VERIFICADO</t>
        </is>
      </c>
      <c r="I1" s="761" t="n"/>
      <c r="S1" s="20" t="inlineStr">
        <is>
          <t>Buenos Aires</t>
        </is>
      </c>
    </row>
    <row r="2" ht="17.25" customHeight="1">
      <c r="D2" s="635" t="inlineStr">
        <is>
          <t>dia (n°)</t>
        </is>
      </c>
      <c r="E2" s="635" t="inlineStr">
        <is>
          <t>mes (texto)</t>
        </is>
      </c>
      <c r="F2" s="635" t="inlineStr">
        <is>
          <t>año (n°)</t>
        </is>
      </c>
      <c r="H2" s="706" t="n"/>
      <c r="I2" s="633" t="inlineStr">
        <is>
          <t xml:space="preserve">Fecha verificación: </t>
        </is>
      </c>
      <c r="J2" s="751">
        <f>CONCATENATE(D3, " de ",E3, " de ",F3)</f>
        <v/>
      </c>
      <c r="L2" s="706" t="n"/>
      <c r="S2" s="20" t="inlineStr">
        <is>
          <t>Catamarca</t>
        </is>
      </c>
    </row>
    <row r="3" ht="12.75" customHeight="1">
      <c r="C3" s="457" t="inlineStr">
        <is>
          <t xml:space="preserve">Fecha: </t>
        </is>
      </c>
      <c r="D3" s="631" t="n">
        <v>20</v>
      </c>
      <c r="E3" s="632" t="inlineStr">
        <is>
          <t>octubre</t>
        </is>
      </c>
      <c r="F3" s="631" t="n">
        <v>2025</v>
      </c>
      <c r="H3" s="43" t="n"/>
      <c r="I3" s="633" t="inlineStr">
        <is>
          <t xml:space="preserve">Fecha vencimiento: </t>
        </is>
      </c>
      <c r="J3" s="751">
        <f>CONCATENATE(D3, " de ",E3, " de ",F3+2)</f>
        <v/>
      </c>
      <c r="L3" s="43" t="n"/>
    </row>
    <row r="4" ht="12.75" customFormat="1" customHeight="1" s="19">
      <c r="A4" s="457" t="inlineStr">
        <is>
          <t xml:space="preserve">Número  de O.T.:  </t>
        </is>
      </c>
      <c r="B4" s="528" t="inlineStr">
        <is>
          <t>307-62136</t>
        </is>
      </c>
      <c r="C4" s="457" t="n">
        <v>91997</v>
      </c>
      <c r="D4" s="803" t="inlineStr">
        <is>
          <t>Santa Rosa de Conlara</t>
        </is>
      </c>
      <c r="E4" s="1221" t="n"/>
      <c r="F4" s="457" t="n"/>
      <c r="G4" s="1222" t="n"/>
      <c r="H4" s="753" t="n"/>
      <c r="M4" s="761" t="n"/>
      <c r="N4" s="761" t="n"/>
      <c r="O4" s="761" t="n"/>
      <c r="P4" s="761" t="n"/>
      <c r="Q4" s="761" t="n"/>
      <c r="R4" s="761" t="n"/>
      <c r="S4" s="20" t="inlineStr">
        <is>
          <t>Chaco</t>
        </is>
      </c>
    </row>
    <row r="5" ht="12.75" customFormat="1" customHeight="1" s="19">
      <c r="A5" s="457">
        <f>IF(ISBLANK(B17),"",VLOOKUP('Identificación del Instrumento'!$B$17,$L$28:$Q$31,6,FALSE))</f>
        <v/>
      </c>
      <c r="B5" s="525" t="n">
        <v>91997</v>
      </c>
      <c r="C5" s="457" t="inlineStr">
        <is>
          <t>Provincia:</t>
        </is>
      </c>
      <c r="D5" s="803" t="inlineStr">
        <is>
          <t>San Luis</t>
        </is>
      </c>
      <c r="E5" s="1221" t="n"/>
      <c r="F5" s="457" t="n"/>
      <c r="G5" s="1222" t="n"/>
      <c r="H5" s="752" t="n"/>
      <c r="J5" s="579" t="n"/>
      <c r="K5" s="761" t="n"/>
      <c r="L5" s="761" t="n"/>
      <c r="M5" s="761" t="n"/>
      <c r="N5" s="761" t="n"/>
      <c r="O5" s="761" t="n"/>
      <c r="P5" s="761" t="n"/>
      <c r="Q5" s="761" t="n"/>
      <c r="R5" s="761" t="n"/>
      <c r="S5" s="20" t="inlineStr">
        <is>
          <t>Chubut</t>
        </is>
      </c>
    </row>
    <row r="6" ht="12" customHeight="1">
      <c r="A6" s="18" t="n"/>
      <c r="B6" s="18" t="n"/>
      <c r="C6" s="761" t="n"/>
      <c r="D6" s="18" t="n"/>
      <c r="E6" s="18" t="n"/>
      <c r="F6" s="18" t="n"/>
      <c r="G6" s="18" t="n"/>
      <c r="J6" s="629" t="n"/>
      <c r="K6" s="780" t="n"/>
      <c r="L6" s="780" t="n"/>
      <c r="S6" s="20" t="inlineStr">
        <is>
          <t>Ciudad Autónoma de Buenos Aires</t>
        </is>
      </c>
    </row>
    <row r="7" ht="12.75" customHeight="1">
      <c r="A7" s="802" t="inlineStr">
        <is>
          <t>En el día de la fecha constituido el técnico autorizado que firma al pie de la presente, en la razón social que mas abajo se cita, procede a efectuar el control del instrumento de medición cuyas características se detallan, obteniéndose los resultados que corren agregados en planilla adjunta a la presente.</t>
        </is>
      </c>
      <c r="J7" s="579" t="n"/>
      <c r="K7" s="780" t="n"/>
      <c r="L7" s="780" t="n"/>
      <c r="S7" s="20" t="inlineStr">
        <is>
          <t>Córdoba</t>
        </is>
      </c>
    </row>
    <row r="8" ht="12.75" customHeight="1">
      <c r="J8" s="579" t="n"/>
      <c r="K8" s="780" t="n"/>
      <c r="L8" s="747" t="inlineStr">
        <is>
          <t>VERIFICACION PRIMITIVA</t>
        </is>
      </c>
      <c r="M8" s="20" t="n">
        <v>2</v>
      </c>
      <c r="N8" s="382" t="n"/>
      <c r="S8" s="20" t="inlineStr">
        <is>
          <t>Corrientes</t>
        </is>
      </c>
    </row>
    <row r="9" ht="12.75" customHeight="1">
      <c r="J9" s="579" t="n"/>
      <c r="K9" s="780" t="n"/>
      <c r="L9" s="747" t="inlineStr">
        <is>
          <t>VERIFICACIÓN PERIÓDICA</t>
        </is>
      </c>
      <c r="M9" s="20" t="n">
        <v>1</v>
      </c>
      <c r="N9" s="382" t="n"/>
      <c r="S9" s="20" t="inlineStr">
        <is>
          <t>Entre Ríos</t>
        </is>
      </c>
    </row>
    <row r="10" ht="15.75" customHeight="1">
      <c r="H10" s="708" t="n"/>
      <c r="I10" s="708" t="n"/>
      <c r="J10" s="213" t="n"/>
      <c r="K10" s="780" t="n"/>
      <c r="L10" s="747" t="inlineStr">
        <is>
          <t>APROBACIÓN DE MODELO DE EFECTO LIMITADO</t>
        </is>
      </c>
      <c r="N10" s="383" t="n"/>
      <c r="S10" s="20" t="inlineStr">
        <is>
          <t>Formosa</t>
        </is>
      </c>
    </row>
    <row r="11" ht="15.75" customHeight="1">
      <c r="A11" s="761" t="n"/>
      <c r="B11" s="806" t="n"/>
      <c r="C11" s="1223" t="n"/>
      <c r="D11" s="1223" t="n"/>
      <c r="E11" s="1223" t="n"/>
      <c r="F11" s="1223" t="n"/>
      <c r="G11" s="1223" t="n"/>
      <c r="H11" s="708" t="n"/>
      <c r="I11" s="708" t="n"/>
      <c r="J11" s="213" t="n"/>
      <c r="K11" s="780" t="n"/>
      <c r="L11" s="780" t="inlineStr">
        <is>
          <t>PRIMITIVA DE ÚNICA UNIDAD</t>
        </is>
      </c>
      <c r="N11" s="382" t="n"/>
      <c r="S11" s="20" t="inlineStr">
        <is>
          <t>Jujuy</t>
        </is>
      </c>
    </row>
    <row r="12" ht="15.75" customHeight="1">
      <c r="A12" s="761" t="n"/>
      <c r="B12" s="457" t="inlineStr">
        <is>
          <t>Ente de control de rutas provinciales</t>
        </is>
      </c>
      <c r="C12" s="682" t="n"/>
      <c r="D12" s="761" t="n"/>
      <c r="E12" s="457" t="n"/>
      <c r="F12" s="682" t="n"/>
      <c r="G12" s="761" t="n"/>
      <c r="H12" s="708" t="n"/>
      <c r="I12" s="708" t="n"/>
      <c r="J12" s="20" t="inlineStr">
        <is>
          <t> </t>
        </is>
      </c>
      <c r="L12" s="780" t="inlineStr">
        <is>
          <t>PRIMITIVA DE ÚNICA UNIDAD</t>
        </is>
      </c>
      <c r="N12" s="382" t="n"/>
      <c r="S12" s="20" t="inlineStr">
        <is>
          <t>La Pampa</t>
        </is>
      </c>
    </row>
    <row r="13" ht="15.75" customHeight="1">
      <c r="A13" s="761" t="n"/>
      <c r="B13" s="761" t="inlineStr">
        <is>
          <t>Autopista de las serranías puntanas Km 783. San luis</t>
        </is>
      </c>
      <c r="C13" s="761" t="n"/>
      <c r="D13" s="761" t="n"/>
      <c r="E13" s="761" t="n"/>
      <c r="F13" s="761" t="n"/>
      <c r="G13" s="761" t="n"/>
      <c r="H13" s="708" t="n"/>
      <c r="I13" s="708" t="n"/>
      <c r="L13" s="780" t="inlineStr">
        <is>
          <t>PRIMITIVA DE ÚNICA UNIDAD</t>
        </is>
      </c>
      <c r="N13" s="382" t="n"/>
      <c r="S13" s="20" t="inlineStr">
        <is>
          <t>La Rioja</t>
        </is>
      </c>
    </row>
    <row r="14" ht="12.75" customHeight="1">
      <c r="A14" s="761" t="inlineStr">
        <is>
          <t>Razón social (Propietario):</t>
        </is>
      </c>
      <c r="C14" s="766" t="inlineStr">
        <is>
          <t>Ente Control de Rutas Provinciales</t>
        </is>
      </c>
      <c r="D14" s="1221" t="n"/>
      <c r="E14" s="1221" t="n"/>
      <c r="F14" s="1221" t="n"/>
      <c r="G14" s="1221" t="n"/>
      <c r="H14" s="708" t="n"/>
      <c r="I14" s="708" t="n"/>
      <c r="L14" s="780" t="inlineStr">
        <is>
          <t>PRIMITIVA DE INSTRUMENTO REPARADO A NUEVO</t>
        </is>
      </c>
      <c r="N14" s="383" t="inlineStr">
        <is>
          <t> </t>
        </is>
      </c>
      <c r="S14" s="20" t="inlineStr">
        <is>
          <t>Mendoza</t>
        </is>
      </c>
    </row>
    <row r="15">
      <c r="A15" s="761" t="inlineStr">
        <is>
          <t xml:space="preserve">Domicilio (Fiscal): </t>
        </is>
      </c>
      <c r="B15" s="766" t="inlineStr">
        <is>
          <t>LAVALLE Y ARISTÓBULO DEL VALLE - ESQUINA,</t>
        </is>
      </c>
      <c r="C15" s="1221" t="n"/>
      <c r="D15" s="1221" t="n"/>
      <c r="E15" s="1221" t="n"/>
      <c r="F15" s="1221" t="n"/>
      <c r="G15" s="1221" t="n"/>
      <c r="S15" s="20" t="inlineStr">
        <is>
          <t>Misiones</t>
        </is>
      </c>
    </row>
    <row r="16" ht="12" customHeight="1">
      <c r="A16" s="746">
        <f>CONCATENATE(IF(F16="Ciudad Autónoma de Buenos Aires","","Localidad: "))</f>
        <v/>
      </c>
      <c r="B16" s="805" t="inlineStr">
        <is>
          <t>San Luis</t>
        </is>
      </c>
      <c r="C16" s="1224" t="n"/>
      <c r="D16" s="1224" t="n"/>
      <c r="E16" s="709">
        <f>CONCATENATE(IF(F16="Ciudad Autónoma de Buenos Aires"," Localidad: "," Provincia: "))</f>
        <v/>
      </c>
      <c r="F16" s="805" t="inlineStr">
        <is>
          <t>San Luis</t>
        </is>
      </c>
      <c r="G16" s="1224" t="n"/>
      <c r="J16" s="710" t="n"/>
      <c r="S16" s="20" t="inlineStr">
        <is>
          <t>Neuquén</t>
        </is>
      </c>
    </row>
    <row r="17" ht="22.5" customHeight="1">
      <c r="A17" s="711" t="inlineStr">
        <is>
          <t>Tipo de Verificación:</t>
        </is>
      </c>
      <c r="B17" s="758" t="inlineStr">
        <is>
          <t>VERIFICACIÓN PERIÓDICA</t>
        </is>
      </c>
      <c r="C17" s="1224" t="n"/>
      <c r="D17" s="1224" t="n"/>
      <c r="E17" s="712" t="inlineStr">
        <is>
          <t>Tolerancia:</t>
        </is>
      </c>
      <c r="F17" s="758" t="inlineStr">
        <is>
          <t>VERIFICACIÓN PERIÓDICA</t>
        </is>
      </c>
      <c r="G17" s="1224" t="n"/>
      <c r="J17" s="710" t="n"/>
      <c r="S17" s="20" t="inlineStr">
        <is>
          <t>Río Negro</t>
        </is>
      </c>
    </row>
    <row r="18" ht="15.75" customHeight="1">
      <c r="A18" s="760" t="inlineStr">
        <is>
          <t xml:space="preserve">Lugar propio de instalación del instrumento (*): </t>
        </is>
      </c>
      <c r="C18" s="757" t="inlineStr">
        <is>
          <t>Zona de pesaje</t>
        </is>
      </c>
      <c r="D18" s="1225" t="n"/>
      <c r="E18" s="1225" t="n"/>
      <c r="F18" s="1225" t="n"/>
      <c r="G18" s="1225" t="n"/>
      <c r="H18" s="634" t="n"/>
      <c r="S18" s="20" t="inlineStr">
        <is>
          <t>Salta</t>
        </is>
      </c>
    </row>
    <row r="19">
      <c r="A19" s="761" t="inlineStr">
        <is>
          <t>Domicilio (*):</t>
        </is>
      </c>
      <c r="B19" s="790" t="inlineStr">
        <is>
          <t>Ruta 55 km 921</t>
        </is>
      </c>
      <c r="C19" s="1221" t="n"/>
      <c r="D19" s="1221" t="n"/>
      <c r="E19" s="1221" t="n"/>
      <c r="F19" s="1221" t="n"/>
      <c r="G19" s="1221" t="n"/>
      <c r="H19" s="634" t="n"/>
      <c r="I19" s="20">
        <f>AND(ISBLANK(F20),ISBLANK(B19))</f>
        <v/>
      </c>
      <c r="S19" s="20" t="inlineStr">
        <is>
          <t>San Juan</t>
        </is>
      </c>
    </row>
    <row r="20">
      <c r="A20" s="746">
        <f>CONCATENATE(IF(F20="Ciudad Autónoma de Buenos Aires","","Localidad (*): "))</f>
        <v/>
      </c>
      <c r="B20" s="800" t="inlineStr">
        <is>
          <t>Ruta 55 km 921</t>
        </is>
      </c>
      <c r="C20" s="1226" t="n"/>
      <c r="D20" s="1226" t="n"/>
      <c r="E20" s="709">
        <f>CONCATENATE(IF(F20="Ciudad Autónoma de Buenos Aires"," Localidad: (*) "," Provincia (*): "))</f>
        <v/>
      </c>
      <c r="F20" s="800">
        <f>D5</f>
        <v/>
      </c>
      <c r="G20" s="1226" t="n"/>
      <c r="H20" s="634" t="n"/>
      <c r="I20" s="713" t="n"/>
      <c r="S20" s="20" t="inlineStr">
        <is>
          <t>San Luis</t>
        </is>
      </c>
    </row>
    <row r="21" ht="12.75" customHeight="1" thickBot="1">
      <c r="A21" s="792" t="inlineStr">
        <is>
          <t>Santa Rosa de Conlara</t>
        </is>
      </c>
      <c r="F21" s="761" t="inlineStr">
        <is>
          <t>San Luis</t>
        </is>
      </c>
      <c r="G21" s="761" t="n"/>
      <c r="S21" s="20" t="inlineStr">
        <is>
          <t>Santa Cruz</t>
        </is>
      </c>
    </row>
    <row r="22" ht="12.75" customHeight="1" thickBot="1">
      <c r="A22" s="746" t="inlineStr">
        <is>
          <t xml:space="preserve">Instrumento verificado: </t>
        </is>
      </c>
      <c r="B22" s="794" t="inlineStr">
        <is>
          <t>Balanza para pesar camiones</t>
        </is>
      </c>
      <c r="C22" s="1221" t="n"/>
      <c r="D22" s="1221" t="n"/>
      <c r="E22" s="1221" t="n"/>
      <c r="F22" s="1221" t="n"/>
      <c r="G22" s="1221" t="n"/>
      <c r="J22" s="205">
        <f>IF(ISBLANK(B22),"",VLOOKUP(B22,$K$40:$O$51,5,FALSE))</f>
        <v/>
      </c>
      <c r="S22" s="20" t="inlineStr">
        <is>
          <t>Santa Fe</t>
        </is>
      </c>
    </row>
    <row r="23" ht="18.75" customFormat="1" customHeight="1" s="18">
      <c r="A23" s="690" t="inlineStr">
        <is>
          <t>Fabricante receptor:</t>
        </is>
      </c>
      <c r="B23" s="691" t="inlineStr">
        <is>
          <t>Balanza para pesar camiones</t>
        </is>
      </c>
      <c r="C23" s="692" t="inlineStr">
        <is>
          <t>Indicador:</t>
        </is>
      </c>
      <c r="D23" s="691" t="inlineStr">
        <is>
          <t>INDUSTRIAL SYSTEMS S.A.</t>
        </is>
      </c>
      <c r="E23" s="630" t="inlineStr">
        <is>
          <t>Tipo:</t>
        </is>
      </c>
      <c r="F23" s="791" t="inlineStr">
        <is>
          <t>electrónica</t>
        </is>
      </c>
      <c r="G23" s="1227" t="n"/>
      <c r="S23" s="18" t="inlineStr">
        <is>
          <t>Santiago del Estero</t>
        </is>
      </c>
    </row>
    <row r="24" ht="16.5" customHeight="1">
      <c r="A24" s="461" t="inlineStr">
        <is>
          <t xml:space="preserve">Marca:           Receptor:  </t>
        </is>
      </c>
      <c r="B24" s="799" t="inlineStr">
        <is>
          <t>BIANCHETTI</t>
        </is>
      </c>
      <c r="C24" s="1221" t="n"/>
      <c r="D24" s="1221" t="n"/>
      <c r="E24" s="714" t="inlineStr">
        <is>
          <t>Indicador:</t>
        </is>
      </c>
      <c r="F24" s="756" t="inlineStr">
        <is>
          <t>BIANCHETTI</t>
        </is>
      </c>
      <c r="G24" s="1221" t="n"/>
      <c r="H24" s="1221" t="n"/>
      <c r="S24" s="20" t="inlineStr">
        <is>
          <t>Tierra de Fuego, Antártida e Islas del Atlántico Sur</t>
        </is>
      </c>
    </row>
    <row r="25">
      <c r="A25" s="461" t="inlineStr">
        <is>
          <t>Modelo:          Receptor:</t>
        </is>
      </c>
      <c r="B25" s="798" t="inlineStr">
        <is>
          <t>BASCULAS MAGNINO SRL</t>
        </is>
      </c>
      <c r="C25" s="1224" t="n"/>
      <c r="D25" s="1224" t="n"/>
      <c r="E25" s="714" t="inlineStr">
        <is>
          <t>Indicador:</t>
        </is>
      </c>
      <c r="F25" s="756" t="inlineStr">
        <is>
          <t>PB 10.000</t>
        </is>
      </c>
      <c r="G25" s="1221" t="n"/>
      <c r="H25" s="1221" t="n"/>
      <c r="S25" s="20" t="inlineStr">
        <is>
          <t>Tucumán</t>
        </is>
      </c>
    </row>
    <row r="26">
      <c r="A26" s="461" t="inlineStr">
        <is>
          <t>Nº serie:         Receptor:</t>
        </is>
      </c>
      <c r="B26" s="789" t="inlineStr">
        <is>
          <t>23032015172</t>
        </is>
      </c>
      <c r="C26" s="1224" t="n"/>
      <c r="D26" s="1224" t="n"/>
      <c r="E26" s="714" t="inlineStr">
        <is>
          <t>Indicador:</t>
        </is>
      </c>
      <c r="F26" s="748" t="inlineStr">
        <is>
          <t>23032015173</t>
        </is>
      </c>
      <c r="G26" s="1221" t="n"/>
      <c r="H26" s="1221" t="n"/>
    </row>
    <row r="27">
      <c r="A27" s="461" t="inlineStr">
        <is>
          <t xml:space="preserve">Cód. ap. mod. Receptor: </t>
        </is>
      </c>
      <c r="B27" s="789" t="inlineStr">
        <is>
          <t>BASCULAS MAGNINO</t>
        </is>
      </c>
      <c r="C27" s="1224" t="n"/>
      <c r="D27" s="1224" t="n"/>
      <c r="E27" s="714" t="inlineStr">
        <is>
          <t>Indicador:</t>
        </is>
      </c>
      <c r="F27" s="748" t="inlineStr">
        <is>
          <t>SIPEL</t>
        </is>
      </c>
      <c r="G27" s="1221" t="n"/>
      <c r="H27" s="1221" t="n"/>
    </row>
    <row r="28" ht="12.75" customHeight="1">
      <c r="A28" s="693" t="inlineStr">
        <is>
          <t>Origen Receptor</t>
        </is>
      </c>
      <c r="B28" s="694" t="inlineStr">
        <is>
          <t>MGF-3580G</t>
        </is>
      </c>
      <c r="C28" s="695" t="n"/>
      <c r="D28" s="695" t="n"/>
      <c r="E28" s="714" t="inlineStr">
        <is>
          <t>Indicador:</t>
        </is>
      </c>
      <c r="F28" s="694" t="inlineStr">
        <is>
          <t>ORION SPL 1A ALL</t>
        </is>
      </c>
      <c r="G28" s="694" t="n"/>
      <c r="H28" s="748" t="n"/>
      <c r="K28" s="780" t="inlineStr">
        <is>
          <t>III</t>
        </is>
      </c>
      <c r="L28" s="747" t="inlineStr">
        <is>
          <t>VERIFICACION PRIMITIVA</t>
        </is>
      </c>
      <c r="M28" s="780" t="inlineStr">
        <is>
          <t>electrónica</t>
        </is>
      </c>
      <c r="N28" s="20" t="n">
        <v>10</v>
      </c>
      <c r="O28" s="780" t="inlineStr">
        <is>
          <t>SI</t>
        </is>
      </c>
      <c r="P28" s="202" t="inlineStr">
        <is>
          <t>AUTOVERIFICACIÓN</t>
        </is>
      </c>
      <c r="Q28" s="761" t="inlineStr">
        <is>
          <t>VPR Nº:</t>
        </is>
      </c>
    </row>
    <row r="29" ht="12.75" customHeight="1">
      <c r="A29" s="747" t="n">
        <v>1396</v>
      </c>
      <c r="D29" s="492" t="n">
        <v>80000</v>
      </c>
      <c r="E29" s="761" t="inlineStr">
        <is>
          <t>kg          mín=</t>
        </is>
      </c>
      <c r="F29" s="492" t="n">
        <v>45319</v>
      </c>
      <c r="G29" s="761" t="inlineStr">
        <is>
          <t xml:space="preserve">kg </t>
        </is>
      </c>
      <c r="K29" s="780" t="inlineStr">
        <is>
          <t>IIII</t>
        </is>
      </c>
      <c r="L29" s="747" t="inlineStr">
        <is>
          <t>VERIFICACIÓN PERIÓDICA</t>
        </is>
      </c>
      <c r="M29" s="780" t="inlineStr">
        <is>
          <t>mecánica</t>
        </is>
      </c>
      <c r="N29" s="20" t="n">
        <v>20</v>
      </c>
      <c r="O29" s="780" t="inlineStr">
        <is>
          <t>NO</t>
        </is>
      </c>
      <c r="P29" s="202" t="inlineStr">
        <is>
          <t>VERIFICACIÓN PERIÓDICA</t>
        </is>
      </c>
      <c r="Q29" s="761" t="inlineStr">
        <is>
          <t>VPE Nº:</t>
        </is>
      </c>
    </row>
    <row r="30" ht="12.75" customHeight="1">
      <c r="A30" s="457" t="inlineStr">
        <is>
          <t>e=</t>
        </is>
      </c>
      <c r="B30" s="492" t="inlineStr">
        <is>
          <t>BF.30-2147</t>
        </is>
      </c>
      <c r="C30" s="746">
        <f>IF($F$23="Mecánica","kg           d=dt=","kg   dd=dt=")</f>
        <v/>
      </c>
      <c r="D30" s="492">
        <f>IF(B30&lt;&gt;0,B30,"")</f>
        <v/>
      </c>
      <c r="E30" s="761" t="inlineStr">
        <is>
          <t>kg        clase=</t>
        </is>
      </c>
      <c r="F30" s="493" t="inlineStr">
        <is>
          <t>III</t>
        </is>
      </c>
      <c r="G30" s="761" t="n"/>
      <c r="I30" s="761">
        <f>IF($F$23="Mecánica","d=dt=","dd=dt=")</f>
        <v/>
      </c>
      <c r="K30" s="780" t="n"/>
      <c r="L30" s="747" t="inlineStr">
        <is>
          <t>APROBACIÓN DE MODELO DE EFECTO LIMITADO</t>
        </is>
      </c>
      <c r="M30" s="780" t="inlineStr">
        <is>
          <t>híbrida</t>
        </is>
      </c>
      <c r="N30" s="20" t="n">
        <v>0.1</v>
      </c>
      <c r="P30" s="202" t="inlineStr">
        <is>
          <t>DECLARACIÓN DE CONFORMIDAD</t>
        </is>
      </c>
      <c r="Q30" s="20" t="inlineStr">
        <is>
          <t> </t>
        </is>
      </c>
    </row>
    <row r="31" ht="27.75" customHeight="1">
      <c r="A31" s="683" t="inlineStr">
        <is>
          <t>N° de Aprobación de Modelo:</t>
        </is>
      </c>
      <c r="B31" s="684" t="inlineStr">
        <is>
          <t>Argentina</t>
        </is>
      </c>
      <c r="C31" s="792" t="n"/>
      <c r="D31" s="792" t="n"/>
      <c r="E31" s="671" t="inlineStr">
        <is>
          <t>Indicador:</t>
        </is>
      </c>
      <c r="F31" s="688" t="inlineStr">
        <is>
          <t>Argentina</t>
        </is>
      </c>
      <c r="G31" s="761" t="n"/>
      <c r="L31" s="747" t="inlineStr">
        <is>
          <t>PRIMITIVA DE INSTRUMENTO REPARADO A NUEVO</t>
        </is>
      </c>
      <c r="N31" s="20" t="n">
        <v>1</v>
      </c>
      <c r="P31" s="202" t="inlineStr">
        <is>
          <t>VERIFICACIÓN PRIMITIVA APROBACIÓN MODELO ÚNICO</t>
        </is>
      </c>
      <c r="Q31" s="761" t="inlineStr">
        <is>
          <t>VPR Nº:</t>
        </is>
      </c>
    </row>
    <row r="32" ht="42.75" customHeight="1">
      <c r="A32" s="683" t="inlineStr">
        <is>
          <t>Fecha de Aprobación de Modelo:</t>
        </is>
      </c>
      <c r="B32" s="685" t="inlineStr">
        <is>
          <t>8 de abril de 2010</t>
        </is>
      </c>
      <c r="C32" s="792" t="n"/>
      <c r="D32" s="792" t="n"/>
      <c r="E32" s="671" t="inlineStr">
        <is>
          <t>Indicador:</t>
        </is>
      </c>
      <c r="F32" s="689" t="inlineStr">
        <is>
          <t>20 de mayo de 1999</t>
        </is>
      </c>
      <c r="G32" s="761" t="n"/>
      <c r="L32" s="747" t="n"/>
      <c r="P32" s="202" t="n"/>
      <c r="Q32" s="761" t="n"/>
    </row>
    <row r="33" ht="42.75" customHeight="1">
      <c r="A33" s="686" t="inlineStr">
        <is>
          <t>Identidad del solicitante: (Razón social que solicita la OT y VPE)</t>
        </is>
      </c>
      <c r="B33" s="687" t="inlineStr">
        <is>
          <t>Acarayé S.A.</t>
        </is>
      </c>
      <c r="C33" s="792" t="n"/>
      <c r="D33" s="792" t="n"/>
      <c r="E33" s="671" t="n"/>
      <c r="F33" s="672" t="n"/>
      <c r="G33" s="761" t="n"/>
      <c r="I33" s="696" t="inlineStr">
        <is>
          <t>Balancero 0</t>
        </is>
      </c>
      <c r="J33" s="696" t="n">
        <v>123</v>
      </c>
      <c r="L33" s="747" t="n"/>
      <c r="P33" s="202" t="n"/>
      <c r="Q33" s="761" t="n"/>
    </row>
    <row r="34" ht="42.75" customHeight="1">
      <c r="A34" s="686" t="inlineStr">
        <is>
          <t>CUIT del solicitante: (Razón social que solicita la OT y VPE)</t>
        </is>
      </c>
      <c r="B34" s="687">
        <f>VLOOKUP($B$33,$I$33:$J$58,2,FALSE)</f>
        <v/>
      </c>
      <c r="C34" s="792" t="inlineStr">
        <is>
          <t>MGF-3580G</t>
        </is>
      </c>
      <c r="D34" s="792" t="n"/>
      <c r="E34" s="671" t="n"/>
      <c r="F34" s="672" t="n"/>
      <c r="G34" s="761" t="n"/>
      <c r="H34" t="n">
        <v>20</v>
      </c>
      <c r="I34" s="697" t="inlineStr">
        <is>
          <t>Balancero 1</t>
        </is>
      </c>
      <c r="J34" s="697" t="n">
        <v>456</v>
      </c>
      <c r="L34" s="747" t="n"/>
      <c r="P34" s="202" t="n"/>
      <c r="Q34" s="761" t="n"/>
    </row>
    <row r="35" ht="13.5" customHeight="1" thickBot="1">
      <c r="A35" s="761" t="inlineStr">
        <is>
          <t>Situación legal del instrumento:</t>
        </is>
      </c>
      <c r="D35" s="761" t="n">
        <v>80000</v>
      </c>
      <c r="E35" s="761" t="n"/>
      <c r="F35" s="761" t="n"/>
      <c r="G35" s="761" t="n"/>
      <c r="I35" s="697" t="inlineStr">
        <is>
          <t>EP Martinelli S.A.S.</t>
        </is>
      </c>
      <c r="J35" s="697" t="inlineStr">
        <is>
          <t>3-071679479-9</t>
        </is>
      </c>
      <c r="N35" s="20" t="n">
        <v>2</v>
      </c>
      <c r="P35" s="202" t="inlineStr">
        <is>
          <t>DECLARACIÓN CONFORMIDAD - AUTOVERIFICACIÓN</t>
        </is>
      </c>
    </row>
    <row r="36">
      <c r="A36" s="796" t="inlineStr">
        <is>
          <t>Posee declaración de conformidad / certificado de autoverificación:</t>
        </is>
      </c>
      <c r="B36" s="1228" t="n"/>
      <c r="C36" s="1228" t="n"/>
      <c r="D36" s="1228" t="n"/>
      <c r="E36" s="1229" t="n"/>
      <c r="F36" s="1230" t="inlineStr">
        <is>
          <t>NO</t>
        </is>
      </c>
      <c r="G36" s="1231" t="n"/>
      <c r="I36" s="697" t="inlineStr">
        <is>
          <t>Acarayé S.A.</t>
        </is>
      </c>
      <c r="J36" s="697" t="inlineStr">
        <is>
          <t>30-70790202-3</t>
        </is>
      </c>
      <c r="N36" s="20" t="n">
        <v>0.5</v>
      </c>
      <c r="P36" s="202" t="inlineStr">
        <is>
          <t>DECL. DE CONFORMIDAD / VER. PERIÓDICA</t>
        </is>
      </c>
    </row>
    <row r="37" ht="14.25" customHeight="1">
      <c r="A37" s="1232" t="n">
        <v>1000</v>
      </c>
      <c r="B37" s="1226" t="n"/>
      <c r="C37" s="1226" t="n"/>
      <c r="D37" s="1226" t="n"/>
      <c r="E37" s="1233" t="n"/>
      <c r="F37" s="1234" t="inlineStr">
        <is>
          <t>III</t>
        </is>
      </c>
      <c r="G37" s="1235" t="n"/>
      <c r="I37" s="697" t="inlineStr">
        <is>
          <t>Básculas Guitart</t>
        </is>
      </c>
      <c r="J37" s="697" t="inlineStr">
        <is>
          <t>34-50083873-3</t>
        </is>
      </c>
      <c r="P37" s="202" t="inlineStr">
        <is>
          <t>VERIF. PRIM. INSTRUM. REPARADO A NUEVO</t>
        </is>
      </c>
      <c r="Q37" s="20" t="inlineStr">
        <is>
          <t> </t>
        </is>
      </c>
    </row>
    <row r="38" ht="12.75" customHeight="1">
      <c r="A38" s="774" t="inlineStr">
        <is>
          <t xml:space="preserve">Posee certificado de verificación periódica: </t>
        </is>
      </c>
      <c r="B38" s="1226" t="n"/>
      <c r="C38" s="1226" t="n"/>
      <c r="D38" s="1226" t="n"/>
      <c r="E38" s="1233" t="n"/>
      <c r="F38" s="1234" t="inlineStr">
        <is>
          <t>NO</t>
        </is>
      </c>
      <c r="G38" s="1235" t="n"/>
      <c r="I38" s="698" t="inlineStr">
        <is>
          <t>Básculas Latorre S.A</t>
        </is>
      </c>
      <c r="J38" s="698" t="inlineStr">
        <is>
          <t>30-50083873-2</t>
        </is>
      </c>
      <c r="K38" s="20" t="inlineStr">
        <is>
          <t>III</t>
        </is>
      </c>
      <c r="L38" s="20" t="n">
        <v>50</v>
      </c>
      <c r="P38" s="202" t="inlineStr">
        <is>
          <t>VER. PRIM. AP. MOD. ÚNICO / VER. PERIÓDICA</t>
        </is>
      </c>
    </row>
    <row r="39">
      <c r="A39" s="774" t="inlineStr">
        <is>
          <t>Se adjunta copia de alguno de los certificados:</t>
        </is>
      </c>
      <c r="B39" s="1226" t="n"/>
      <c r="C39" s="1226" t="n"/>
      <c r="D39" s="1226" t="n"/>
      <c r="E39" s="1233" t="n"/>
      <c r="F39" s="1234" t="inlineStr">
        <is>
          <t>SI</t>
        </is>
      </c>
      <c r="G39" s="1235" t="n"/>
      <c r="I39" s="698" t="inlineStr">
        <is>
          <t>Básculas Casado S.R.L..</t>
        </is>
      </c>
      <c r="J39" s="698" t="inlineStr">
        <is>
          <t>30-71107332-5</t>
        </is>
      </c>
      <c r="K39" s="20" t="inlineStr">
        <is>
          <t>IIII</t>
        </is>
      </c>
      <c r="L39" s="20" t="n">
        <v>10</v>
      </c>
      <c r="P39" s="202" t="inlineStr">
        <is>
          <t>VERIFICACIÓN PRIMITIVA</t>
        </is>
      </c>
    </row>
    <row r="40" ht="15.75" customHeight="1" thickBot="1">
      <c r="A40" s="715" t="inlineStr">
        <is>
          <t>De cual (número/s):</t>
        </is>
      </c>
      <c r="B40" s="1236" t="n"/>
      <c r="C40" s="1237" t="n"/>
      <c r="D40" s="1237" t="n"/>
      <c r="E40" s="1238" t="n"/>
      <c r="F40" s="1239" t="inlineStr">
        <is>
          <t>BF.60-2219</t>
        </is>
      </c>
      <c r="G40" s="1240" t="n"/>
      <c r="I40" s="698" t="inlineStr">
        <is>
          <t>S.P.I S.R.L..</t>
        </is>
      </c>
      <c r="J40" s="698" t="inlineStr">
        <is>
          <t>30-71487341-1</t>
        </is>
      </c>
      <c r="K40" s="204" t="inlineStr">
        <is>
          <t>Balanza para pesar camiones</t>
        </is>
      </c>
      <c r="O40" s="20" t="n">
        <v>1</v>
      </c>
      <c r="P40" s="202" t="n"/>
    </row>
    <row r="41" ht="15" customHeight="1">
      <c r="A41" s="761" t="n"/>
      <c r="B41" s="761" t="n"/>
      <c r="C41" s="761" t="n"/>
      <c r="D41" s="761" t="n"/>
      <c r="E41" s="761" t="n"/>
      <c r="F41" s="761" t="inlineStr">
        <is>
          <t>293/2013</t>
        </is>
      </c>
      <c r="G41" s="761" t="n"/>
      <c r="I41" s="697" t="inlineStr">
        <is>
          <t>Laureano Reinaldy</t>
        </is>
      </c>
      <c r="J41" s="697" t="n">
        <v>4</v>
      </c>
      <c r="K41" s="204" t="inlineStr">
        <is>
          <t>Balanza para pesar vagones</t>
        </is>
      </c>
      <c r="O41" s="20" t="n">
        <v>1</v>
      </c>
      <c r="P41" s="202" t="n"/>
    </row>
    <row r="42" ht="15" customHeight="1">
      <c r="A42" s="782" t="inlineStr">
        <is>
          <t>Observaciones:</t>
        </is>
      </c>
      <c r="D42" s="761" t="n"/>
      <c r="E42" s="761" t="n"/>
      <c r="F42" s="761" t="inlineStr">
        <is>
          <t>05/11/2013</t>
        </is>
      </c>
      <c r="G42" s="761" t="n"/>
      <c r="I42" s="698" t="inlineStr">
        <is>
          <t>Moretti Servicios S.R.L..</t>
        </is>
      </c>
      <c r="J42" s="698" t="inlineStr">
        <is>
          <t>30-71193913-6</t>
        </is>
      </c>
      <c r="K42" s="204" t="inlineStr">
        <is>
          <t>Balanza para pesar vehículos por ejes (Receptor único)</t>
        </is>
      </c>
      <c r="O42" s="20" t="n">
        <v>2</v>
      </c>
      <c r="P42" s="217" t="n"/>
    </row>
    <row r="43" ht="15" customHeight="1">
      <c r="A43" s="779" t="inlineStr">
        <is>
          <t>La validez del Certificado de Verificación Periódica es de un año a partir de la fecha arriba indicada.</t>
        </is>
      </c>
      <c r="B43" s="1223" t="n"/>
      <c r="C43" s="1223" t="n"/>
      <c r="D43" s="1223" t="n"/>
      <c r="E43" s="1223" t="n"/>
      <c r="F43" s="1223" t="n"/>
      <c r="G43" s="1223" t="n"/>
      <c r="I43" s="698" t="inlineStr">
        <is>
          <t>Básculas GaMa S.R.L..</t>
        </is>
      </c>
      <c r="J43" s="698" t="inlineStr">
        <is>
          <t>30-68050265-6</t>
        </is>
      </c>
      <c r="K43" s="204" t="inlineStr">
        <is>
          <t>Balanza para pesar vehículos por ejes (Dos receptores de carga)</t>
        </is>
      </c>
      <c r="O43" s="20" t="n">
        <v>2</v>
      </c>
      <c r="P43" s="217" t="n"/>
    </row>
    <row r="44" ht="15" customHeight="1">
      <c r="A44" s="778" t="n"/>
      <c r="C44" s="768" t="n"/>
      <c r="I44" s="698" t="inlineStr">
        <is>
          <t>Fulcrum S.R.L.</t>
        </is>
      </c>
      <c r="J44" s="698" t="inlineStr">
        <is>
          <t>30-67500945-3</t>
        </is>
      </c>
      <c r="K44" s="204" t="inlineStr">
        <is>
          <t>Balanza para pesar vehículos por ejes o conjunto de ejes (Receptor único)</t>
        </is>
      </c>
      <c r="O44" s="20" t="n">
        <v>2</v>
      </c>
      <c r="P44" s="217" t="n"/>
    </row>
    <row r="45">
      <c r="A45" s="469" t="n"/>
      <c r="B45" s="469" t="n"/>
      <c r="C45" s="469" t="n"/>
      <c r="D45" s="469" t="n"/>
      <c r="E45" s="469" t="n"/>
      <c r="F45" s="469" t="n"/>
      <c r="G45" s="469" t="n"/>
      <c r="I45" s="697" t="inlineStr">
        <is>
          <t>Fernandez Omar Alcides</t>
        </is>
      </c>
      <c r="J45" s="697" t="n">
        <v>8</v>
      </c>
      <c r="K45" s="204" t="inlineStr">
        <is>
          <t>Balanza para pesar vehículos por ejes o conjunto de ejes (Dos receptores de carga)</t>
        </is>
      </c>
      <c r="O45" s="20" t="n">
        <v>2</v>
      </c>
    </row>
    <row r="46">
      <c r="A46" s="469" t="n"/>
      <c r="B46" s="469" t="n"/>
      <c r="C46" s="469" t="n"/>
      <c r="D46" s="469" t="n"/>
      <c r="E46" s="469" t="n"/>
      <c r="F46" s="469" t="n"/>
      <c r="G46" s="469" t="n"/>
      <c r="I46" s="697" t="inlineStr">
        <is>
          <t>El Balancero S.R.L..</t>
        </is>
      </c>
      <c r="J46" s="697" t="inlineStr">
        <is>
          <t>30-59997436-5</t>
        </is>
      </c>
      <c r="K46" s="204" t="inlineStr">
        <is>
          <t>Balanza portátil para pesar vehículos por ejes (Receptor único)</t>
        </is>
      </c>
      <c r="O46" s="20" t="n">
        <v>2</v>
      </c>
    </row>
    <row r="47">
      <c r="A47" s="469" t="n"/>
      <c r="B47" s="469" t="n"/>
      <c r="C47" s="469" t="n"/>
      <c r="D47" s="469" t="n"/>
      <c r="E47" s="469" t="n"/>
      <c r="F47" s="469" t="n"/>
      <c r="G47" s="469" t="n"/>
      <c r="I47" s="697" t="n"/>
      <c r="J47" s="697" t="n"/>
      <c r="K47" s="204" t="inlineStr">
        <is>
          <t>Balanza portátil para pesar vehículos por ejes (Dos receptores de carga)</t>
        </is>
      </c>
      <c r="O47" s="20" t="n">
        <v>2</v>
      </c>
    </row>
    <row r="48" ht="14.25" customHeight="1">
      <c r="F48" s="18" t="n"/>
      <c r="G48" s="18" t="n"/>
      <c r="I48" s="698" t="inlineStr">
        <is>
          <t>Latorre Pesaje S.R.L.</t>
        </is>
      </c>
      <c r="J48" s="698" t="inlineStr">
        <is>
          <t>30-70780171-5</t>
        </is>
      </c>
      <c r="K48" s="204" t="inlineStr">
        <is>
          <t>Balanza para pesar camiones y vagones</t>
        </is>
      </c>
      <c r="O48" s="20" t="n">
        <v>1</v>
      </c>
    </row>
    <row r="49" ht="16.5" customHeight="1">
      <c r="A49" s="767" t="inlineStr">
        <is>
          <t xml:space="preserve">Descripción del instrumental de control empleado durante la verificación: </t>
        </is>
      </c>
      <c r="B49" s="1241" t="n"/>
      <c r="C49" s="1241" t="n"/>
      <c r="D49" s="1241" t="n"/>
      <c r="E49" s="1241" t="n"/>
      <c r="F49" s="472" t="n"/>
      <c r="G49" s="472" t="n"/>
      <c r="I49" s="698" t="inlineStr">
        <is>
          <t>Básculas Magnino S.R.L.</t>
        </is>
      </c>
      <c r="J49" s="698" t="inlineStr">
        <is>
          <t>30-70901540-7</t>
        </is>
      </c>
      <c r="K49" s="20" t="inlineStr">
        <is>
          <t>Balanza de plataforma</t>
        </is>
      </c>
      <c r="O49" s="20" t="n">
        <v>1</v>
      </c>
    </row>
    <row r="50" ht="12.75" customHeight="1">
      <c r="A50" s="766" t="n"/>
      <c r="B50" s="1223" t="n"/>
      <c r="C50" s="1223" t="n"/>
      <c r="D50" s="1223" t="n"/>
      <c r="E50" s="1223" t="n"/>
      <c r="F50" s="1223" t="n"/>
      <c r="G50" s="1223" t="n"/>
      <c r="I50" s="698" t="inlineStr">
        <is>
          <t>Raul Raimonda y Cia S.R.L.</t>
        </is>
      </c>
      <c r="J50" s="698" t="inlineStr">
        <is>
          <t>30-6739971-8</t>
        </is>
      </c>
      <c r="K50" s="20" t="inlineStr">
        <is>
          <t>Balanza tipo tolva</t>
        </is>
      </c>
      <c r="O50" s="20" t="n">
        <v>1</v>
      </c>
    </row>
    <row r="51" ht="12.75" customHeight="1">
      <c r="A51" s="1223" t="n"/>
      <c r="B51" s="1223" t="n"/>
      <c r="C51" s="1223" t="n"/>
      <c r="D51" s="1223" t="n"/>
      <c r="E51" s="1223" t="n"/>
      <c r="F51" s="1223" t="n"/>
      <c r="G51" s="1223" t="n"/>
      <c r="I51" s="698" t="inlineStr">
        <is>
          <t>Pagano y Kopaitich S.R.L..</t>
        </is>
      </c>
      <c r="J51" s="698" t="inlineStr">
        <is>
          <t>30-67398951-5</t>
        </is>
      </c>
      <c r="K51" s="761" t="inlineStr">
        <is>
          <t>Balanza de carga directamente suspendida (de gancho)</t>
        </is>
      </c>
      <c r="O51" s="20" t="n">
        <v>1</v>
      </c>
    </row>
    <row r="52">
      <c r="A52" s="1223" t="n"/>
      <c r="B52" s="1223" t="n"/>
      <c r="C52" s="1223" t="n"/>
      <c r="D52" s="1223" t="n"/>
      <c r="E52" s="1223" t="n"/>
      <c r="F52" s="1223" t="n"/>
      <c r="G52" s="1223" t="n"/>
      <c r="I52" s="698" t="inlineStr">
        <is>
          <t>Cardinal Scales S.A.S.</t>
        </is>
      </c>
      <c r="J52" s="698" t="inlineStr">
        <is>
          <t>30-71630188-1</t>
        </is>
      </c>
    </row>
    <row r="53" ht="18.75" customHeight="1">
      <c r="A53" s="1223" t="n"/>
      <c r="B53" s="1223" t="n"/>
      <c r="C53" s="1223" t="n"/>
      <c r="D53" s="1223" t="n"/>
      <c r="E53" s="1223" t="n"/>
      <c r="F53" s="1223" t="n"/>
      <c r="G53" s="1223" t="n"/>
      <c r="I53" s="680" t="inlineStr">
        <is>
          <t>Sahilices Hnos S.R.L.</t>
        </is>
      </c>
      <c r="J53" s="680" t="inlineStr">
        <is>
          <t>30-68552297-3</t>
        </is>
      </c>
    </row>
    <row r="54" ht="12" customHeight="1">
      <c r="A54" s="1223" t="n"/>
      <c r="B54" s="1223" t="n"/>
      <c r="C54" s="1223" t="n"/>
      <c r="D54" s="1223" t="n"/>
      <c r="E54" s="1223" t="n"/>
      <c r="F54" s="1223" t="n"/>
      <c r="G54" s="1223" t="n"/>
      <c r="I54" s="680" t="inlineStr">
        <is>
          <t>Balancero 7</t>
        </is>
      </c>
      <c r="J54" s="680" t="inlineStr">
        <is>
          <t>30-68552297-4</t>
        </is>
      </c>
    </row>
    <row r="55" ht="14.25" customHeight="1">
      <c r="A55" s="1223" t="n"/>
      <c r="B55" s="1223" t="n"/>
      <c r="C55" s="1223" t="n"/>
      <c r="D55" s="1223" t="n"/>
      <c r="E55" s="1223" t="n"/>
      <c r="F55" s="1223" t="n"/>
      <c r="G55" s="1223" t="n"/>
      <c r="I55" s="680" t="inlineStr">
        <is>
          <t>Balancero 1</t>
        </is>
      </c>
      <c r="J55" s="680" t="inlineStr">
        <is>
          <t>30-68552297-5</t>
        </is>
      </c>
      <c r="K55" s="746">
        <f>IF(OR('Identificación del Instrumento'!B22='Identificación del Instrumento'!K42,'Identificación del Instrumento'!B22='Identificación del Instrumento'!K44,'Identificación del Instrumento'!B22='Identificación del Instrumento'!K46),1,0)</f>
        <v/>
      </c>
    </row>
    <row r="56" ht="26.25" customHeight="1">
      <c r="A56" s="1221" t="n"/>
      <c r="B56" s="1221" t="n"/>
      <c r="C56" s="1221" t="n"/>
      <c r="D56" s="1221" t="n"/>
      <c r="E56" s="1221" t="n"/>
      <c r="F56" s="1221" t="n"/>
      <c r="G56" s="1221" t="n"/>
      <c r="I56" s="680" t="inlineStr">
        <is>
          <t>Balancero 2</t>
        </is>
      </c>
      <c r="J56" s="680" t="inlineStr">
        <is>
          <t>30-68552297-6</t>
        </is>
      </c>
      <c r="K56" s="746">
        <f>IF(OR('Identificación del Instrumento'!B22='Identificación del Instrumento'!K43,'Identificación del Instrumento'!B22='Identificación del Instrumento'!K45,'Identificación del Instrumento'!B22='Identificación del Instrumento'!K47),1,0)</f>
        <v/>
      </c>
    </row>
    <row r="57" hidden="1" ht="35.25" customHeight="1">
      <c r="A57" s="18" t="inlineStr">
        <is>
          <t> </t>
        </is>
      </c>
      <c r="B57" s="18" t="n"/>
      <c r="C57" s="18" t="n"/>
      <c r="D57" s="18" t="n"/>
      <c r="E57" s="18" t="n"/>
      <c r="F57" s="18" t="n"/>
      <c r="G57" s="18" t="n"/>
      <c r="I57" s="680" t="n"/>
      <c r="J57" s="680" t="n"/>
      <c r="K57" s="761" t="n"/>
      <c r="L57" s="761" t="n"/>
    </row>
    <row r="58" ht="65.25" customHeight="1">
      <c r="A58" s="770" t="inlineStr">
        <is>
          <t>--------------------------------------------------------</t>
        </is>
      </c>
      <c r="D58" s="50" t="n"/>
      <c r="E58" s="770" t="inlineStr">
        <is>
          <t>-------------------------------------------------------</t>
        </is>
      </c>
      <c r="H58" s="459" t="n"/>
      <c r="I58" s="681" t="n"/>
      <c r="J58" s="681" t="n"/>
      <c r="K58" s="761" t="n"/>
      <c r="L58" s="761" t="n"/>
    </row>
    <row r="59" hidden="1" ht="2.25" customHeight="1">
      <c r="A59" s="769" t="n"/>
      <c r="D59" s="769" t="n"/>
      <c r="E59" s="769" t="n"/>
      <c r="F59" s="769" t="n"/>
      <c r="G59" s="769" t="n"/>
      <c r="S59" s="465" t="n"/>
    </row>
    <row r="60" ht="15" customFormat="1" customHeight="1" s="465">
      <c r="A60" s="783">
        <f>'Acta Verificación '!K19</f>
        <v/>
      </c>
      <c r="D60" s="217" t="n"/>
      <c r="E60" s="781">
        <f>IF(ISBLANK('Datos de Ensayos'!E4),"",'Datos de Ensayos'!E4)</f>
        <v/>
      </c>
      <c r="I60" s="747" t="inlineStr">
        <is>
          <t>por ejes unico receptor - 1=si - 0=no</t>
        </is>
      </c>
      <c r="K60" s="466" t="n"/>
    </row>
    <row r="61" ht="15" customFormat="1" customHeight="1" s="465">
      <c r="A61" s="785">
        <f>IF(ISBLANK(C14)," ",(C14))</f>
        <v/>
      </c>
      <c r="D61" s="217" t="n"/>
      <c r="E61" s="784" t="inlineStr">
        <is>
          <t>Programa de Metrología Legal - INTI</t>
        </is>
      </c>
      <c r="I61" s="747" t="inlineStr">
        <is>
          <t>por ejes dos receptores - 1=si - 0=no</t>
        </is>
      </c>
      <c r="K61" s="466" t="n"/>
    </row>
    <row r="62" ht="15" customFormat="1" customHeight="1" s="465">
      <c r="A62" s="781" t="n"/>
      <c r="E62" s="781" t="n"/>
      <c r="H62" s="467" t="n"/>
      <c r="K62" s="466" t="n"/>
      <c r="S62" s="20" t="n"/>
    </row>
    <row r="63" ht="51.75" customHeight="1">
      <c r="E63" s="780" t="n"/>
      <c r="K63" s="458" t="n"/>
    </row>
    <row r="64" ht="55.5" customHeight="1">
      <c r="A64" s="716" t="n"/>
      <c r="B64" s="716" t="n"/>
      <c r="E64" s="780" t="n"/>
      <c r="K64" s="458" t="n"/>
    </row>
    <row r="65" ht="50.1" customHeight="1">
      <c r="A65" s="716" t="n"/>
      <c r="B65" s="716" t="n"/>
      <c r="E65" s="780" t="n"/>
    </row>
    <row r="66" ht="50.1" customHeight="1">
      <c r="A66" s="716" t="n"/>
      <c r="B66" s="716" t="n"/>
      <c r="E66" s="780" t="n"/>
    </row>
    <row r="67" ht="50.1" customHeight="1">
      <c r="A67" s="716" t="n"/>
      <c r="B67" s="716" t="n"/>
      <c r="E67" s="780" t="n"/>
    </row>
    <row r="68" ht="50.1" customHeight="1">
      <c r="E68" s="780" t="n"/>
    </row>
    <row r="69" ht="50.1" customHeight="1">
      <c r="E69" s="780" t="n"/>
    </row>
    <row r="70" ht="50.1" customHeight="1">
      <c r="E70" s="747" t="inlineStr">
        <is>
          <t>Perito Oscar Alfredo GUILLÉN                                 Programa de Metrología Legal I.N.T.I.                           oguillen@inti.gob.ar - TE 011-1533107309</t>
        </is>
      </c>
    </row>
    <row r="71" ht="50.1" customHeight="1"/>
    <row r="72" ht="50.1" customHeight="1"/>
    <row r="73" ht="50.1" customHeight="1"/>
  </sheetData>
  <mergeCells count="71">
    <mergeCell ref="E63:G63"/>
    <mergeCell ref="A39:E39"/>
    <mergeCell ref="B40:E40"/>
    <mergeCell ref="F16:G16"/>
    <mergeCell ref="E60:G60"/>
    <mergeCell ref="E69:G69"/>
    <mergeCell ref="E65:G65"/>
    <mergeCell ref="A49:E49"/>
    <mergeCell ref="B17:D17"/>
    <mergeCell ref="F26:H26"/>
    <mergeCell ref="C14:G14"/>
    <mergeCell ref="A36:E36"/>
    <mergeCell ref="A43:G43"/>
    <mergeCell ref="F40:G40"/>
    <mergeCell ref="K55:L55"/>
    <mergeCell ref="H4:L4"/>
    <mergeCell ref="I61:J61"/>
    <mergeCell ref="B11:G11"/>
    <mergeCell ref="B19:G19"/>
    <mergeCell ref="A42:C42"/>
    <mergeCell ref="H5:I9"/>
    <mergeCell ref="F27:H27"/>
    <mergeCell ref="F20:G20"/>
    <mergeCell ref="E61:G61"/>
    <mergeCell ref="A7:G10"/>
    <mergeCell ref="C44:G44"/>
    <mergeCell ref="A62:C62"/>
    <mergeCell ref="A37:E37"/>
    <mergeCell ref="E70:G70"/>
    <mergeCell ref="F36:G36"/>
    <mergeCell ref="A29:C29"/>
    <mergeCell ref="A18:B18"/>
    <mergeCell ref="A35:C35"/>
    <mergeCell ref="B15:G15"/>
    <mergeCell ref="B24:D24"/>
    <mergeCell ref="B20:D20"/>
    <mergeCell ref="F17:G17"/>
    <mergeCell ref="A21:E21"/>
    <mergeCell ref="K56:L56"/>
    <mergeCell ref="A1:G1"/>
    <mergeCell ref="E66:G66"/>
    <mergeCell ref="F38:G38"/>
    <mergeCell ref="F23:G23"/>
    <mergeCell ref="A50:G56"/>
    <mergeCell ref="B26:D26"/>
    <mergeCell ref="A58:C58"/>
    <mergeCell ref="A14:B14"/>
    <mergeCell ref="D4:E4"/>
    <mergeCell ref="E58:G58"/>
    <mergeCell ref="A59:C59"/>
    <mergeCell ref="B25:D25"/>
    <mergeCell ref="E68:G68"/>
    <mergeCell ref="B16:D16"/>
    <mergeCell ref="F25:H25"/>
    <mergeCell ref="F37:G37"/>
    <mergeCell ref="E62:G62"/>
    <mergeCell ref="F39:G39"/>
    <mergeCell ref="A60:C60"/>
    <mergeCell ref="J3:K3"/>
    <mergeCell ref="A38:E38"/>
    <mergeCell ref="B22:G22"/>
    <mergeCell ref="E67:G67"/>
    <mergeCell ref="J2:K2"/>
    <mergeCell ref="A61:C61"/>
    <mergeCell ref="D5:E5"/>
    <mergeCell ref="B27:D27"/>
    <mergeCell ref="A44:B44"/>
    <mergeCell ref="E64:G64"/>
    <mergeCell ref="I60:J60"/>
    <mergeCell ref="C18:G18"/>
    <mergeCell ref="F24:H24"/>
  </mergeCells>
  <dataValidations xWindow="499" yWindow="576" count="11">
    <dataValidation sqref="F23:G23" showDropDown="0" showInputMessage="1" showErrorMessage="1" allowBlank="1" errorTitle="ERROR!!!!!" error="Respete las opciones de la lista." promptTitle="TIPO DE BALANZA" prompt="Seleccione la opción correspondiente de la lista" type="list">
      <formula1>$M$28:$M$31</formula1>
    </dataValidation>
    <dataValidation sqref="B17:D17" showDropDown="0" showInputMessage="1" showErrorMessage="1" allowBlank="1" errorTitle="ERROR!!!!!" error="Respete las opciones de la lista." promptTitle="TIPO DE VERIFICACIÓN" prompt="Mediante esta selección se determinan las tolerancias a exigir, según sea periódica o primitiva. Seleccione de la lista la opción correspondiente" type="list">
      <formula1>$L$28:$L$31</formula1>
    </dataValidation>
    <dataValidation sqref="B30" showDropDown="0" showInputMessage="1" showErrorMessage="1" allowBlank="1" errorTitle="ERROR!!!!!" error="Respete las opciones de la lista." promptTitle="VALOR DE LA DIVISIÓN DE VERIFIC." prompt="Seleccione el valor correspondiente de la lista. El mismo se copiará automáticamente en la casilla correspondiente a &quot;d&quot;." type="list">
      <formula1>$N$28:$N$36</formula1>
    </dataValidation>
    <dataValidation sqref="F36:F39 G36 G39" showDropDown="0" showInputMessage="1" showErrorMessage="1" allowBlank="1" type="list">
      <formula1>$O$28:$O$30</formula1>
    </dataValidation>
    <dataValidation sqref="F40:G40" showDropDown="0" showInputMessage="1" showErrorMessage="1" allowBlank="1" promptTitle="TIPO DE CERTIFICADO" prompt="Seleccione la opción correspondiente." type="list">
      <formula1>$P$28:$P$39</formula1>
    </dataValidation>
    <dataValidation sqref="F30" showDropDown="0" showInputMessage="1" showErrorMessage="1" allowBlank="1" errorTitle="ERROR!!!!!!!!" error="Respete las opciones establecidas en la lista." promptTitle="CLASE DE INSTRUMENTO" prompt="Seleccione la opción correcta de la lista." type="list">
      <formula1>$K$28:$K$29</formula1>
    </dataValidation>
    <dataValidation sqref="B22:G22" showDropDown="0" showInputMessage="1" showErrorMessage="1" allowBlank="1" errorTitle="¡¡ERROR!!" error="Respete las opciones de la lista." promptTitle="INSTRUMENTO VERIFICADO" prompt="Seleccione de la lista la opción correspondiente." type="list">
      <formula1>$K$40:$K$51</formula1>
    </dataValidation>
    <dataValidation sqref="F17:G17" showDropDown="0" showInputMessage="1" showErrorMessage="1" allowBlank="1" errorTitle="Error!!!!" error="Respete las opciones de la lista_x000a_" promptTitle="Tolerancia" prompt="Seleccionar tipo de tolerancia del ensayo" type="list">
      <formula1>$L$28:$L$29</formula1>
    </dataValidation>
    <dataValidation sqref="F16:G16 F20:G20" showDropDown="0" showInputMessage="1" showErrorMessage="1" allowBlank="1" type="list">
      <formula1>$S$1:$S$27</formula1>
    </dataValidation>
    <dataValidation sqref="D5:E5" showDropDown="0" showInputMessage="1" showErrorMessage="1" allowBlank="1" type="list">
      <formula1>$S$1:$S$26</formula1>
    </dataValidation>
    <dataValidation sqref="B33" showDropDown="0" showInputMessage="1" showErrorMessage="1" allowBlank="1" type="list">
      <formula1>$I$33:$I$58</formula1>
    </dataValidation>
  </dataValidations>
  <pageMargins left="0.5118110236220472" right="0.1968503937007874" top="0.4724409448818898" bottom="0.984251968503937" header="0" footer="0"/>
  <pageSetup orientation="portrait" paperSize="9" scale="80" horizontalDpi="300" verticalDpi="300"/>
  <headerFooter alignWithMargins="0">
    <oddHeader>&amp;RPágina &amp;P de &amp;N</oddHeader>
    <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codeName="Hoja2">
    <outlinePr summaryBelow="1" summaryRight="1"/>
    <pageSetUpPr/>
  </sheetPr>
  <dimension ref="A1:EP251"/>
  <sheetViews>
    <sheetView topLeftCell="D144" zoomScaleNormal="100" workbookViewId="0">
      <selection activeCell="E150" sqref="E150"/>
    </sheetView>
  </sheetViews>
  <sheetFormatPr baseColWidth="10" defaultColWidth="5.7109375" defaultRowHeight="12.75"/>
  <cols>
    <col width="2.140625" customWidth="1" min="1" max="1"/>
    <col width="6.28515625" customWidth="1" min="2" max="2"/>
    <col width="2.7109375" customWidth="1" min="3" max="3"/>
    <col width="27" customWidth="1" min="4" max="4"/>
    <col width="23.5703125" customWidth="1" style="31" min="5" max="5"/>
    <col width="18.7109375" customWidth="1" style="31" min="6" max="6"/>
    <col width="18" customWidth="1" style="31" min="7" max="8"/>
    <col width="21" customWidth="1" style="31" min="9" max="9"/>
    <col width="16.7109375" customWidth="1" style="31" min="10" max="10"/>
    <col width="16.5703125" customWidth="1" style="40" min="11" max="11"/>
    <col width="21.28515625" customWidth="1" style="31" min="12" max="12"/>
    <col width="19.28515625" customWidth="1" style="31" min="13" max="13"/>
    <col width="18.5703125" customWidth="1" style="31" min="14" max="14"/>
    <col width="8.140625" customWidth="1" style="31" min="15" max="15"/>
    <col width="17" customWidth="1" style="31" min="16" max="16"/>
    <col width="12.85546875" customWidth="1" min="17" max="17"/>
    <col width="10.28515625" customWidth="1" min="18" max="18"/>
    <col width="13.140625" customWidth="1" min="19" max="19"/>
    <col width="32.5703125" customWidth="1" min="20" max="20"/>
    <col width="4" customWidth="1" min="21" max="24"/>
    <col width="5.7109375" customWidth="1" min="28" max="28"/>
    <col width="33.7109375" customWidth="1" style="87" min="29" max="29"/>
    <col width="22.5703125" customWidth="1" style="87" min="30" max="30"/>
    <col width="13.85546875" customWidth="1" style="87" min="31" max="31"/>
    <col width="20.5703125" customWidth="1" style="87" min="32" max="32"/>
    <col width="37.7109375" customWidth="1" style="87" min="33" max="33"/>
    <col width="11.42578125" customWidth="1" style="87" min="34" max="34"/>
    <col width="9.140625" customWidth="1" style="174" min="35" max="35"/>
    <col width="9.140625" customWidth="1" style="1242" min="36" max="36"/>
    <col width="9.140625" customWidth="1" style="87" min="37" max="37"/>
    <col width="6.28515625" bestFit="1" customWidth="1" min="39" max="39"/>
    <col width="5.85546875" customWidth="1" min="40" max="40"/>
    <col width="8.7109375" customWidth="1" min="46" max="46"/>
  </cols>
  <sheetData>
    <row r="1" ht="24.75" customHeight="1" thickBot="1">
      <c r="D1" s="1243" t="inlineStr">
        <is>
          <t>METROLOGÍA LEGAL. VERIFICACIÓN DE BALANZAS</t>
        </is>
      </c>
      <c r="E1" s="388" t="n"/>
      <c r="F1" s="388" t="n"/>
      <c r="G1" s="388" t="n"/>
      <c r="H1" s="388" t="n"/>
      <c r="I1" s="388" t="n"/>
      <c r="J1" s="388" t="n"/>
      <c r="K1" s="388" t="n"/>
      <c r="L1" s="389" t="n"/>
      <c r="M1" s="86" t="n"/>
      <c r="N1" s="86" t="n"/>
      <c r="O1" s="86" t="n"/>
      <c r="P1" s="86" t="n"/>
      <c r="Y1" s="1097" t="n"/>
      <c r="AE1" s="882" t="n"/>
      <c r="AI1" s="89" t="n"/>
      <c r="AJ1" s="1244" t="n"/>
      <c r="AK1" s="882" t="n"/>
    </row>
    <row r="2" ht="55.5" customHeight="1" thickBot="1">
      <c r="D2" s="1245" t="inlineStr">
        <is>
          <t>Atencion: Llenar sólo las celdas grises. 
Para borrar el contenido de una celda usar la tecla "delete" o "supr", nunca la barra espaciadora.</t>
        </is>
      </c>
      <c r="E2" s="388" t="n"/>
      <c r="F2" s="388" t="n"/>
      <c r="G2" s="388" t="n"/>
      <c r="H2" s="388" t="n"/>
      <c r="I2" s="388" t="n"/>
      <c r="J2" s="388" t="n"/>
      <c r="K2" s="388" t="n"/>
      <c r="L2" s="389" t="n"/>
      <c r="M2" s="355" t="n"/>
      <c r="N2" s="1169" t="n"/>
      <c r="O2" s="1169" t="n"/>
      <c r="P2" s="86" t="n"/>
      <c r="Y2" s="1097" t="n"/>
      <c r="AC2" s="234" t="inlineStr">
        <is>
          <t>VERIFICADOR</t>
        </is>
      </c>
      <c r="AD2" s="235" t="inlineStr">
        <is>
          <t>Documento</t>
        </is>
      </c>
      <c r="AE2" s="235" t="inlineStr">
        <is>
          <t>Carnet</t>
        </is>
      </c>
      <c r="AF2" s="235" t="inlineStr">
        <is>
          <t>Resolución N°</t>
        </is>
      </c>
      <c r="AG2" s="236" t="inlineStr">
        <is>
          <t>Datos de contacto</t>
        </is>
      </c>
      <c r="AH2" s="882" t="n"/>
      <c r="AI2" s="89" t="n"/>
      <c r="AJ2" s="1244" t="n"/>
      <c r="AK2" s="882" t="n"/>
    </row>
    <row r="3" ht="18" customFormat="1" customHeight="1" s="92">
      <c r="D3" s="211" t="inlineStr">
        <is>
          <t>Realizó</t>
        </is>
      </c>
      <c r="E3" s="888" t="inlineStr">
        <is>
          <t>Tco. Pablo Javier Siklosi A.</t>
        </is>
      </c>
      <c r="F3" s="1246" t="n"/>
      <c r="G3" s="1246" t="n"/>
      <c r="H3" s="1246" t="n"/>
      <c r="I3" s="1246" t="n"/>
      <c r="J3" s="1246" t="n"/>
      <c r="K3" s="1246" t="n"/>
      <c r="L3" s="1247" t="n"/>
      <c r="N3" s="661" t="n"/>
      <c r="O3" s="95" t="n"/>
      <c r="P3" s="94" t="n"/>
      <c r="AB3" s="92" t="inlineStr">
        <is>
          <t>JO</t>
        </is>
      </c>
      <c r="AC3" s="228" t="inlineStr">
        <is>
          <t>Téc. Grottola Ruben</t>
        </is>
      </c>
      <c r="AD3" s="226" t="inlineStr">
        <is>
          <t>D.N.I. N° 29.332.227</t>
        </is>
      </c>
      <c r="AE3" s="225" t="n">
        <v>145</v>
      </c>
      <c r="AF3" s="225" t="inlineStr">
        <is>
          <t>346/09</t>
        </is>
      </c>
      <c r="AG3" s="476" t="inlineStr">
        <is>
          <t>grottola@inti.gob.ar 1133556773</t>
        </is>
      </c>
      <c r="AH3" s="97" t="n"/>
      <c r="AI3" s="98" t="n"/>
      <c r="AJ3" s="1248" t="n"/>
      <c r="AK3" s="96" t="n"/>
    </row>
    <row r="4" ht="18" customFormat="1" customHeight="1" s="92" thickBot="1">
      <c r="D4" s="212" t="inlineStr">
        <is>
          <t>Carga de datos</t>
        </is>
      </c>
      <c r="E4" s="891" t="inlineStr">
        <is>
          <t>Tco. Pablo Javier Siklosi A.</t>
        </is>
      </c>
      <c r="F4" s="1249" t="n"/>
      <c r="G4" s="1249" t="n"/>
      <c r="H4" s="1249" t="n"/>
      <c r="I4" s="1249" t="n"/>
      <c r="J4" s="1249" t="n"/>
      <c r="K4" s="1249" t="n"/>
      <c r="L4" s="1250" t="n"/>
      <c r="M4" s="894" t="inlineStr">
        <is>
          <t>Coloque sus datos en columnas AC hasta AF</t>
        </is>
      </c>
      <c r="AB4" s="92" t="inlineStr">
        <is>
          <t>GUIL</t>
        </is>
      </c>
      <c r="AC4" s="228" t="inlineStr">
        <is>
          <t>P.E. Oscar Alfredo GUILLÉN</t>
        </is>
      </c>
      <c r="AD4" s="226" t="inlineStr">
        <is>
          <t>D.N.I. N° 13.684.023</t>
        </is>
      </c>
      <c r="AE4" s="225" t="n">
        <v>52</v>
      </c>
      <c r="AF4" s="225" t="inlineStr">
        <is>
          <t>493/04</t>
        </is>
      </c>
      <c r="AG4" s="476" t="inlineStr">
        <is>
          <t>oguillen@inti.gob.ar - TE 011-1533107309</t>
        </is>
      </c>
      <c r="AH4" s="97" t="n"/>
      <c r="AI4" s="98" t="n"/>
      <c r="AJ4" s="1248" t="n"/>
      <c r="AK4" s="96" t="n"/>
    </row>
    <row r="5" ht="18" customFormat="1" customHeight="1" s="92" thickBot="1">
      <c r="D5" s="66" t="inlineStr">
        <is>
          <t> </t>
        </is>
      </c>
      <c r="E5" s="914" t="n"/>
      <c r="F5" s="67" t="n"/>
      <c r="G5" s="67" t="n"/>
      <c r="H5" s="67" t="n"/>
      <c r="I5" s="67" t="n"/>
      <c r="J5" s="67" t="n"/>
      <c r="K5" s="68" t="n"/>
      <c r="L5" s="69" t="n"/>
      <c r="M5" s="100" t="n"/>
      <c r="N5" s="94" t="n"/>
      <c r="O5" s="1251" t="n"/>
      <c r="P5" s="94" t="n"/>
      <c r="AB5" s="92" t="inlineStr">
        <is>
          <t>AV</t>
        </is>
      </c>
      <c r="AC5" s="228" t="inlineStr">
        <is>
          <t>Tco. Juan Carlos Avagnina</t>
        </is>
      </c>
      <c r="AD5" s="226" t="inlineStr">
        <is>
          <t>D.N.I. N° 24.988.160</t>
        </is>
      </c>
      <c r="AE5" s="679" t="inlineStr">
        <is>
          <t>42</t>
        </is>
      </c>
      <c r="AF5" s="227" t="inlineStr">
        <is>
          <t>283/04</t>
        </is>
      </c>
      <c r="AG5" s="476" t="inlineStr">
        <is>
          <t>avagnina@inti.gob.ar - TE 011-1566509752</t>
        </is>
      </c>
      <c r="AH5" s="96" t="n"/>
      <c r="AI5" s="102" t="n"/>
      <c r="AJ5" s="1252" t="n"/>
      <c r="AK5" s="96" t="n"/>
    </row>
    <row r="6" ht="18" customFormat="1" customHeight="1" s="92" thickBot="1">
      <c r="D6" s="70" t="inlineStr">
        <is>
          <t>Informe Número:</t>
        </is>
      </c>
      <c r="E6" s="1253">
        <f>IF(ISBLANK('Identificación del Instrumento'!B4),"",'Identificación del Instrumento'!B4)</f>
        <v/>
      </c>
      <c r="F6" s="388" t="n"/>
      <c r="G6" s="388" t="n"/>
      <c r="H6" s="389" t="n"/>
      <c r="I6" s="883" t="inlineStr">
        <is>
          <t>Fecha de verificación:</t>
        </is>
      </c>
      <c r="J6" s="1228" t="n"/>
      <c r="K6" s="1254">
        <f>'Identificación del Instrumento'!J2</f>
        <v/>
      </c>
      <c r="L6" s="389" t="n"/>
      <c r="M6" s="93" t="n"/>
      <c r="N6" s="94" t="n"/>
      <c r="O6" s="94" t="n"/>
      <c r="P6" s="94" t="n"/>
      <c r="AB6" s="92" t="inlineStr">
        <is>
          <t>SA</t>
        </is>
      </c>
      <c r="AC6" s="228" t="inlineStr">
        <is>
          <t>Tco. Cristian David SAKS</t>
        </is>
      </c>
      <c r="AD6" s="226" t="inlineStr">
        <is>
          <t>D.N.I. N° 31.134.998</t>
        </is>
      </c>
      <c r="AE6" s="225" t="n">
        <v>212</v>
      </c>
      <c r="AF6" s="225" t="inlineStr">
        <is>
          <t>493/04</t>
        </is>
      </c>
      <c r="AG6" s="476" t="inlineStr">
        <is>
          <t>saks@inti.gob.ar - TE 011-1557294873</t>
        </is>
      </c>
      <c r="AH6" s="97" t="n"/>
      <c r="AI6" s="98" t="n"/>
      <c r="AJ6" s="1248" t="n"/>
      <c r="AK6" s="96" t="n"/>
    </row>
    <row r="7" ht="18" customFormat="1" customHeight="1" s="92" thickBot="1">
      <c r="D7" s="70" t="inlineStr">
        <is>
          <t>Razón Social:</t>
        </is>
      </c>
      <c r="E7" s="917">
        <f>IF(ISBLANK('Identificación del Instrumento'!C14),"",'Identificación del Instrumento'!C14)</f>
        <v/>
      </c>
      <c r="F7" s="388" t="n"/>
      <c r="G7" s="388" t="n"/>
      <c r="H7" s="388" t="n"/>
      <c r="I7" s="388" t="n"/>
      <c r="J7" s="388" t="n"/>
      <c r="K7" s="388" t="n"/>
      <c r="L7" s="389" t="n"/>
      <c r="M7" s="93" t="n"/>
      <c r="N7" s="339" t="n"/>
      <c r="O7" s="94" t="n"/>
      <c r="P7" s="94" t="n"/>
      <c r="AB7" s="92" t="inlineStr">
        <is>
          <t>PA</t>
        </is>
      </c>
      <c r="AC7" s="228" t="inlineStr">
        <is>
          <t>Tco. Marcelo Alejandro PAGOT</t>
        </is>
      </c>
      <c r="AD7" s="226" t="inlineStr">
        <is>
          <t>D.N.I. N° 27.188.890</t>
        </is>
      </c>
      <c r="AE7" s="225" t="n">
        <v>138</v>
      </c>
      <c r="AF7" s="225" t="inlineStr">
        <is>
          <t>493/04</t>
        </is>
      </c>
      <c r="AG7" s="476" t="inlineStr">
        <is>
          <t>mpagot@inti.gob.ar - TE 011-1557281013</t>
        </is>
      </c>
      <c r="AH7" s="97" t="n"/>
      <c r="AI7" s="98" t="n"/>
      <c r="AJ7" s="1248" t="n"/>
      <c r="AK7" s="96" t="n"/>
    </row>
    <row r="8" ht="18" customFormat="1" customHeight="1" s="92" thickBot="1">
      <c r="D8" s="70" t="inlineStr">
        <is>
          <t>Lugar de instalación:</t>
        </is>
      </c>
      <c r="E8" s="1255">
        <f>IF(ISBLANK('Identificación del Instrumento'!B15),"",+'Identificación del Instrumento'!B15)</f>
        <v/>
      </c>
      <c r="F8" s="388" t="n"/>
      <c r="G8" s="388" t="n"/>
      <c r="H8" s="388" t="n"/>
      <c r="I8" s="388" t="n"/>
      <c r="J8" s="388" t="n"/>
      <c r="K8" s="388" t="n"/>
      <c r="L8" s="389" t="n"/>
      <c r="M8" s="93" t="n"/>
      <c r="N8" s="93" t="n"/>
      <c r="O8" s="94" t="n"/>
      <c r="P8" s="94" t="n"/>
      <c r="AB8" s="92" t="inlineStr">
        <is>
          <t>BA</t>
        </is>
      </c>
      <c r="AC8" s="228" t="inlineStr">
        <is>
          <t>Tco. Marcelo Eduardo BAULIES</t>
        </is>
      </c>
      <c r="AD8" s="226" t="inlineStr">
        <is>
          <t>D.N.I. N° 25.921.560</t>
        </is>
      </c>
      <c r="AE8" s="225" t="n">
        <v>59</v>
      </c>
      <c r="AF8" s="225" t="inlineStr">
        <is>
          <t>268/05</t>
        </is>
      </c>
      <c r="AG8" s="476" t="inlineStr">
        <is>
          <t>mbaulies@inti.gob.ar - TE 0351-158141793</t>
        </is>
      </c>
      <c r="AH8" s="97" t="n"/>
      <c r="AI8" s="98" t="n"/>
      <c r="AJ8" s="1248" t="n"/>
      <c r="AK8" s="104" t="n"/>
      <c r="AL8" s="105" t="n"/>
    </row>
    <row r="9" ht="18" customFormat="1" customHeight="1" s="92" thickBot="1">
      <c r="D9" s="70" t="inlineStr">
        <is>
          <t>Localidad:</t>
        </is>
      </c>
      <c r="E9" s="921">
        <f>IF(ISBLANK('Identificación del Instrumento'!B16),"",'Identificación del Instrumento'!B16)</f>
        <v/>
      </c>
      <c r="F9" s="190" t="n"/>
      <c r="G9" s="190" t="n"/>
      <c r="H9" s="71" t="inlineStr">
        <is>
          <t>Provincia:</t>
        </is>
      </c>
      <c r="I9" s="919">
        <f>IF(ISBLANK('Identificación del Instrumento'!F16),"",'Identificación del Instrumento'!F16)</f>
        <v/>
      </c>
      <c r="J9" s="388" t="n"/>
      <c r="K9" s="388" t="n"/>
      <c r="L9" s="389" t="n"/>
      <c r="M9" s="93" t="n"/>
      <c r="N9" s="93" t="n"/>
      <c r="O9" s="94" t="n"/>
      <c r="P9" s="94" t="n"/>
      <c r="AB9" s="92" t="inlineStr">
        <is>
          <t>LA</t>
        </is>
      </c>
      <c r="AC9" s="228" t="inlineStr">
        <is>
          <t>Ing. Enrique Daniel LAFON</t>
        </is>
      </c>
      <c r="AD9" s="226" t="inlineStr">
        <is>
          <t>D.N.I. N° 25.884.809</t>
        </is>
      </c>
      <c r="AE9" s="225" t="n">
        <v>54</v>
      </c>
      <c r="AF9" s="225" t="inlineStr">
        <is>
          <t>493/04</t>
        </is>
      </c>
      <c r="AG9" s="476" t="inlineStr">
        <is>
          <t>elafon@inti.gob.ar - TE 011-1557272544</t>
        </is>
      </c>
      <c r="AH9" s="97" t="n"/>
      <c r="AI9" s="98" t="n"/>
      <c r="AJ9" s="1248" t="n"/>
      <c r="AK9" s="96" t="n"/>
    </row>
    <row r="10" ht="18" customFormat="1" customHeight="1" s="92" thickBot="1">
      <c r="D10" s="70" t="inlineStr">
        <is>
          <t>Ubicación instrumento:</t>
        </is>
      </c>
      <c r="E10" s="917">
        <f>IF(ISBLANK('Identificación del Instrumento'!C18),"",CONCATENATE(+'Identificación del Instrumento'!C18,", ",'Identificación del Instrumento'!B19,", ",'Identificación del Instrumento'!B20,", ",'Identificación del Instrumento'!F20,""))</f>
        <v/>
      </c>
      <c r="F10" s="388" t="n"/>
      <c r="G10" s="388" t="n"/>
      <c r="H10" s="388" t="n"/>
      <c r="I10" s="388" t="n"/>
      <c r="J10" s="388" t="n"/>
      <c r="K10" s="388" t="n"/>
      <c r="L10" s="389" t="n"/>
      <c r="M10" s="93" t="n"/>
      <c r="N10" s="93" t="n"/>
      <c r="O10" s="94" t="n"/>
      <c r="P10" s="94" t="n"/>
      <c r="AB10" s="92" t="inlineStr">
        <is>
          <t>FI</t>
        </is>
      </c>
      <c r="AC10" s="228" t="inlineStr">
        <is>
          <t>José Gabriel Figueroa</t>
        </is>
      </c>
      <c r="AD10" s="226" t="inlineStr">
        <is>
          <t>D.N.I. N° 24.982.875</t>
        </is>
      </c>
      <c r="AE10" s="227" t="inlineStr">
        <is>
          <t>56</t>
        </is>
      </c>
      <c r="AF10" s="227" t="inlineStr">
        <is>
          <t>493/04</t>
        </is>
      </c>
      <c r="AG10" s="476" t="inlineStr">
        <is>
          <t>jfiguero@inti.gob.ar</t>
        </is>
      </c>
      <c r="AH10" s="97" t="n"/>
      <c r="AI10" s="98" t="n"/>
      <c r="AJ10" s="1248" t="n"/>
      <c r="AK10" s="96" t="n"/>
    </row>
    <row r="11" ht="18" customFormat="1" customHeight="1" s="92" thickBot="1">
      <c r="D11" s="70" t="inlineStr">
        <is>
          <t>Fabricante:</t>
        </is>
      </c>
      <c r="E11" s="913">
        <f>IF(ISBLANK('Identificación del Instrumento'!B24),"",'Identificación del Instrumento'!B24)</f>
        <v/>
      </c>
      <c r="F11" s="388" t="n"/>
      <c r="G11" s="388" t="n"/>
      <c r="H11" s="71" t="inlineStr">
        <is>
          <t>Indicador:</t>
        </is>
      </c>
      <c r="I11" s="917">
        <f>IF(ISBLANK('Identificación del Instrumento'!F24),"",'Identificación del Instrumento'!F24)</f>
        <v/>
      </c>
      <c r="J11" s="388" t="n"/>
      <c r="K11" s="388" t="n"/>
      <c r="L11" s="389" t="n"/>
      <c r="M11" s="93" t="n"/>
      <c r="N11" s="93" t="n"/>
      <c r="O11" s="94" t="n"/>
      <c r="P11" s="94" t="n"/>
      <c r="AB11" s="92" t="inlineStr">
        <is>
          <t>DE</t>
        </is>
      </c>
      <c r="AC11" s="228" t="inlineStr">
        <is>
          <t>Tco. Gabriel Hernán DENOT</t>
        </is>
      </c>
      <c r="AD11" s="226" t="inlineStr">
        <is>
          <t>D.N.I. N° 28.878.910</t>
        </is>
      </c>
      <c r="AE11" s="227" t="inlineStr">
        <is>
          <t>51</t>
        </is>
      </c>
      <c r="AF11" s="227" t="inlineStr">
        <is>
          <t>493/04</t>
        </is>
      </c>
      <c r="AG11" s="476" t="inlineStr">
        <is>
          <t>gdenot@inti.gob.ar - TE 011-1557284370</t>
        </is>
      </c>
      <c r="AH11" s="97" t="n"/>
      <c r="AI11" s="98" t="n"/>
      <c r="AJ11" s="1248" t="n"/>
      <c r="AK11" s="96" t="n"/>
    </row>
    <row r="12" ht="18" customFormat="1" customHeight="1" s="92" thickBot="1">
      <c r="D12" s="70" t="inlineStr">
        <is>
          <t>Modelo:</t>
        </is>
      </c>
      <c r="E12" s="1253">
        <f>IF(ISBLANK('Identificación del Instrumento'!B25),"",'Identificación del Instrumento'!B25)</f>
        <v/>
      </c>
      <c r="F12" s="388" t="n"/>
      <c r="G12" s="389" t="n"/>
      <c r="H12" s="71" t="inlineStr">
        <is>
          <t>Indicador:</t>
        </is>
      </c>
      <c r="I12" s="919">
        <f>IF(ISBLANK('Identificación del Instrumento'!F25),"",'Identificación del Instrumento'!F25)</f>
        <v/>
      </c>
      <c r="J12" s="388" t="n"/>
      <c r="K12" s="388" t="n"/>
      <c r="L12" s="389" t="n"/>
      <c r="M12" s="93" t="n"/>
      <c r="N12" s="93" t="n"/>
      <c r="O12" s="94" t="n"/>
      <c r="P12" s="94" t="n"/>
      <c r="AB12" s="92" t="inlineStr">
        <is>
          <t>CO</t>
        </is>
      </c>
      <c r="AC12" s="228" t="inlineStr">
        <is>
          <t>Tco. Pablo Daniel CORNET</t>
        </is>
      </c>
      <c r="AD12" s="226" t="inlineStr">
        <is>
          <t>D.N.I. N° 29.551.535</t>
        </is>
      </c>
      <c r="AE12" s="227" t="inlineStr">
        <is>
          <t>122</t>
        </is>
      </c>
      <c r="AF12" s="227" t="inlineStr">
        <is>
          <t>493/06</t>
        </is>
      </c>
      <c r="AG12" s="476" t="inlineStr">
        <is>
          <t>pcornet@inti.gob.ar - TE 011-1557279865</t>
        </is>
      </c>
      <c r="AH12" s="97" t="n"/>
      <c r="AI12" s="98" t="n"/>
      <c r="AJ12" s="1248" t="n"/>
      <c r="AK12" s="96" t="n"/>
    </row>
    <row r="13" ht="18" customFormat="1" customHeight="1" s="92" thickBot="1">
      <c r="D13" s="72" t="inlineStr">
        <is>
          <t>Nº de serie:</t>
        </is>
      </c>
      <c r="E13" s="918">
        <f>IF(ISBLANK('Identificación del Instrumento'!B26),"",'Identificación del Instrumento'!B26)</f>
        <v/>
      </c>
      <c r="F13" s="388" t="n"/>
      <c r="G13" s="388" t="n"/>
      <c r="H13" s="71" t="inlineStr">
        <is>
          <t>Indicador:</t>
        </is>
      </c>
      <c r="I13" s="919">
        <f>IF(ISBLANK('Identificación del Instrumento'!F26),"",'Identificación del Instrumento'!F26)</f>
        <v/>
      </c>
      <c r="J13" s="388" t="n"/>
      <c r="K13" s="388" t="n"/>
      <c r="L13" s="389" t="n"/>
      <c r="M13" s="93" t="n"/>
      <c r="N13" s="93" t="n"/>
      <c r="O13" s="94" t="n"/>
      <c r="P13" s="94" t="n"/>
      <c r="AB13" s="92" t="inlineStr">
        <is>
          <t>RO</t>
        </is>
      </c>
      <c r="AC13" s="228" t="inlineStr">
        <is>
          <t>Ing. Mariela ROVERI</t>
        </is>
      </c>
      <c r="AD13" s="226" t="inlineStr">
        <is>
          <t>D.N.I. N° 25.381.092</t>
        </is>
      </c>
      <c r="AE13" s="227" t="inlineStr">
        <is>
          <t>160</t>
        </is>
      </c>
      <c r="AF13" s="227" t="inlineStr">
        <is>
          <t>493/04</t>
        </is>
      </c>
      <c r="AG13" s="476" t="inlineStr">
        <is>
          <t>maroveri@inti.gob.ar - TE 011-1560378645</t>
        </is>
      </c>
      <c r="AH13" s="97" t="n"/>
      <c r="AI13" s="98" t="n"/>
      <c r="AJ13" s="1248" t="n"/>
      <c r="AK13" s="96" t="n"/>
    </row>
    <row r="14" ht="18" customFormat="1" customHeight="1" s="92" thickBot="1">
      <c r="D14" s="73" t="inlineStr">
        <is>
          <t>Código de aprobación:</t>
        </is>
      </c>
      <c r="E14" s="1256">
        <f>IF(ISBLANK('Identificación del Instrumento'!B27),"",'Identificación del Instrumento'!B27)</f>
        <v/>
      </c>
      <c r="F14" s="388" t="n"/>
      <c r="G14" s="389" t="n"/>
      <c r="H14" s="71" t="inlineStr">
        <is>
          <t>Indicador:</t>
        </is>
      </c>
      <c r="I14" s="955">
        <f>IF(ISBLANK('Identificación del Instrumento'!F27),"",'Identificación del Instrumento'!F27)</f>
        <v/>
      </c>
      <c r="J14" s="388" t="n"/>
      <c r="K14" s="388" t="n"/>
      <c r="L14" s="340">
        <f>VLOOKUP(I15,AE56:AF57,2,0)</f>
        <v/>
      </c>
      <c r="M14" s="338">
        <f>L14</f>
        <v/>
      </c>
      <c r="N14" s="93" t="n"/>
      <c r="O14" s="94" t="n"/>
      <c r="P14" s="94" t="n"/>
      <c r="AB14" s="92" t="inlineStr">
        <is>
          <t>RO</t>
        </is>
      </c>
      <c r="AC14" s="228" t="inlineStr">
        <is>
          <t>Tco. German Victor ALEKNAVISIUS</t>
        </is>
      </c>
      <c r="AD14" s="226" t="inlineStr">
        <is>
          <t>D.N.I. N° 22.205.335</t>
        </is>
      </c>
      <c r="AE14" s="225" t="n">
        <v>97</v>
      </c>
      <c r="AF14" s="227" t="inlineStr">
        <is>
          <t>493/04</t>
        </is>
      </c>
      <c r="AG14" s="476" t="inlineStr">
        <is>
          <t>agerman@inti.gob.ar TE: 0341 152 132372</t>
        </is>
      </c>
      <c r="AH14" s="97" t="n"/>
      <c r="AI14" s="98" t="n"/>
      <c r="AJ14" s="1248" t="n"/>
      <c r="AK14" s="96" t="n"/>
    </row>
    <row r="15" ht="18" customFormat="1" customHeight="1" s="92" thickBot="1">
      <c r="D15" s="73" t="inlineStr">
        <is>
          <t>Tipo de Verificación:</t>
        </is>
      </c>
      <c r="E15" s="1256">
        <f>IF(ISBLANK('Identificación del Instrumento'!B17)," ",'Identificación del Instrumento'!B17)</f>
        <v/>
      </c>
      <c r="F15" s="388" t="n"/>
      <c r="G15" s="389" t="n"/>
      <c r="H15" s="71" t="inlineStr">
        <is>
          <t>Tolerancia:</t>
        </is>
      </c>
      <c r="I15" s="955">
        <f>IF(ISBLANK('Identificación del Instrumento'!F17),"",'Identificación del Instrumento'!F17)</f>
        <v/>
      </c>
      <c r="J15" s="388" t="n"/>
      <c r="K15" s="388" t="n"/>
      <c r="L15" s="64" t="n"/>
      <c r="M15" s="93" t="n"/>
      <c r="N15" s="93" t="n"/>
      <c r="O15" s="94" t="n"/>
      <c r="P15" s="94" t="n"/>
      <c r="AB15" s="92" t="inlineStr">
        <is>
          <t>RO</t>
        </is>
      </c>
      <c r="AC15" s="228" t="inlineStr">
        <is>
          <t>Tco. Leonardo Leonel PIEDRABUENA</t>
        </is>
      </c>
      <c r="AD15" s="226" t="inlineStr">
        <is>
          <t>D.N.I. N° 31.339.312</t>
        </is>
      </c>
      <c r="AE15" s="227" t="inlineStr">
        <is>
          <t>280</t>
        </is>
      </c>
      <c r="AF15" s="227" t="inlineStr">
        <is>
          <t>493/04</t>
        </is>
      </c>
      <c r="AG15" s="476" t="inlineStr">
        <is>
          <t>lpiedrabuena@inti.gob.ar TE: 0341 153695196</t>
        </is>
      </c>
      <c r="AH15" s="97" t="n"/>
      <c r="AI15" s="98" t="n"/>
      <c r="AJ15" s="1248" t="n"/>
      <c r="AK15" s="96" t="n"/>
    </row>
    <row r="16" ht="18" customFormat="1" customHeight="1" s="92" thickBot="1">
      <c r="D16" s="73" t="inlineStr">
        <is>
          <t>Instrumento Verificado:</t>
        </is>
      </c>
      <c r="E16" s="951">
        <f>IF(ISBLANK('Identificación del Instrumento'!B22),"",'Identificación del Instrumento'!B22)</f>
        <v/>
      </c>
      <c r="F16" s="388" t="n"/>
      <c r="G16" s="388" t="n"/>
      <c r="H16" s="388" t="n"/>
      <c r="I16" s="388" t="n"/>
      <c r="J16" s="388" t="n"/>
      <c r="K16" s="388" t="n"/>
      <c r="L16" s="64" t="n"/>
      <c r="M16" s="93" t="n"/>
      <c r="N16" s="93" t="n"/>
      <c r="O16" s="94" t="n"/>
      <c r="P16" s="94" t="n"/>
      <c r="AB16" s="92" t="inlineStr">
        <is>
          <t>RO</t>
        </is>
      </c>
      <c r="AC16" s="228" t="inlineStr">
        <is>
          <t>Tco. Gonzalo Ignacio Arroyo</t>
        </is>
      </c>
      <c r="AD16" s="226" t="inlineStr">
        <is>
          <t>D.N.I. N° 35.051.221</t>
        </is>
      </c>
      <c r="AE16" s="227" t="inlineStr">
        <is>
          <t>240</t>
        </is>
      </c>
      <c r="AF16" s="227" t="inlineStr">
        <is>
          <t>493/04</t>
        </is>
      </c>
      <c r="AG16" s="476" t="inlineStr">
        <is>
          <t>garroyo@inti.gob.ar TE: 0341 152297176</t>
        </is>
      </c>
      <c r="AH16" s="97" t="n"/>
      <c r="AI16" s="98" t="n"/>
      <c r="AJ16" s="1248" t="n"/>
      <c r="AK16" s="96" t="n"/>
    </row>
    <row r="17" ht="18" customFormat="1" customHeight="1" s="92" thickBot="1">
      <c r="D17" s="70" t="inlineStr">
        <is>
          <t>Tipo de balanza:</t>
        </is>
      </c>
      <c r="E17" s="919">
        <f>IF(ISBLANK('Identificación del Instrumento'!F23),"",'Identificación del Instrumento'!F23)</f>
        <v/>
      </c>
      <c r="F17" s="388" t="n"/>
      <c r="G17" s="388" t="n"/>
      <c r="H17" s="389" t="n"/>
      <c r="I17" s="74" t="inlineStr">
        <is>
          <t>Clase:</t>
        </is>
      </c>
      <c r="J17" s="75">
        <f>IF(ISBLANK('Identificación del Instrumento'!F30),"",'Identificación del Instrumento'!F30)</f>
        <v/>
      </c>
      <c r="K17" s="63" t="n"/>
      <c r="L17" s="64" t="n"/>
      <c r="M17" s="93" t="n"/>
      <c r="N17" s="93" t="n"/>
      <c r="O17" s="94" t="n"/>
      <c r="P17" s="94" t="n"/>
      <c r="AB17" s="92" t="inlineStr">
        <is>
          <t>RO</t>
        </is>
      </c>
      <c r="AC17" s="228" t="inlineStr">
        <is>
          <t>Tco. Damián Alberto QUEVEDO</t>
        </is>
      </c>
      <c r="AD17" s="226" t="inlineStr">
        <is>
          <t>D.N.I. N° 30.612.654</t>
        </is>
      </c>
      <c r="AE17" s="227" t="inlineStr">
        <is>
          <t>227</t>
        </is>
      </c>
      <c r="AF17" s="227" t="inlineStr">
        <is>
          <t>493/04</t>
        </is>
      </c>
      <c r="AG17" s="476" t="inlineStr">
        <is>
          <t>dquevedo@inti.gob.ar  -  TE: 0341 155 967156</t>
        </is>
      </c>
      <c r="AH17" s="97" t="n"/>
      <c r="AI17" s="98" t="n"/>
      <c r="AJ17" s="1248" t="n"/>
      <c r="AK17" s="96" t="n"/>
      <c r="AP17" s="92" t="inlineStr">
        <is>
          <t> </t>
        </is>
      </c>
    </row>
    <row r="18" ht="18" customFormat="1" customHeight="1" s="92" thickBot="1">
      <c r="D18" s="73" t="inlineStr">
        <is>
          <t>Min Div (kg, e)=</t>
        </is>
      </c>
      <c r="E18" s="76">
        <f>IF(ISNUMBER('Identificación del Instrumento'!D30),'Identificación del Instrumento'!B30,"")</f>
        <v/>
      </c>
      <c r="F18" s="77" t="inlineStr">
        <is>
          <t>d (kg)=</t>
        </is>
      </c>
      <c r="G18" s="76">
        <f>IF(ISBLANK('Identificación del Instrumento'!D30),"",'Identificación del Instrumento'!D30)</f>
        <v/>
      </c>
      <c r="H18" s="71" t="inlineStr">
        <is>
          <t>Cap.Max (kg)=</t>
        </is>
      </c>
      <c r="I18" s="76">
        <f>IF(ISBLANK('Identificación del Instrumento'!D29),"",'Identificación del Instrumento'!D29)</f>
        <v/>
      </c>
      <c r="J18" s="67" t="n"/>
      <c r="K18" s="78" t="n"/>
      <c r="L18" s="79" t="n"/>
      <c r="M18" s="93" t="n"/>
      <c r="N18" s="93" t="n"/>
      <c r="O18" s="94" t="n"/>
      <c r="P18" s="94" t="n"/>
      <c r="AB18" s="92" t="inlineStr">
        <is>
          <t>RO</t>
        </is>
      </c>
      <c r="AC18" s="228" t="inlineStr">
        <is>
          <t>Tco. Ivan Alejandro PIASCIK</t>
        </is>
      </c>
      <c r="AD18" s="226" t="inlineStr">
        <is>
          <t>D.N.I. N° 31.182.999</t>
        </is>
      </c>
      <c r="AE18" s="227" t="inlineStr">
        <is>
          <t>233</t>
        </is>
      </c>
      <c r="AF18" s="227" t="inlineStr">
        <is>
          <t>493/04</t>
        </is>
      </c>
      <c r="AG18" s="476" t="inlineStr">
        <is>
          <t xml:space="preserve">piascik@inti.gob.ar TE: 0342 154 731405 </t>
        </is>
      </c>
      <c r="AH18" s="97" t="n"/>
      <c r="AI18" s="98" t="n"/>
      <c r="AJ18" s="1248" t="n"/>
      <c r="AK18" s="96" t="n"/>
      <c r="AO18" s="92" t="inlineStr">
        <is>
          <t> </t>
        </is>
      </c>
      <c r="AP18" s="92" t="inlineStr">
        <is>
          <t> </t>
        </is>
      </c>
    </row>
    <row r="19" ht="18" customFormat="1" customHeight="1" s="92">
      <c r="D19" s="80" t="inlineStr">
        <is>
          <t>Patrones (fabricante y modelo)</t>
        </is>
      </c>
      <c r="E19" s="81" t="n"/>
      <c r="F19" s="81" t="n"/>
      <c r="G19" s="81" t="n"/>
      <c r="H19" s="81" t="n"/>
      <c r="I19" s="81" t="n"/>
      <c r="J19" s="81" t="n"/>
      <c r="K19" s="82" t="n"/>
      <c r="L19" s="83" t="n"/>
      <c r="M19" s="93" t="n"/>
      <c r="P19" s="94" t="n"/>
      <c r="AB19" s="92" t="inlineStr">
        <is>
          <t>RO</t>
        </is>
      </c>
      <c r="AC19" s="228" t="inlineStr">
        <is>
          <t>Ing. Gastón Alexix ZANUTTI</t>
        </is>
      </c>
      <c r="AD19" s="226" t="inlineStr">
        <is>
          <t>D.N.I. N° 22.280.226</t>
        </is>
      </c>
      <c r="AE19" s="227" t="inlineStr">
        <is>
          <t>232</t>
        </is>
      </c>
      <c r="AF19" s="227" t="inlineStr">
        <is>
          <t>493/04</t>
        </is>
      </c>
      <c r="AG19" s="476" t="inlineStr">
        <is>
          <t>gzanutti@inti.gob.ar TE: 0342 155 494338</t>
        </is>
      </c>
      <c r="AH19" s="97" t="n"/>
      <c r="AI19" s="98" t="n"/>
      <c r="AJ19" s="1248" t="n"/>
      <c r="AK19" s="96" t="n"/>
    </row>
    <row r="20" ht="18" customFormat="1" customHeight="1" s="92">
      <c r="D20" s="1257">
        <f>IF(ISBLANK('Identificación del Instrumento'!A50),"",'Identificación del Instrumento'!A50)</f>
        <v/>
      </c>
      <c r="L20" s="207" t="n"/>
      <c r="M20" s="93" t="n"/>
      <c r="N20" s="94" t="n"/>
      <c r="O20" s="96" t="n"/>
      <c r="P20" s="94" t="n"/>
      <c r="AC20" s="228" t="inlineStr">
        <is>
          <t>Anl. Javier Leonardo Araujo</t>
        </is>
      </c>
      <c r="AD20" s="226" t="inlineStr">
        <is>
          <t>D.N.I. N° 21.618.342</t>
        </is>
      </c>
      <c r="AE20" s="227" t="inlineStr">
        <is>
          <t>430</t>
        </is>
      </c>
      <c r="AF20" s="227" t="inlineStr">
        <is>
          <t>364/15</t>
        </is>
      </c>
      <c r="AG20" s="476" t="inlineStr">
        <is>
          <t>jaraujo@inti.gob.ar TE: 0379-154207685</t>
        </is>
      </c>
      <c r="AH20" s="97" t="n"/>
      <c r="AI20" s="98" t="n"/>
      <c r="AJ20" s="1248" t="n"/>
      <c r="AK20" s="96" t="n"/>
    </row>
    <row r="21" ht="108" customFormat="1" customHeight="1" s="92" thickBot="1">
      <c r="D21" s="208" t="n"/>
      <c r="E21" s="190" t="n"/>
      <c r="F21" s="190" t="n"/>
      <c r="G21" s="190" t="n"/>
      <c r="H21" s="190" t="n"/>
      <c r="I21" s="190" t="n"/>
      <c r="J21" s="190" t="n"/>
      <c r="K21" s="190" t="n"/>
      <c r="L21" s="209" t="n"/>
      <c r="M21" s="93" t="n"/>
      <c r="P21" s="94" t="n"/>
      <c r="AC21" s="228" t="inlineStr">
        <is>
          <t>Tco. Pablo Javier Siklosi A.</t>
        </is>
      </c>
      <c r="AD21" s="226" t="inlineStr">
        <is>
          <t>D.N.I. N° 24.705.518</t>
        </is>
      </c>
      <c r="AE21" s="227" t="inlineStr">
        <is>
          <t>96</t>
        </is>
      </c>
      <c r="AF21" s="227" t="inlineStr">
        <is>
          <t>519/05</t>
        </is>
      </c>
      <c r="AG21" s="476" t="inlineStr">
        <is>
          <t>psiklosi@inti.gob.ar 2615774172</t>
        </is>
      </c>
      <c r="AH21" s="97" t="n"/>
      <c r="AI21" s="98" t="n"/>
      <c r="AJ21" s="1248" t="n"/>
      <c r="AK21" s="96" t="n"/>
    </row>
    <row r="22" ht="18" customFormat="1" customHeight="1" s="92" thickBot="1">
      <c r="D22" s="1258" t="inlineStr">
        <is>
          <t>Observaciones en general sobre la verificación, para incluir en el informe:</t>
        </is>
      </c>
      <c r="E22" s="388" t="n"/>
      <c r="F22" s="388" t="n"/>
      <c r="G22" s="388" t="n"/>
      <c r="H22" s="388" t="n"/>
      <c r="I22" s="388" t="n"/>
      <c r="J22" s="388" t="n"/>
      <c r="K22" s="388" t="n"/>
      <c r="L22" s="389" t="n"/>
      <c r="M22" s="93" t="n"/>
      <c r="P22" s="94" t="n"/>
      <c r="R22" s="104" t="n"/>
      <c r="S22" s="104" t="n"/>
      <c r="AC22" s="228" t="inlineStr">
        <is>
          <t xml:space="preserve">Otro Técnico </t>
        </is>
      </c>
      <c r="AD22" s="226" t="inlineStr">
        <is>
          <t>D.U. 49123456</t>
        </is>
      </c>
      <c r="AE22" s="227" t="inlineStr">
        <is>
          <t>007</t>
        </is>
      </c>
      <c r="AF22" s="227" t="inlineStr">
        <is>
          <t>20/25</t>
        </is>
      </c>
      <c r="AG22" s="476" t="inlineStr">
        <is>
          <t>quednosayde@inti.gob.ar</t>
        </is>
      </c>
      <c r="AH22" s="97" t="n"/>
      <c r="AI22" s="98" t="n"/>
      <c r="AJ22" s="1248" t="n"/>
      <c r="AK22" s="96" t="n"/>
    </row>
    <row r="23" ht="18" customHeight="1">
      <c r="D23" s="1259" t="n"/>
      <c r="E23" s="1260" t="n"/>
      <c r="F23" s="1260" t="n"/>
      <c r="G23" s="1260" t="n"/>
      <c r="H23" s="1260" t="n"/>
      <c r="I23" s="1260" t="n"/>
      <c r="J23" s="1260" t="n"/>
      <c r="K23" s="1260" t="n"/>
      <c r="L23" s="1261" t="n"/>
      <c r="M23" s="106" t="n"/>
      <c r="R23" s="882" t="n"/>
      <c r="S23" s="882" t="n"/>
      <c r="AC23" s="228" t="n"/>
      <c r="AD23" s="226" t="n"/>
      <c r="AE23" s="227" t="n"/>
      <c r="AF23" s="227" t="n"/>
      <c r="AG23" s="229" t="n"/>
      <c r="AH23" s="108" t="n"/>
      <c r="AI23" s="109" t="n"/>
      <c r="AJ23" s="1262" t="n"/>
    </row>
    <row r="24" ht="5.25" customHeight="1" thickBot="1">
      <c r="D24" s="1263" t="n"/>
      <c r="E24" s="1223" t="n"/>
      <c r="F24" s="1223" t="n"/>
      <c r="G24" s="1223" t="n"/>
      <c r="H24" s="1223" t="n"/>
      <c r="I24" s="1223" t="n"/>
      <c r="J24" s="1223" t="n"/>
      <c r="K24" s="1223" t="n"/>
      <c r="L24" s="1264" t="n"/>
      <c r="M24" s="106" t="n"/>
      <c r="R24" s="882" t="n"/>
      <c r="S24" s="882" t="n"/>
      <c r="AC24" s="228" t="n"/>
      <c r="AD24" s="226" t="n"/>
      <c r="AE24" s="227" t="n"/>
      <c r="AF24" s="227" t="n"/>
      <c r="AG24" s="229" t="n"/>
      <c r="AH24" s="108" t="n"/>
      <c r="AI24" s="109" t="n"/>
      <c r="AJ24" s="1262" t="n"/>
    </row>
    <row r="25" hidden="1" ht="18" customHeight="1" thickBot="1">
      <c r="D25" s="1263" t="n"/>
      <c r="E25" s="1223" t="n"/>
      <c r="F25" s="1223" t="n"/>
      <c r="G25" s="1223" t="n"/>
      <c r="H25" s="1223" t="n"/>
      <c r="I25" s="1223" t="n"/>
      <c r="J25" s="1223" t="n"/>
      <c r="K25" s="1223" t="n"/>
      <c r="L25" s="1264" t="n"/>
      <c r="M25" s="106" t="n"/>
      <c r="R25" s="882" t="n"/>
      <c r="S25" s="882" t="n"/>
      <c r="AC25" s="228" t="n"/>
      <c r="AD25" s="226" t="n"/>
      <c r="AE25" s="227" t="n"/>
      <c r="AF25" s="227" t="n"/>
      <c r="AG25" s="229" t="n"/>
      <c r="AH25" s="108" t="n"/>
      <c r="AI25" s="109" t="n"/>
      <c r="AJ25" s="1262" t="n"/>
    </row>
    <row r="26" hidden="1" ht="18" customHeight="1" thickBot="1">
      <c r="D26" s="1263" t="n"/>
      <c r="E26" s="1223" t="n"/>
      <c r="F26" s="1223" t="n"/>
      <c r="G26" s="1223" t="n"/>
      <c r="H26" s="1223" t="n"/>
      <c r="I26" s="1223" t="n"/>
      <c r="J26" s="1223" t="n"/>
      <c r="K26" s="1223" t="n"/>
      <c r="L26" s="1264" t="n"/>
      <c r="M26" s="106" t="n"/>
      <c r="R26" s="882" t="n"/>
      <c r="S26" s="882" t="n"/>
      <c r="AC26" s="228" t="n"/>
      <c r="AD26" s="226" t="n"/>
      <c r="AE26" s="227" t="n"/>
      <c r="AF26" s="227" t="n"/>
      <c r="AG26" s="229" t="n"/>
      <c r="AH26" s="108" t="n"/>
      <c r="AI26" s="109" t="n"/>
      <c r="AJ26" s="1262" t="n"/>
    </row>
    <row r="27" hidden="1" ht="18" customHeight="1" thickBot="1">
      <c r="D27" s="1263" t="n"/>
      <c r="E27" s="1223" t="n"/>
      <c r="F27" s="1223" t="n"/>
      <c r="G27" s="1223" t="n"/>
      <c r="H27" s="1223" t="n"/>
      <c r="I27" s="1223" t="n"/>
      <c r="J27" s="1223" t="n"/>
      <c r="K27" s="1223" t="n"/>
      <c r="L27" s="1264" t="n"/>
      <c r="M27" s="106" t="n"/>
      <c r="R27" s="882" t="n"/>
      <c r="S27" s="882" t="n"/>
      <c r="AC27" s="228" t="n"/>
      <c r="AD27" s="226" t="n"/>
      <c r="AE27" s="227" t="n"/>
      <c r="AF27" s="227" t="n"/>
      <c r="AG27" s="229" t="n"/>
      <c r="AH27" s="108" t="n"/>
      <c r="AI27" s="109" t="n"/>
      <c r="AJ27" s="1262" t="n"/>
    </row>
    <row r="28" hidden="1" ht="18" customHeight="1" thickBot="1">
      <c r="D28" s="1263" t="n"/>
      <c r="E28" s="1223" t="n"/>
      <c r="F28" s="1223" t="n"/>
      <c r="G28" s="1223" t="n"/>
      <c r="H28" s="1223" t="n"/>
      <c r="I28" s="1223" t="n"/>
      <c r="J28" s="1223" t="n"/>
      <c r="K28" s="1223" t="n"/>
      <c r="L28" s="1264" t="n"/>
      <c r="M28" s="106" t="n"/>
      <c r="R28" s="882" t="n"/>
      <c r="S28" s="882" t="n"/>
      <c r="AC28" s="228" t="n"/>
      <c r="AD28" s="226" t="n"/>
      <c r="AE28" s="227" t="n"/>
      <c r="AF28" s="227" t="n"/>
      <c r="AG28" s="229" t="n"/>
      <c r="AH28" s="108" t="n"/>
      <c r="AI28" s="109" t="n"/>
      <c r="AJ28" s="1262" t="n"/>
    </row>
    <row r="29" hidden="1" ht="18" customHeight="1" thickBot="1">
      <c r="D29" s="1263" t="n"/>
      <c r="E29" s="1223" t="n"/>
      <c r="F29" s="1223" t="n"/>
      <c r="G29" s="1223" t="n"/>
      <c r="H29" s="1223" t="n"/>
      <c r="I29" s="1223" t="n"/>
      <c r="J29" s="1223" t="n"/>
      <c r="K29" s="1223" t="n"/>
      <c r="L29" s="1264" t="n"/>
      <c r="M29" s="106" t="n"/>
      <c r="R29" s="882" t="n"/>
      <c r="S29" s="882" t="n"/>
      <c r="AC29" s="228" t="n"/>
      <c r="AD29" s="226" t="n"/>
      <c r="AE29" s="227" t="n"/>
      <c r="AF29" s="227" t="n"/>
      <c r="AG29" s="229" t="n"/>
      <c r="AH29" s="108" t="n"/>
      <c r="AI29" s="109" t="n"/>
      <c r="AJ29" s="1262" t="n"/>
    </row>
    <row r="30" hidden="1" ht="18" customHeight="1" thickBot="1">
      <c r="D30" s="1263" t="n"/>
      <c r="E30" s="1223" t="n"/>
      <c r="F30" s="1223" t="n"/>
      <c r="G30" s="1223" t="n"/>
      <c r="H30" s="1223" t="n"/>
      <c r="I30" s="1223" t="n"/>
      <c r="J30" s="1223" t="n"/>
      <c r="K30" s="1223" t="n"/>
      <c r="L30" s="1264" t="n"/>
      <c r="M30" s="106" t="n"/>
      <c r="R30" s="882" t="n"/>
      <c r="S30" s="882" t="n"/>
      <c r="AC30" s="228" t="n"/>
      <c r="AD30" s="226" t="n"/>
      <c r="AE30" s="227" t="n"/>
      <c r="AF30" s="227" t="n"/>
      <c r="AG30" s="229" t="n"/>
      <c r="AH30" s="108" t="n"/>
      <c r="AI30" s="109" t="n"/>
      <c r="AJ30" s="1262" t="n"/>
    </row>
    <row r="31" hidden="1" ht="18" customHeight="1" thickBot="1">
      <c r="D31" s="1263" t="n"/>
      <c r="E31" s="1223" t="n"/>
      <c r="F31" s="1223" t="n"/>
      <c r="G31" s="1223" t="n"/>
      <c r="H31" s="1223" t="n"/>
      <c r="I31" s="1223" t="n"/>
      <c r="J31" s="1223" t="n"/>
      <c r="K31" s="1223" t="n"/>
      <c r="L31" s="1264" t="n"/>
      <c r="M31" s="106" t="n"/>
      <c r="R31" s="882" t="n"/>
      <c r="S31" s="882" t="n"/>
      <c r="AC31" s="228" t="n"/>
      <c r="AD31" s="226" t="n"/>
      <c r="AE31" s="227" t="n"/>
      <c r="AF31" s="227" t="n"/>
      <c r="AG31" s="229" t="n"/>
      <c r="AH31" s="108" t="n"/>
      <c r="AI31" s="109" t="n"/>
      <c r="AJ31" s="1262" t="n"/>
    </row>
    <row r="32" hidden="1" ht="18" customHeight="1" thickBot="1">
      <c r="D32" s="1263" t="n"/>
      <c r="E32" s="1223" t="n"/>
      <c r="F32" s="1223" t="n"/>
      <c r="G32" s="1223" t="n"/>
      <c r="H32" s="1223" t="n"/>
      <c r="I32" s="1223" t="n"/>
      <c r="J32" s="1223" t="n"/>
      <c r="K32" s="1223" t="n"/>
      <c r="L32" s="1264" t="n"/>
      <c r="M32" s="106" t="n"/>
      <c r="R32" s="882" t="n"/>
      <c r="S32" s="882" t="n"/>
      <c r="AC32" s="228" t="n"/>
      <c r="AD32" s="226" t="n"/>
      <c r="AE32" s="227" t="n"/>
      <c r="AF32" s="227" t="n"/>
      <c r="AG32" s="229" t="n"/>
      <c r="AH32" s="108" t="n"/>
      <c r="AI32" s="109" t="n"/>
      <c r="AJ32" s="1262" t="n"/>
    </row>
    <row r="33" hidden="1" ht="18" customHeight="1" thickBot="1">
      <c r="D33" s="1263" t="n"/>
      <c r="E33" s="1223" t="n"/>
      <c r="F33" s="1223" t="n"/>
      <c r="G33" s="1223" t="n"/>
      <c r="H33" s="1223" t="n"/>
      <c r="I33" s="1223" t="n"/>
      <c r="J33" s="1223" t="n"/>
      <c r="K33" s="1223" t="n"/>
      <c r="L33" s="1264" t="n"/>
      <c r="M33" s="106" t="n"/>
      <c r="R33" s="882" t="n"/>
      <c r="S33" s="882" t="n"/>
      <c r="AC33" s="228" t="n"/>
      <c r="AD33" s="226" t="n"/>
      <c r="AE33" s="227" t="n"/>
      <c r="AF33" s="227" t="n"/>
      <c r="AG33" s="229" t="n"/>
      <c r="AH33" s="108" t="n"/>
      <c r="AI33" s="109" t="n"/>
      <c r="AJ33" s="1262" t="n"/>
    </row>
    <row r="34" hidden="1" ht="18" customHeight="1" thickBot="1">
      <c r="D34" s="1265" t="n"/>
      <c r="E34" s="1237" t="n"/>
      <c r="F34" s="1237" t="n"/>
      <c r="G34" s="1237" t="n"/>
      <c r="H34" s="1237" t="n"/>
      <c r="I34" s="1237" t="n"/>
      <c r="J34" s="1237" t="n"/>
      <c r="K34" s="1237" t="n"/>
      <c r="L34" s="1266" t="n"/>
      <c r="M34" s="106" t="n"/>
      <c r="R34" s="882" t="n"/>
      <c r="S34" s="882" t="n"/>
      <c r="AC34" s="228" t="n"/>
      <c r="AD34" s="226" t="n"/>
      <c r="AE34" s="227" t="n"/>
      <c r="AF34" s="227" t="n"/>
      <c r="AG34" s="229" t="n"/>
      <c r="AH34" s="108" t="n"/>
      <c r="AI34" s="109" t="n"/>
      <c r="AJ34" s="1262" t="n"/>
    </row>
    <row r="35" ht="36.75" customHeight="1" thickBot="1">
      <c r="D35" s="1267" t="n"/>
      <c r="E35" s="193" t="n"/>
      <c r="F35" s="193" t="n"/>
      <c r="G35" s="1268" t="n"/>
      <c r="H35" s="1269" t="inlineStr">
        <is>
          <t>N° de apoyos:</t>
        </is>
      </c>
      <c r="I35" s="193" t="n"/>
      <c r="J35" s="1268" t="n"/>
      <c r="K35" s="482" t="n">
        <v>10</v>
      </c>
      <c r="L35" s="717" t="n"/>
      <c r="M35" s="106" t="n"/>
      <c r="N35" s="1097" t="n"/>
      <c r="P35" s="1270" t="inlineStr">
        <is>
          <t xml:space="preserve">     7                            8                            9                            10                            11                           12    </t>
        </is>
      </c>
      <c r="Q35" s="193" t="n"/>
      <c r="R35" s="193" t="n"/>
      <c r="S35" s="193" t="n"/>
      <c r="T35" s="1268" t="n"/>
      <c r="AC35" s="228" t="n"/>
      <c r="AD35" s="225" t="n"/>
      <c r="AE35" s="227" t="n"/>
      <c r="AF35" s="227" t="n"/>
      <c r="AG35" s="229" t="n"/>
      <c r="AH35" s="108" t="n"/>
      <c r="AI35" s="109" t="n"/>
      <c r="AJ35" s="1262" t="n"/>
    </row>
    <row r="36" ht="15" customHeight="1" thickBot="1">
      <c r="D36" s="447" t="n"/>
      <c r="E36" s="448" t="n"/>
      <c r="F36" s="448" t="inlineStr">
        <is>
          <t>indicador</t>
        </is>
      </c>
      <c r="G36" s="448" t="n"/>
      <c r="H36" s="448" t="n"/>
      <c r="I36" s="448" t="n"/>
      <c r="J36" s="449" t="n"/>
      <c r="K36" s="450" t="n"/>
      <c r="L36" s="451" t="n"/>
      <c r="M36" s="106" t="n"/>
      <c r="N36" s="1097" t="n"/>
      <c r="P36" s="1271" t="inlineStr">
        <is>
          <t xml:space="preserve">   6                            5                            4                             3                               2                              1    </t>
        </is>
      </c>
      <c r="Q36" s="190" t="n"/>
      <c r="R36" s="190" t="n"/>
      <c r="S36" s="190" t="n"/>
      <c r="T36" s="209" t="n"/>
      <c r="AC36" s="228" t="n"/>
      <c r="AD36" s="225" t="n"/>
      <c r="AE36" s="227" t="n"/>
      <c r="AF36" s="227" t="n"/>
      <c r="AG36" s="229" t="n"/>
      <c r="AH36" s="108" t="n"/>
      <c r="AI36" s="109" t="n"/>
      <c r="AJ36" s="1262" t="n"/>
    </row>
    <row r="37" ht="15" customHeight="1" thickBot="1">
      <c r="D37" s="429" t="n"/>
      <c r="E37" s="432" t="n"/>
      <c r="F37" s="432" t="n"/>
      <c r="G37" s="430" t="n"/>
      <c r="H37" s="432" t="n"/>
      <c r="I37" s="433" t="n"/>
      <c r="J37" s="431" t="n"/>
      <c r="K37" s="1272" t="inlineStr">
        <is>
          <t>Escriba INDICADOR en la ubicación correspondiente</t>
        </is>
      </c>
      <c r="L37" s="207" t="n"/>
      <c r="M37" s="106" t="n"/>
      <c r="N37" s="1097" t="n"/>
      <c r="P37" s="813" t="n"/>
      <c r="AC37" s="228" t="n"/>
      <c r="AD37" s="225" t="n"/>
      <c r="AE37" s="227" t="n"/>
      <c r="AF37" s="227" t="n"/>
      <c r="AG37" s="229" t="n"/>
      <c r="AH37" s="108" t="n"/>
      <c r="AI37" s="109" t="n"/>
      <c r="AJ37" s="1262" t="n"/>
    </row>
    <row r="38" ht="15" customHeight="1">
      <c r="D38" s="429" t="n"/>
      <c r="E38" s="1273">
        <f>IF('Identificación del Instrumento'!B22="Balanza de plataforma","1",(IF(K35=12,CONCATENATE(P35,"",),IF(K35=10,CONCATENATE(P38,"",),IF(K35=8,CONCATENATE(P41,"",),IF(K35=6,CONCATENATE(P44,"",),IF(K35=4,CONCATENATE(P47,"",),"")))))))</f>
        <v/>
      </c>
      <c r="F38" s="1260" t="n"/>
      <c r="G38" s="1260" t="n"/>
      <c r="H38" s="1260" t="n"/>
      <c r="I38" s="1261" t="n"/>
      <c r="J38" s="431" t="n"/>
      <c r="K38" s="1274" t="n"/>
      <c r="L38" s="207" t="n"/>
      <c r="M38" s="106" t="n"/>
      <c r="N38" s="1097" t="n"/>
      <c r="P38" s="1275" t="inlineStr">
        <is>
          <t>6                                   7                                   8                                   9                                   10</t>
        </is>
      </c>
      <c r="Q38" s="193" t="n"/>
      <c r="R38" s="193" t="n"/>
      <c r="S38" s="193" t="n"/>
      <c r="T38" s="1268" t="n"/>
      <c r="AC38" s="228" t="n"/>
      <c r="AD38" s="225" t="n"/>
      <c r="AE38" s="227" t="n"/>
      <c r="AF38" s="227" t="n"/>
      <c r="AG38" s="229" t="n"/>
      <c r="AH38" s="108" t="n"/>
      <c r="AI38" s="109" t="n"/>
      <c r="AJ38" s="1262" t="n"/>
    </row>
    <row r="39" ht="27.75" customHeight="1" thickBot="1">
      <c r="D39" s="662" t="inlineStr">
        <is>
          <t>Egreso</t>
        </is>
      </c>
      <c r="E39" s="911">
        <f>IF('Identificación del Instrumento'!B22="Balanza de plataforma","3","")</f>
        <v/>
      </c>
      <c r="F39" s="910" t="inlineStr">
        <is>
          <t>Receptor de Carga</t>
        </is>
      </c>
      <c r="I39" s="912">
        <f>IF('Identificación del Instrumento'!B22="Balanza de plataforma","4","")</f>
        <v/>
      </c>
      <c r="J39" s="662" t="inlineStr">
        <is>
          <t>Ingreso</t>
        </is>
      </c>
      <c r="K39" s="1274" t="n"/>
      <c r="L39" s="207" t="n"/>
      <c r="M39" s="106" t="n"/>
      <c r="N39" s="1097" t="n"/>
      <c r="P39" s="1271" t="inlineStr">
        <is>
          <t>5                                   4                                   3                                   2                                     1</t>
        </is>
      </c>
      <c r="Q39" s="190" t="n"/>
      <c r="R39" s="190" t="n"/>
      <c r="S39" s="190" t="n"/>
      <c r="T39" s="209" t="n"/>
      <c r="AC39" s="228" t="n"/>
      <c r="AD39" s="225" t="n"/>
      <c r="AE39" s="227" t="n"/>
      <c r="AF39" s="227" t="n"/>
      <c r="AG39" s="229" t="n"/>
      <c r="AH39" s="108" t="n"/>
      <c r="AI39" s="109" t="n"/>
      <c r="AJ39" s="1262" t="n"/>
    </row>
    <row r="40" ht="15" customHeight="1" thickBot="1">
      <c r="D40" s="429" t="n"/>
      <c r="E40" s="206" t="n"/>
      <c r="I40" s="207" t="n"/>
      <c r="J40" s="431" t="n"/>
      <c r="K40" s="1274" t="n"/>
      <c r="L40" s="207" t="n"/>
      <c r="M40" s="106" t="n"/>
      <c r="N40" s="1097" t="n"/>
      <c r="P40" s="813" t="n"/>
      <c r="AC40" s="228" t="n"/>
      <c r="AD40" s="225" t="n"/>
      <c r="AE40" s="227" t="n"/>
      <c r="AF40" s="227" t="n"/>
      <c r="AG40" s="229" t="n"/>
      <c r="AH40" s="108" t="n"/>
      <c r="AI40" s="109" t="n"/>
      <c r="AJ40" s="1262" t="n"/>
    </row>
    <row r="41" ht="15" customHeight="1" thickBot="1">
      <c r="D41" s="429" t="n"/>
      <c r="E41" s="1276">
        <f>IF('Identificación del Instrumento'!B22="Balanza de plataforma","2",(IF(K35=12,CONCATENATE(P36,"",),IF(K35=10,CONCATENATE(P39,"",),IF(K35=8,CONCATENATE(P42,"",),IF(K35=6,CONCATENATE(P45,"",),IF(K35=4,CONCATENATE(P48,"",),"")))))))</f>
        <v/>
      </c>
      <c r="F41" s="1237" t="n"/>
      <c r="G41" s="1237" t="n"/>
      <c r="H41" s="1237" t="n"/>
      <c r="I41" s="1266" t="n"/>
      <c r="J41" s="431" t="n"/>
      <c r="K41" s="1274" t="n"/>
      <c r="L41" s="207" t="n"/>
      <c r="M41" s="106" t="n"/>
      <c r="N41" s="1097" t="n"/>
      <c r="P41" s="1275" t="inlineStr">
        <is>
          <t xml:space="preserve">       5                                                 6                                                 7                                                 8       </t>
        </is>
      </c>
      <c r="Q41" s="193" t="n"/>
      <c r="R41" s="193" t="n"/>
      <c r="S41" s="193" t="n"/>
      <c r="T41" s="1268" t="n"/>
      <c r="AC41" s="228" t="n"/>
      <c r="AD41" s="225" t="n"/>
      <c r="AE41" s="227" t="n"/>
      <c r="AF41" s="227" t="n"/>
      <c r="AG41" s="229" t="n"/>
      <c r="AH41" s="108" t="n"/>
      <c r="AI41" s="109" t="n"/>
      <c r="AJ41" s="1262" t="n"/>
    </row>
    <row r="42" ht="15" customHeight="1" thickBot="1">
      <c r="D42" s="429" t="n"/>
      <c r="E42" s="434" t="n"/>
      <c r="F42" s="434" t="n"/>
      <c r="G42" s="435" t="n"/>
      <c r="H42" s="434" t="n"/>
      <c r="I42" s="434" t="n"/>
      <c r="J42" s="431" t="n"/>
      <c r="K42" s="453" t="n"/>
      <c r="L42" s="452" t="n"/>
      <c r="M42" s="106" t="n"/>
      <c r="N42" s="1097" t="n"/>
      <c r="P42" s="1271" t="inlineStr">
        <is>
          <t xml:space="preserve">       4                                                 3                                                 2                                                  1       </t>
        </is>
      </c>
      <c r="Q42" s="190" t="n"/>
      <c r="R42" s="190" t="n"/>
      <c r="S42" s="190" t="n"/>
      <c r="T42" s="209" t="n"/>
      <c r="AC42" s="228" t="n"/>
      <c r="AD42" s="225" t="n"/>
      <c r="AE42" s="227" t="n"/>
      <c r="AF42" s="227" t="n"/>
      <c r="AG42" s="229" t="n"/>
      <c r="AH42" s="108" t="n"/>
      <c r="AI42" s="109" t="n"/>
      <c r="AJ42" s="1262" t="n"/>
    </row>
    <row r="43" ht="15" customHeight="1" thickBot="1">
      <c r="D43" s="384" t="n"/>
      <c r="E43" s="385" t="n"/>
      <c r="F43" s="385" t="n"/>
      <c r="G43" s="385" t="n"/>
      <c r="H43" s="385" t="n"/>
      <c r="I43" s="385" t="n"/>
      <c r="J43" s="386" t="n"/>
      <c r="K43" s="453" t="n"/>
      <c r="L43" s="454" t="n"/>
      <c r="M43" s="106" t="n"/>
      <c r="N43" s="1097" t="n"/>
      <c r="P43" s="813" t="n"/>
      <c r="AC43" s="228" t="n"/>
      <c r="AD43" s="225" t="n"/>
      <c r="AE43" s="227" t="n"/>
      <c r="AF43" s="227" t="n"/>
      <c r="AG43" s="229" t="n"/>
      <c r="AH43" s="108" t="n"/>
      <c r="AI43" s="109" t="n"/>
      <c r="AJ43" s="1262" t="n"/>
    </row>
    <row r="44" ht="15" customHeight="1" thickBot="1">
      <c r="D44" s="438" t="n"/>
      <c r="E44" s="439" t="n"/>
      <c r="F44" s="439" t="n"/>
      <c r="G44" s="439" t="n"/>
      <c r="H44" s="439" t="n"/>
      <c r="I44" s="440" t="n"/>
      <c r="J44" s="1277" t="n"/>
      <c r="K44" s="436" t="n"/>
      <c r="L44" s="437" t="n"/>
      <c r="M44" s="106" t="n"/>
      <c r="N44" s="112" t="n"/>
      <c r="O44" s="112" t="n"/>
      <c r="P44" s="1275" t="inlineStr">
        <is>
          <t>4                                                                              5                                                                            6</t>
        </is>
      </c>
      <c r="Q44" s="193" t="n"/>
      <c r="R44" s="193" t="n"/>
      <c r="S44" s="193" t="n"/>
      <c r="T44" s="1268" t="n"/>
      <c r="AC44" s="228" t="n"/>
      <c r="AD44" s="225" t="n"/>
      <c r="AE44" s="227" t="n"/>
      <c r="AF44" s="227" t="n"/>
      <c r="AG44" s="229" t="n"/>
      <c r="AH44" s="108" t="n"/>
      <c r="AI44" s="109" t="n"/>
      <c r="AJ44" s="1262" t="n"/>
    </row>
    <row r="45" ht="16.5" customHeight="1" thickBot="1">
      <c r="D45" s="113" t="n"/>
      <c r="J45" s="1278" t="n"/>
      <c r="K45" s="115" t="n"/>
      <c r="M45" s="106" t="n"/>
      <c r="N45" s="112" t="n"/>
      <c r="O45" s="112" t="n"/>
      <c r="P45" s="1271" t="inlineStr">
        <is>
          <t>3                                                                            2                                                                            1</t>
        </is>
      </c>
      <c r="Q45" s="190" t="n"/>
      <c r="R45" s="190" t="n"/>
      <c r="S45" s="190" t="n"/>
      <c r="T45" s="209" t="n"/>
      <c r="AC45" s="228" t="n"/>
      <c r="AD45" s="225" t="n"/>
      <c r="AE45" s="227" t="n"/>
      <c r="AF45" s="227" t="n"/>
      <c r="AG45" s="229" t="n"/>
      <c r="AH45" s="108" t="n"/>
      <c r="AI45" s="109" t="n"/>
      <c r="AJ45" s="1262" t="n"/>
    </row>
    <row r="46" ht="18" customFormat="1" customHeight="1" s="118" thickBot="1">
      <c r="D46" s="1279" t="inlineStr">
        <is>
          <t>Clase de Instrumento</t>
        </is>
      </c>
      <c r="E46" s="1268" t="n"/>
      <c r="F46" s="1279" t="inlineStr">
        <is>
          <t>Escalones</t>
        </is>
      </c>
      <c r="G46" s="193" t="n"/>
      <c r="H46" s="193" t="n"/>
      <c r="I46" s="193" t="n"/>
      <c r="J46" s="1268" t="n"/>
      <c r="K46" s="116" t="n"/>
      <c r="L46" s="117" t="n"/>
      <c r="M46" s="117" t="n"/>
      <c r="N46" s="112" t="n"/>
      <c r="O46" s="112" t="n"/>
      <c r="P46" s="813" t="n"/>
      <c r="AC46" s="228" t="n"/>
      <c r="AD46" s="225" t="n"/>
      <c r="AE46" s="227" t="n"/>
      <c r="AF46" s="227" t="n"/>
      <c r="AG46" s="229" t="n"/>
      <c r="AH46" s="120" t="n"/>
      <c r="AI46" s="121" t="n"/>
      <c r="AJ46" s="1280" t="n"/>
      <c r="AK46" s="119" t="n"/>
    </row>
    <row r="47" ht="18" customFormat="1" customHeight="1" s="118">
      <c r="D47" s="123" t="inlineStr">
        <is>
          <t>I</t>
        </is>
      </c>
      <c r="E47" s="124">
        <f>IF(D47=J$17,"&lt;====","")</f>
        <v/>
      </c>
      <c r="F47" s="907" t="inlineStr">
        <is>
          <t>Hasta</t>
        </is>
      </c>
      <c r="G47" s="1233" t="n"/>
      <c r="H47" s="908" t="inlineStr">
        <is>
          <t>Error Máximo Tolerado</t>
        </is>
      </c>
      <c r="I47" s="1226" t="n"/>
      <c r="J47" s="1233" t="n"/>
      <c r="K47" s="116" t="n"/>
      <c r="L47" s="117" t="n"/>
      <c r="M47" s="117" t="n"/>
      <c r="N47" s="112" t="n"/>
      <c r="O47" s="112" t="n"/>
      <c r="P47" s="1275" t="inlineStr">
        <is>
          <t>3                                                                                                                                                         4</t>
        </is>
      </c>
      <c r="Q47" s="193" t="n"/>
      <c r="R47" s="193" t="n"/>
      <c r="S47" s="193" t="n"/>
      <c r="T47" s="1268" t="n"/>
      <c r="AC47" s="228" t="n"/>
      <c r="AD47" s="225" t="n"/>
      <c r="AE47" s="227" t="n"/>
      <c r="AF47" s="227" t="n"/>
      <c r="AG47" s="229" t="n"/>
      <c r="AH47" s="120" t="n"/>
      <c r="AI47" s="121" t="n"/>
      <c r="AJ47" s="1280" t="n"/>
      <c r="AK47" s="119" t="n"/>
    </row>
    <row r="48" ht="18" customFormat="1" customHeight="1" s="118" thickBot="1">
      <c r="D48" s="123" t="inlineStr">
        <is>
          <t>II</t>
        </is>
      </c>
      <c r="E48" s="124">
        <f>IF(D48=J$17,"&lt;====","")</f>
        <v/>
      </c>
      <c r="F48" s="125">
        <f>IF(ISNUMBER(E51),IF(J17=D50,10*E51,IF(J17=D49,50*E51,IF(J17=D48,50*E51,IF(J17=D47,50*E51,"")))),"")</f>
        <v/>
      </c>
      <c r="G48" s="126" t="inlineStr">
        <is>
          <t>kg</t>
        </is>
      </c>
      <c r="H48" s="127" t="n"/>
      <c r="I48" s="128" t="inlineStr">
        <is>
          <t>-----------</t>
        </is>
      </c>
      <c r="J48" s="129" t="inlineStr">
        <is>
          <t> </t>
        </is>
      </c>
      <c r="K48" s="116" t="n"/>
      <c r="L48" s="117" t="n"/>
      <c r="M48" s="117" t="n"/>
      <c r="N48" s="112" t="n"/>
      <c r="O48" s="112" t="n"/>
      <c r="P48" s="1271" t="inlineStr">
        <is>
          <t>2                                                                                                                                                         1</t>
        </is>
      </c>
      <c r="Q48" s="190" t="n"/>
      <c r="R48" s="190" t="n"/>
      <c r="S48" s="190" t="n"/>
      <c r="T48" s="209" t="n"/>
      <c r="AC48" s="228" t="n"/>
      <c r="AD48" s="225" t="n"/>
      <c r="AE48" s="227" t="n"/>
      <c r="AF48" s="227" t="n"/>
      <c r="AG48" s="229" t="n"/>
      <c r="AH48" s="120" t="n"/>
      <c r="AI48" s="121" t="n"/>
      <c r="AJ48" s="1280" t="n"/>
      <c r="AK48" s="119" t="n"/>
    </row>
    <row r="49" ht="18" customFormat="1" customHeight="1" s="118">
      <c r="D49" s="123" t="inlineStr">
        <is>
          <t>III</t>
        </is>
      </c>
      <c r="E49" s="124">
        <f>IF(D49=J$17,"&lt;====","")</f>
        <v/>
      </c>
      <c r="F49" s="130">
        <f>IF(ISNUMBER(E51),MIN(IF(J17=D50,50*E51,IF(J17=D49,500*E51,IF(J17=D48,5000*E51,IF(J17=D47,50000*E51,"")))),I18),"")</f>
        <v/>
      </c>
      <c r="G49" s="126" t="inlineStr">
        <is>
          <t>kg</t>
        </is>
      </c>
      <c r="H49" s="131" t="inlineStr">
        <is>
          <t>e =</t>
        </is>
      </c>
      <c r="I49" s="132">
        <f>IF(AND(ISNUMBER($E$51),ISNUMBER($L$14)),$E$51/$L$14,"")</f>
        <v/>
      </c>
      <c r="J49" s="133" t="inlineStr">
        <is>
          <t>kg</t>
        </is>
      </c>
      <c r="K49" s="116" t="n"/>
      <c r="L49" s="117" t="n"/>
      <c r="M49" s="117" t="n"/>
      <c r="N49" s="112" t="n"/>
      <c r="O49" s="112" t="n"/>
      <c r="P49" s="112" t="n"/>
      <c r="Q49" s="112" t="n"/>
      <c r="R49" s="112" t="n"/>
      <c r="S49" s="112" t="n"/>
      <c r="AC49" s="228" t="n"/>
      <c r="AD49" s="225" t="n"/>
      <c r="AE49" s="227" t="n"/>
      <c r="AF49" s="227" t="n"/>
      <c r="AG49" s="229" t="n"/>
      <c r="AH49" s="120" t="n"/>
      <c r="AI49" s="121" t="n"/>
      <c r="AJ49" s="1280" t="n"/>
      <c r="AK49" s="119" t="n"/>
    </row>
    <row r="50" ht="18" customFormat="1" customHeight="1" s="118">
      <c r="D50" s="123" t="inlineStr">
        <is>
          <t>IIII</t>
        </is>
      </c>
      <c r="E50" s="124">
        <f>IF(D50=J$17,"&lt;====","")</f>
        <v/>
      </c>
      <c r="F50" s="130">
        <f>IF(ISNUMBER(E51),MIN(IF(J17=D50,200*E51,IF(J17=D49,2000*E51,IF(J17=D48,20000*E51,IF(J17=D47,200000*E51,"")))),I18),"")</f>
        <v/>
      </c>
      <c r="G50" s="126" t="inlineStr">
        <is>
          <t>kg</t>
        </is>
      </c>
      <c r="H50" s="131" t="inlineStr">
        <is>
          <t>2 e =</t>
        </is>
      </c>
      <c r="I50" s="132">
        <f>IF(AND(ISNUMBER(E51),ISNUMBER($L$14)),2*$E$51/$L$14,"")</f>
        <v/>
      </c>
      <c r="J50" s="133" t="inlineStr">
        <is>
          <t>kg</t>
        </is>
      </c>
      <c r="K50" s="116" t="n"/>
      <c r="L50" s="117" t="n"/>
      <c r="M50" s="117" t="n"/>
      <c r="N50" s="112" t="n"/>
      <c r="O50" s="112" t="n"/>
      <c r="P50" s="112" t="n"/>
      <c r="Q50" s="112" t="n"/>
      <c r="R50" s="112" t="n"/>
      <c r="S50" s="112" t="n"/>
      <c r="AC50" s="228" t="n"/>
      <c r="AD50" s="225" t="n"/>
      <c r="AE50" s="227" t="n"/>
      <c r="AF50" s="227" t="n"/>
      <c r="AG50" s="229" t="n"/>
      <c r="AH50" s="120" t="n"/>
      <c r="AI50" s="121" t="n"/>
      <c r="AJ50" s="1280" t="n"/>
      <c r="AK50" s="119" t="n"/>
    </row>
    <row r="51" ht="18" customFormat="1" customHeight="1" s="118" thickBot="1">
      <c r="D51" s="134" t="inlineStr">
        <is>
          <t>e =</t>
        </is>
      </c>
      <c r="E51" s="135">
        <f>E18</f>
        <v/>
      </c>
      <c r="F51" s="136">
        <f>IF(ISNUMBER(I18),I18,"")</f>
        <v/>
      </c>
      <c r="G51" s="137" t="inlineStr">
        <is>
          <t>kg</t>
        </is>
      </c>
      <c r="H51" s="138" t="inlineStr">
        <is>
          <t>3 e =</t>
        </is>
      </c>
      <c r="I51" s="139">
        <f>IF(AND(ISNUMBER(E51),ISNUMBER($L$14)),3*$E$51/$L$14,"")</f>
        <v/>
      </c>
      <c r="J51" s="140" t="inlineStr">
        <is>
          <t>kg</t>
        </is>
      </c>
      <c r="K51" s="141" t="n"/>
      <c r="L51" s="117" t="n"/>
      <c r="M51" s="117" t="n"/>
      <c r="N51" s="112" t="n"/>
      <c r="O51" s="112" t="n"/>
      <c r="P51" s="112" t="n"/>
      <c r="Q51" s="112" t="n"/>
      <c r="R51" s="112" t="n"/>
      <c r="S51" s="112" t="n"/>
      <c r="AC51" s="228" t="n"/>
      <c r="AD51" s="225" t="n"/>
      <c r="AE51" s="227" t="n"/>
      <c r="AF51" s="227" t="n"/>
      <c r="AG51" s="229" t="n"/>
      <c r="AH51" s="120" t="n"/>
      <c r="AI51" s="121" t="n"/>
      <c r="AJ51" s="1280" t="n"/>
      <c r="AK51" s="119" t="n"/>
    </row>
    <row r="52" ht="12" customFormat="1" customHeight="1" s="118">
      <c r="D52" s="219" t="n"/>
      <c r="E52" s="220" t="n"/>
      <c r="F52" s="221" t="n"/>
      <c r="G52" s="222" t="n"/>
      <c r="H52" s="219" t="inlineStr">
        <is>
          <t>p</t>
        </is>
      </c>
      <c r="I52" s="223" t="n"/>
      <c r="J52" s="224" t="n"/>
      <c r="K52" s="141" t="n"/>
      <c r="L52" s="117" t="n"/>
      <c r="M52" s="117" t="n"/>
      <c r="N52" s="112" t="n"/>
      <c r="O52" s="112" t="n"/>
      <c r="P52" s="112" t="n"/>
      <c r="Q52" s="112" t="n"/>
      <c r="R52" s="112" t="n"/>
      <c r="S52" s="112" t="n"/>
      <c r="AC52" s="228" t="n"/>
      <c r="AD52" s="225" t="n"/>
      <c r="AE52" s="227" t="n"/>
      <c r="AF52" s="227" t="n"/>
      <c r="AG52" s="229" t="n"/>
      <c r="AH52" s="120" t="n"/>
      <c r="AI52" s="121" t="n"/>
      <c r="AJ52" s="1280" t="n"/>
      <c r="AK52" s="119" t="n"/>
    </row>
    <row r="53" ht="16.5" customHeight="1" thickBot="1">
      <c r="D53" s="142" t="n"/>
      <c r="E53" s="143" t="n"/>
      <c r="F53" s="144" t="n"/>
      <c r="G53" s="1097" t="n"/>
      <c r="H53" s="142" t="n"/>
      <c r="I53" s="145" t="n"/>
      <c r="N53" s="112" t="n"/>
      <c r="O53" s="112" t="n"/>
      <c r="P53" s="112" t="n"/>
      <c r="Q53" s="112" t="n"/>
      <c r="R53" s="112" t="n"/>
      <c r="S53" s="112" t="n"/>
      <c r="AC53" s="228" t="n"/>
      <c r="AD53" s="225" t="n"/>
      <c r="AE53" s="227" t="n"/>
      <c r="AF53" s="227" t="n"/>
      <c r="AG53" s="229" t="n"/>
      <c r="AH53" s="108" t="n"/>
      <c r="AI53" s="109" t="n"/>
      <c r="AJ53" s="1262" t="n"/>
    </row>
    <row r="54" ht="19.5" customFormat="1" customHeight="1" s="118">
      <c r="D54" s="1281" t="inlineStr">
        <is>
          <t>1 - VERIFICACIÓN DE LA INDICACIÓN DEL "CERO" DEL INSTRUMENTO (A.3.2.2. de la Resolución).</t>
        </is>
      </c>
      <c r="E54" s="193" t="n"/>
      <c r="F54" s="193" t="n"/>
      <c r="G54" s="193" t="n"/>
      <c r="H54" s="193" t="n"/>
      <c r="I54" s="193" t="n"/>
      <c r="J54" s="1268" t="n"/>
      <c r="K54" s="141" t="n"/>
      <c r="L54" s="117" t="n"/>
      <c r="M54" s="117" t="n"/>
      <c r="N54" s="112" t="n"/>
      <c r="O54" s="112" t="n"/>
      <c r="P54" s="112" t="n"/>
      <c r="Q54" s="112" t="n"/>
      <c r="R54" s="112" t="n"/>
      <c r="S54" s="112" t="n"/>
      <c r="AC54" s="228" t="n"/>
      <c r="AD54" s="225" t="n"/>
      <c r="AE54" s="227" t="n"/>
      <c r="AF54" s="227" t="n"/>
      <c r="AG54" s="229" t="n"/>
      <c r="AH54" s="120" t="n"/>
      <c r="AI54" s="121" t="n"/>
      <c r="AJ54" s="1280" t="n"/>
      <c r="AK54" s="119" t="n"/>
    </row>
    <row r="55" ht="19.5" customFormat="1" customHeight="1" s="118" thickBot="1">
      <c r="D55" s="1282" t="inlineStr">
        <is>
          <t>El instrumento parte de cero:</t>
        </is>
      </c>
      <c r="E55" s="1283" t="n"/>
      <c r="F55" s="484" t="inlineStr">
        <is>
          <t>SI</t>
        </is>
      </c>
      <c r="G55" s="899" t="n"/>
      <c r="J55" s="146" t="n"/>
      <c r="K55" s="141" t="n"/>
      <c r="L55" s="117" t="n"/>
      <c r="M55" s="117" t="n"/>
      <c r="N55" s="117" t="n"/>
      <c r="O55" s="117" t="n"/>
      <c r="P55" s="117" t="n"/>
      <c r="AC55" s="230" t="n"/>
      <c r="AD55" s="231" t="n"/>
      <c r="AE55" s="232" t="n"/>
      <c r="AF55" s="232" t="n"/>
      <c r="AG55" s="233" t="n"/>
      <c r="AH55" s="120" t="n"/>
      <c r="AI55" s="121" t="n"/>
      <c r="AJ55" s="1280" t="n"/>
      <c r="AK55" s="119" t="n"/>
    </row>
    <row r="56" ht="19.5" customFormat="1" customHeight="1" s="118">
      <c r="D56" s="1282" t="inlineStr">
        <is>
          <t xml:space="preserve">Efecto máximo del dispositivo </t>
        </is>
      </c>
      <c r="F56" s="1283" t="n"/>
      <c r="G56" s="84" t="inlineStr">
        <is>
          <t>NO SUPERA</t>
        </is>
      </c>
      <c r="H56" s="147" t="inlineStr">
        <is>
          <t>el 4%</t>
        </is>
      </c>
      <c r="I56" s="147" t="n"/>
      <c r="J56" s="148" t="n"/>
      <c r="K56" s="141" t="n"/>
      <c r="L56" s="117" t="n"/>
      <c r="M56" s="117" t="n"/>
      <c r="N56" s="117" t="n"/>
      <c r="O56" s="117" t="n"/>
      <c r="P56" s="117" t="n"/>
      <c r="AC56" s="87" t="n"/>
      <c r="AD56" s="87" t="n"/>
      <c r="AE56" s="747" t="inlineStr">
        <is>
          <t>VERIFICACIÓN PERIÓDICA</t>
        </is>
      </c>
      <c r="AF56" s="151" t="n">
        <v>1</v>
      </c>
      <c r="AG56" s="87" t="n"/>
      <c r="AH56" s="108" t="n"/>
      <c r="AI56" s="121" t="n"/>
      <c r="AJ56" s="1280" t="n"/>
      <c r="AK56" s="119" t="n"/>
    </row>
    <row r="57" ht="19.5" customFormat="1" customHeight="1" s="118" thickBot="1">
      <c r="D57" s="1284" t="inlineStr">
        <is>
          <t>“El efecto del dispositivo de puesta en cero debe ser como máximo igual al 4% de la cap máx ”</t>
        </is>
      </c>
      <c r="E57" s="190" t="n"/>
      <c r="F57" s="190" t="n"/>
      <c r="G57" s="190" t="n"/>
      <c r="H57" s="190" t="n"/>
      <c r="I57" s="190" t="n"/>
      <c r="J57" s="209" t="n"/>
      <c r="K57" s="141" t="n"/>
      <c r="L57" s="117" t="n"/>
      <c r="M57" s="117" t="n"/>
      <c r="N57" s="117" t="n"/>
      <c r="O57" s="117" t="n"/>
      <c r="P57" s="117" t="n"/>
      <c r="AC57" s="87" t="n"/>
      <c r="AD57" s="87" t="n"/>
      <c r="AE57" s="747" t="inlineStr">
        <is>
          <t>VERIFICACION PRIMITIVA</t>
        </is>
      </c>
      <c r="AF57" s="151" t="n">
        <v>2</v>
      </c>
      <c r="AG57" s="87" t="n"/>
      <c r="AH57" s="108" t="n"/>
      <c r="AI57" s="121" t="n"/>
      <c r="AJ57" s="1280" t="n"/>
      <c r="AK57" s="119" t="n"/>
    </row>
    <row r="58" ht="25.5" customHeight="1" thickBot="1">
      <c r="D58" s="142" t="n"/>
      <c r="E58" s="143" t="n"/>
      <c r="F58" s="144" t="n"/>
      <c r="G58" s="1097" t="n"/>
      <c r="H58" s="142" t="n"/>
      <c r="I58" s="145" t="n"/>
      <c r="AH58" s="108" t="n"/>
      <c r="AI58" s="109" t="n"/>
      <c r="AJ58" s="1262" t="n"/>
    </row>
    <row r="59" ht="39.75" customHeight="1" thickBot="1">
      <c r="B59">
        <f>IF(ISBLANK(G59),0,VLOOKUP(G59,$AE$59:$AH$61,4,FALSE))</f>
        <v/>
      </c>
      <c r="D59" s="1285" t="inlineStr">
        <is>
          <t>2 - MOVILIDAD - Instrumento de indicación o impresión :</t>
        </is>
      </c>
      <c r="E59" s="388" t="n"/>
      <c r="F59" s="389" t="n"/>
      <c r="G59" s="85" t="inlineStr">
        <is>
          <t>DISCONTINUA</t>
        </is>
      </c>
      <c r="H59" s="853" t="n"/>
      <c r="I59" s="388" t="n"/>
      <c r="J59" s="388" t="n"/>
      <c r="K59" s="389" t="n"/>
      <c r="L59" s="149" t="n"/>
      <c r="AE59" s="107" t="inlineStr">
        <is>
          <t>DISCONTINUA</t>
        </is>
      </c>
      <c r="AF59" s="87" t="inlineStr">
        <is>
          <t>SUPERA</t>
        </is>
      </c>
      <c r="AG59" s="87" t="inlineStr">
        <is>
          <t>SI</t>
        </is>
      </c>
      <c r="AH59" s="108" t="n">
        <v>1</v>
      </c>
      <c r="AI59" s="109" t="n"/>
      <c r="AJ59" s="1262" t="n"/>
    </row>
    <row r="60" ht="48" customHeight="1" thickBot="1">
      <c r="D60" s="201" t="inlineStr">
        <is>
          <t xml:space="preserve">MOVILIDAD </t>
        </is>
      </c>
      <c r="E60" s="197">
        <f>CONCATENATE("Carga aplicada ",IF(G59="discontinua","en equilibrio","")," (kg)")</f>
        <v/>
      </c>
      <c r="F60" s="196" t="inlineStr">
        <is>
          <t>Indicación 1
(kg)</t>
        </is>
      </c>
      <c r="G60" s="486">
        <f>IF(G59="discontinua","sobrecarga [1,4.dd]",IF(G59="continua","sobrecarga [EMT]",IF(G59="ENA","sobrecarga [0,4.EMT]","complete G59")))</f>
        <v/>
      </c>
      <c r="H60" s="196">
        <f>+IF(G59="discontinua","Indicación 2 
(kg)","")</f>
        <v/>
      </c>
      <c r="I60" s="196" t="inlineStr">
        <is>
          <t>Desplazamiento observado                    (kg)</t>
        </is>
      </c>
      <c r="J60" s="196" t="inlineStr">
        <is>
          <t>¿Movimiento visible?
(SI/NO)</t>
        </is>
      </c>
      <c r="K60" s="351" t="inlineStr">
        <is>
          <t>Cumple?</t>
        </is>
      </c>
      <c r="N60" s="718" t="inlineStr">
        <is>
          <t>EMT
 (kg)</t>
        </is>
      </c>
      <c r="AE60" s="107" t="inlineStr">
        <is>
          <t>CONTINUA</t>
        </is>
      </c>
      <c r="AF60" s="87" t="inlineStr">
        <is>
          <t>NO SUPERA</t>
        </is>
      </c>
      <c r="AG60" s="87" t="inlineStr">
        <is>
          <t>NO</t>
        </is>
      </c>
      <c r="AH60" s="108" t="n">
        <v>1</v>
      </c>
      <c r="AI60" s="109" t="n"/>
      <c r="AJ60" s="1262" t="n"/>
    </row>
    <row r="61" ht="18" customHeight="1">
      <c r="D61" s="242" t="inlineStr">
        <is>
          <t>Carga MÍNIMA</t>
        </is>
      </c>
      <c r="E61" s="198" t="n">
        <v>1000</v>
      </c>
      <c r="F61" s="194" t="n">
        <v>1000</v>
      </c>
      <c r="G61" s="719">
        <f>IF(ISNUMBER(E61),IF(G$59="discontinua",1.4*$G$18,IF(G$59="continua",N61,IF(G$59="ENA",0.4*N61,"Error"))),"")</f>
        <v/>
      </c>
      <c r="H61" s="194" t="n">
        <v>1020</v>
      </c>
      <c r="I61" s="194" t="n"/>
      <c r="J61" s="194" t="n"/>
      <c r="K61" s="195">
        <f>IF(ISNUMBER(E61),IF(G$59="discontinua",IF(ROUND(H61/$G$18,0)-ROUND(F61/$G$18,0)=ROUND(G$18/$G$18,0),"SI","NO"),IF(G$59="continua",IF(I61&gt;=0.7*N61,"SI","NO"),IF(G$59="ENA",J61,"ERROR"))),"")</f>
        <v/>
      </c>
      <c r="L61" s="1286" t="n"/>
      <c r="N61" s="646">
        <f>IF(ISNUMBER(E61),IF(E61&lt;=$F$49,I$49,IF(E61&lt;=$F$50,$I$50,$I$51)),0)</f>
        <v/>
      </c>
      <c r="AE61" s="107" t="inlineStr">
        <is>
          <t>ENA</t>
        </is>
      </c>
      <c r="AF61" s="87" t="inlineStr">
        <is>
          <t>X</t>
        </is>
      </c>
      <c r="AH61" s="108" t="n">
        <v>1</v>
      </c>
      <c r="AI61" s="109" t="n"/>
      <c r="AJ61" s="1262" t="n"/>
    </row>
    <row r="62" ht="18" customHeight="1">
      <c r="D62" s="243" t="inlineStr">
        <is>
          <t>Carga INTERMEDIA</t>
        </is>
      </c>
      <c r="E62" s="199" t="n">
        <v>22000</v>
      </c>
      <c r="F62" s="700" t="n">
        <v>22000</v>
      </c>
      <c r="G62" s="719">
        <f>IF(ISNUMBER(E62),IF(G$59="discontinua",1.4*$G$18,IF(G$59="continua",N62,IF(G$59="ENA",0.4*N62,"Error"))),"")</f>
        <v/>
      </c>
      <c r="H62" s="6" t="n">
        <v>22020</v>
      </c>
      <c r="I62" s="6" t="n"/>
      <c r="J62" s="6" t="n"/>
      <c r="K62" s="195">
        <f>IF(ISNUMBER(E62),IF(G$59="discontinua",IF(ROUND(H62/$G$18,0)-ROUND(F62/$G$18,0)=ROUND(G$18/$G$18,0),"SI","NO"),IF(G$59="continua",IF(I62&gt;=0.7*N62,"SI","NO"),IF(G$59="ENA",J62,"ERROR"))),"")</f>
        <v/>
      </c>
      <c r="N62" s="647">
        <f>IF(ISNUMBER(E62),IF(E62&lt;=$F$49,I$49,IF(E62&lt;=$F$50,$I$50,$I$51)),0)</f>
        <v/>
      </c>
      <c r="AE62" s="107" t="n"/>
      <c r="AH62" s="108" t="n"/>
      <c r="AI62" s="109" t="n"/>
      <c r="AJ62" s="1262" t="n"/>
    </row>
    <row r="63" ht="18" customHeight="1" thickBot="1">
      <c r="D63" s="244" t="inlineStr">
        <is>
          <t>Carga MÁXIMA</t>
        </is>
      </c>
      <c r="E63" s="200" t="n">
        <v>43540</v>
      </c>
      <c r="F63" s="701" t="n">
        <v>43540</v>
      </c>
      <c r="G63" s="720">
        <f>IF(ISNUMBER(E63),IF(G$59="discontinua",1.4*$G$18,IF(G$59="continua",N63,IF(G$59="ENA",0.4*N63,"Error"))),"")</f>
        <v/>
      </c>
      <c r="H63" s="51" t="n">
        <v>43560</v>
      </c>
      <c r="I63" s="51" t="n"/>
      <c r="J63" s="483" t="n"/>
      <c r="K63" s="195">
        <f>IF(ISNUMBER(E63),IF(G$59="discontinua",IF(ROUND(H63/$G$18,0)-ROUND(F63/$G$18,0)=ROUND(G$18/$G$18,0),"SI","NO"),IF(G$59="continua",IF(I63&gt;=0.7*N63,"SI","NO"),IF(G$59="ENA",J63,"ERROR"))),"")</f>
        <v/>
      </c>
      <c r="N63" s="648">
        <f>IF(ISNUMBER(E63),IF(E63&lt;=$F$49,I$49,IF(E63&lt;=$F$50,$I$50,$I$51)),0)</f>
        <v/>
      </c>
      <c r="AE63" s="107" t="n"/>
      <c r="AH63" s="108" t="n"/>
      <c r="AI63" s="109" t="n"/>
      <c r="AJ63" s="1262" t="n"/>
    </row>
    <row r="64" ht="24" customHeight="1">
      <c r="F64" s="618" t="n"/>
      <c r="J64" s="56" t="n"/>
      <c r="AE64" s="107" t="n"/>
      <c r="AF64" s="821" t="n"/>
      <c r="AH64" s="108" t="n"/>
      <c r="AI64" s="109" t="n"/>
      <c r="AJ64" s="1262" t="n"/>
    </row>
    <row r="65" ht="20.25" customHeight="1" thickBot="1">
      <c r="F65" s="617" t="n"/>
      <c r="J65" s="56" t="n"/>
      <c r="AE65" s="107" t="n"/>
      <c r="AF65" s="821" t="n"/>
      <c r="AH65" s="108" t="n"/>
      <c r="AI65" s="109" t="n"/>
      <c r="AJ65" s="1262" t="n"/>
    </row>
    <row r="66" ht="19.5" customHeight="1">
      <c r="D66" s="295" t="inlineStr">
        <is>
          <t>3 - EXCENTRICIDAD</t>
        </is>
      </c>
      <c r="E66" s="153" t="n"/>
      <c r="F66" s="153" t="n"/>
      <c r="G66" s="838" t="n"/>
      <c r="H66" s="193" t="n"/>
      <c r="I66" s="193" t="n"/>
      <c r="J66" s="193" t="n"/>
      <c r="K66" s="154" t="n"/>
      <c r="L66" s="112" t="n"/>
      <c r="M66" s="155" t="n"/>
      <c r="N66" s="112" t="n"/>
      <c r="O66" s="112" t="n"/>
      <c r="P66" s="112" t="n"/>
      <c r="AE66" s="107" t="n"/>
      <c r="AF66" s="821" t="n"/>
      <c r="AH66" s="1287" t="n"/>
      <c r="AI66" s="109" t="n"/>
      <c r="AJ66" s="1262" t="n"/>
    </row>
    <row r="67" ht="24" customHeight="1">
      <c r="D67" s="296" t="inlineStr">
        <is>
          <t>Cantidad de apoyos:</t>
        </is>
      </c>
      <c r="E67" s="473" t="n">
        <v>10</v>
      </c>
      <c r="F67" s="297" t="n"/>
      <c r="K67" s="299" t="n"/>
      <c r="L67" s="300" t="n"/>
      <c r="M67" s="301" t="n"/>
      <c r="N67" s="112" t="n"/>
      <c r="O67" s="112" t="n"/>
      <c r="P67" s="112" t="n"/>
      <c r="AC67" s="882" t="n"/>
      <c r="AD67" s="882" t="n"/>
      <c r="AE67" s="161" t="n"/>
      <c r="AF67" s="882" t="n"/>
      <c r="AG67" s="882" t="n"/>
      <c r="AH67" s="1287" t="n"/>
      <c r="AI67" s="109" t="n"/>
      <c r="AJ67" s="1262" t="n"/>
    </row>
    <row r="68" ht="17.25" customHeight="1" thickBot="1">
      <c r="D68" s="296" t="inlineStr">
        <is>
          <t>Carga aplicada:</t>
        </is>
      </c>
      <c r="E68" s="356" t="n">
        <v>6000</v>
      </c>
      <c r="F68" s="302" t="inlineStr">
        <is>
          <t>kg</t>
        </is>
      </c>
      <c r="G68" s="297" t="n"/>
      <c r="H68" s="297" t="n"/>
      <c r="I68" s="297" t="n"/>
      <c r="J68" s="298" t="n"/>
      <c r="K68" s="299" t="n"/>
      <c r="L68" s="300" t="n"/>
      <c r="M68" s="301" t="n"/>
      <c r="N68" s="112" t="n"/>
      <c r="O68" s="112" t="n"/>
      <c r="P68" s="156" t="n"/>
      <c r="Q68" s="157" t="n"/>
      <c r="R68" s="157" t="n"/>
      <c r="S68" s="157" t="n"/>
      <c r="T68" s="157" t="n"/>
      <c r="U68" s="157" t="n"/>
      <c r="AH68" s="1287" t="n"/>
      <c r="AI68" s="109" t="n"/>
      <c r="AJ68" s="1262" t="n"/>
    </row>
    <row r="69" ht="51" customFormat="1" customHeight="1" s="1097">
      <c r="D69" s="303" t="inlineStr">
        <is>
          <t>Punto de control</t>
        </is>
      </c>
      <c r="E69" s="304" t="inlineStr">
        <is>
          <t>Carga aplicada (kg)</t>
        </is>
      </c>
      <c r="F69" s="304" t="inlineStr">
        <is>
          <t>Indicación 
(kg)</t>
        </is>
      </c>
      <c r="G69" s="305" t="inlineStr">
        <is>
          <t>Sobrecarga         (kg)</t>
        </is>
      </c>
      <c r="H69" s="306" t="inlineStr">
        <is>
          <t>Valor Redondeado    (kg)</t>
        </is>
      </c>
      <c r="I69" s="304" t="inlineStr">
        <is>
          <t>Error max tolerado (kg)</t>
        </is>
      </c>
      <c r="J69" s="304" t="inlineStr">
        <is>
          <t>Error verificado (kg)</t>
        </is>
      </c>
      <c r="K69" s="347" t="inlineStr">
        <is>
          <t>¿cumple?</t>
        </is>
      </c>
      <c r="L69" s="345" t="inlineStr">
        <is>
          <t>Valores Iniciales   (kg)</t>
        </is>
      </c>
      <c r="M69" s="307" t="inlineStr">
        <is>
          <t>Diferencias Inicial-Final (kg)</t>
        </is>
      </c>
      <c r="N69" s="1146" t="n"/>
      <c r="P69" s="1109" t="n"/>
      <c r="R69" s="1288" t="n"/>
      <c r="T69" s="1114" t="n"/>
      <c r="AC69" s="87" t="n"/>
      <c r="AD69" s="87" t="n"/>
      <c r="AE69" s="87" t="n"/>
      <c r="AF69" s="87" t="n"/>
      <c r="AG69" s="87" t="n"/>
      <c r="AH69" s="162" t="n"/>
      <c r="AI69" s="163" t="n"/>
      <c r="AJ69" s="1289" t="n"/>
      <c r="AK69" s="882" t="n"/>
    </row>
    <row r="70" ht="15.75" customHeight="1">
      <c r="D70" s="308" t="n">
        <v>1</v>
      </c>
      <c r="E70" s="614">
        <f>IF(ISBLANK(F70),"",+E$68)</f>
        <v/>
      </c>
      <c r="F70" s="703" t="n">
        <v>6000</v>
      </c>
      <c r="G70" s="487">
        <f>IF('Identificación del Instrumento'!$F$17="PRIMITIVA","",IF(ISNUMBER(E70),IF($G$59="DISCONTINUA",$E$18/2,0),""))</f>
        <v/>
      </c>
      <c r="H70" s="615">
        <f>IF(ISNUMBER(F70)=TRUE,IF($G$59="DISCONTINUA",F70+$G$18/2-G70,F70-G70),"")</f>
        <v/>
      </c>
      <c r="I70" s="488">
        <f>IF(ISNUMBER(F70),IF(E70&lt;=$F$49,I$49,IF(E70&lt;=$F$50,$I$50,$I$51)),"")</f>
        <v/>
      </c>
      <c r="J70" s="616">
        <f>+IF(ISNUMBER(E70),IF('Identificación del Instrumento'!$B$17="PERIÓDICA",F70-E70,H70-E70),"")</f>
        <v/>
      </c>
      <c r="K70" s="489">
        <f>+IF(ISNUMBER(F70),IF(ABS(J70)&lt;=I70,0,1),"")</f>
        <v/>
      </c>
      <c r="L70" s="346" t="n">
        <v>0</v>
      </c>
      <c r="M70" s="309">
        <f>IF(COUNT(H70,L70)=2,H70-L70,"")</f>
        <v/>
      </c>
      <c r="N70" s="145" t="n"/>
      <c r="P70" s="112" t="n"/>
      <c r="AH70" s="108" t="n"/>
      <c r="AI70" s="109" t="n"/>
      <c r="AJ70" s="1262" t="n"/>
    </row>
    <row r="71" ht="15.75" customHeight="1">
      <c r="D71" s="308" t="n">
        <v>2</v>
      </c>
      <c r="E71" s="614">
        <f>IF(ISBLANK(F71),"",+E$68)</f>
        <v/>
      </c>
      <c r="F71" s="703" t="n">
        <v>6000</v>
      </c>
      <c r="G71" s="487">
        <f>IF('Identificación del Instrumento'!$F$17="PRIMITIVA","",IF(ISNUMBER(E71),IF($G$59="DISCONTINUA",$E$18/2,0),""))</f>
        <v/>
      </c>
      <c r="H71" s="615">
        <f>IF(ISNUMBER(F71)=TRUE,IF($G$59="DISCONTINUA",F71+$G$18/2-G71,F71-G71),"")</f>
        <v/>
      </c>
      <c r="I71" s="488">
        <f>IF(ISNUMBER(F71),IF(E71&lt;=$F$49,I$49,IF(E71&lt;=$F$50,$I$50,$I$51)),"")</f>
        <v/>
      </c>
      <c r="J71" s="616">
        <f>+IF(ISNUMBER(E71),IF('Identificación del Instrumento'!$B$17="PERIÓDICA",F71-E71,H71-E71),"")</f>
        <v/>
      </c>
      <c r="K71" s="489">
        <f>+IF(ISNUMBER(F71),IF(ABS(J71)&lt;=I71,0,1),"")</f>
        <v/>
      </c>
      <c r="L71" s="346" t="n">
        <v>0</v>
      </c>
      <c r="M71" s="309">
        <f>IF(COUNT(H71,L71)=2,H71-L71,"")</f>
        <v/>
      </c>
      <c r="N71" s="145" t="n"/>
      <c r="P71" s="165" t="n"/>
      <c r="Q71" s="166" t="n"/>
      <c r="R71" s="167" t="n"/>
      <c r="S71" s="168" t="n"/>
      <c r="T71" s="166" t="n"/>
      <c r="U71" s="167" t="n"/>
      <c r="V71" s="166" t="n"/>
      <c r="AI71" s="174" t="n"/>
      <c r="AJ71" s="1242" t="n"/>
    </row>
    <row r="72" ht="15.75" customHeight="1">
      <c r="D72" s="308" t="n">
        <v>3</v>
      </c>
      <c r="E72" s="614">
        <f>IF(ISBLANK(F72),"",+E$68)</f>
        <v/>
      </c>
      <c r="F72" s="703" t="n">
        <v>6000</v>
      </c>
      <c r="G72" s="487">
        <f>IF('Identificación del Instrumento'!$F$17="PRIMITIVA","",IF(ISNUMBER(E72),IF($G$59="DISCONTINUA",$E$18/2,0),""))</f>
        <v/>
      </c>
      <c r="H72" s="615">
        <f>IF(ISNUMBER(F72)=TRUE,IF($G$59="DISCONTINUA",F72+$G$18/2-G72,F72-G72),"")</f>
        <v/>
      </c>
      <c r="I72" s="488">
        <f>IF(ISNUMBER(F72),IF(E72&lt;=$F$49,I$49,IF(E72&lt;=$F$50,$I$50,$I$51)),"")</f>
        <v/>
      </c>
      <c r="J72" s="616">
        <f>+IF(ISNUMBER(E72),IF('Identificación del Instrumento'!$B$17="PERIÓDICA",F72-E72,H72-E72),"")</f>
        <v/>
      </c>
      <c r="K72" s="489">
        <f>+IF(ISNUMBER(F72),IF(ABS(J72)&lt;=I72,0,1),"")</f>
        <v/>
      </c>
      <c r="L72" s="346" t="n">
        <v>0</v>
      </c>
      <c r="M72" s="309">
        <f>IF(COUNT(H72,L72)=2,H72-L72,"")</f>
        <v/>
      </c>
      <c r="N72" s="145" t="n"/>
      <c r="P72" s="171" t="n"/>
      <c r="Q72" s="172" t="n"/>
      <c r="R72" s="173" t="n"/>
      <c r="S72" s="882" t="n"/>
      <c r="T72" s="882" t="n"/>
      <c r="U72" s="59" t="n"/>
      <c r="V72" s="145" t="n"/>
      <c r="AI72" s="174" t="n"/>
      <c r="AJ72" s="1242" t="n"/>
    </row>
    <row r="73" ht="15.75" customHeight="1">
      <c r="D73" s="308" t="n">
        <v>4</v>
      </c>
      <c r="E73" s="614">
        <f>IF(ISBLANK(F73),"",+E$68)</f>
        <v/>
      </c>
      <c r="F73" s="703" t="n">
        <v>6000</v>
      </c>
      <c r="G73" s="487">
        <f>IF('Identificación del Instrumento'!$F$17="PRIMITIVA","",IF(ISNUMBER(E73),IF($G$59="DISCONTINUA",$E$18/2,0),""))</f>
        <v/>
      </c>
      <c r="H73" s="615">
        <f>IF(ISNUMBER(F73)=TRUE,IF($G$59="DISCONTINUA",F73+$G$18/2-G73,F73-G73),"")</f>
        <v/>
      </c>
      <c r="I73" s="488">
        <f>IF(ISNUMBER(F73),IF(E73&lt;=$F$49,I$49,IF(E73&lt;=$F$50,$I$50,$I$51)),"")</f>
        <v/>
      </c>
      <c r="J73" s="616">
        <f>+IF(ISNUMBER(E73),IF('Identificación del Instrumento'!$B$17="PERIÓDICA",F73-E73,H73-E73),"")</f>
        <v/>
      </c>
      <c r="K73" s="489">
        <f>+IF(ISNUMBER(F73),IF(ABS(J73)&lt;=I73,0,1),"")</f>
        <v/>
      </c>
      <c r="L73" s="346" t="n">
        <v>0</v>
      </c>
      <c r="M73" s="309">
        <f>IF(COUNT(H73,L73)=2,H73-L73,"")</f>
        <v/>
      </c>
      <c r="N73" s="145" t="n"/>
      <c r="P73" s="171" t="n"/>
      <c r="Q73" s="172" t="n"/>
      <c r="R73" s="173" t="n"/>
      <c r="S73" s="882" t="n"/>
      <c r="T73" s="882" t="n"/>
      <c r="U73" s="59" t="n"/>
      <c r="V73" s="145" t="n"/>
      <c r="AI73" s="174" t="n"/>
      <c r="AJ73" s="1242" t="n"/>
    </row>
    <row r="74" ht="15.75" customHeight="1">
      <c r="D74" s="308" t="n">
        <v>5</v>
      </c>
      <c r="E74" s="614">
        <f>IF(ISBLANK(F74),"",+E$68)</f>
        <v/>
      </c>
      <c r="F74" s="703" t="n">
        <v>6000</v>
      </c>
      <c r="G74" s="487">
        <f>IF('Identificación del Instrumento'!$F$17="PRIMITIVA","",IF(ISNUMBER(E74),IF($G$59="DISCONTINUA",$E$18/2,0),""))</f>
        <v/>
      </c>
      <c r="H74" s="615">
        <f>IF(ISNUMBER(F74)=TRUE,IF($G$59="DISCONTINUA",F74+$G$18/2-G74,F74-G74),"")</f>
        <v/>
      </c>
      <c r="I74" s="488">
        <f>IF(ISNUMBER(F74),IF(E74&lt;=$F$49,I$49,IF(E74&lt;=$F$50,$I$50,$I$51)),"")</f>
        <v/>
      </c>
      <c r="J74" s="616">
        <f>+IF(ISNUMBER(E74),IF('Identificación del Instrumento'!$B$17="PERIÓDICA",F74-E74,H74-E74),"")</f>
        <v/>
      </c>
      <c r="K74" s="489">
        <f>+IF(ISNUMBER(F74),IF(ABS(J74)&lt;=I74,0,1),"")</f>
        <v/>
      </c>
      <c r="L74" s="346" t="n">
        <v>0</v>
      </c>
      <c r="M74" s="309">
        <f>IF(COUNT(H74,L74)=2,H74-L74,"")</f>
        <v/>
      </c>
      <c r="N74" s="145" t="n"/>
      <c r="P74" s="171" t="n"/>
      <c r="Q74" s="172" t="n"/>
      <c r="R74" s="173" t="n"/>
      <c r="S74" s="882" t="n"/>
      <c r="T74" s="882" t="n"/>
      <c r="U74" s="59" t="n"/>
      <c r="V74" s="145" t="n"/>
      <c r="AI74" s="174" t="n"/>
      <c r="AJ74" s="1242" t="n"/>
    </row>
    <row r="75" ht="15.75" customHeight="1">
      <c r="D75" s="308" t="n">
        <v>6</v>
      </c>
      <c r="E75" s="614">
        <f>IF(ISBLANK(F75),"",+E$68)</f>
        <v/>
      </c>
      <c r="F75" s="703" t="n">
        <v>6000</v>
      </c>
      <c r="G75" s="487">
        <f>IF('Identificación del Instrumento'!$F$17="PRIMITIVA","",IF(ISNUMBER(E75),IF($G$59="DISCONTINUA",$E$18/2,0),""))</f>
        <v/>
      </c>
      <c r="H75" s="615">
        <f>IF(ISNUMBER(F75)=TRUE,IF($G$59="DISCONTINUA",F75+$G$18/2-G75,F75-G75),"")</f>
        <v/>
      </c>
      <c r="I75" s="488">
        <f>IF(ISNUMBER(F75),IF(E75&lt;=$F$49,I$49,IF(E75&lt;=$F$50,$I$50,$I$51)),"")</f>
        <v/>
      </c>
      <c r="J75" s="616">
        <f>+IF(ISNUMBER(E75),IF('Identificación del Instrumento'!$B$17="PERIÓDICA",F75-E75,H75-E75),"")</f>
        <v/>
      </c>
      <c r="K75" s="489">
        <f>+IF(ISNUMBER(F75),IF(ABS(J75)&lt;=I75,0,1),"")</f>
        <v/>
      </c>
      <c r="L75" s="346" t="n">
        <v>0</v>
      </c>
      <c r="M75" s="309">
        <f>IF(COUNT(H75,L75)=2,H75-L75,"")</f>
        <v/>
      </c>
      <c r="N75" s="145" t="n"/>
      <c r="P75" s="171" t="n"/>
      <c r="Q75" s="172" t="n"/>
      <c r="R75" s="173" t="n"/>
      <c r="S75" s="882" t="n"/>
      <c r="T75" s="882" t="n"/>
      <c r="U75" s="59" t="n"/>
      <c r="V75" s="145" t="n"/>
      <c r="AI75" s="174" t="n"/>
      <c r="AJ75" s="1242" t="n"/>
    </row>
    <row r="76" ht="15.75" customHeight="1">
      <c r="D76" s="308" t="n">
        <v>7</v>
      </c>
      <c r="E76" s="614">
        <f>IF(ISBLANK(F76),"",+E$68)</f>
        <v/>
      </c>
      <c r="F76" s="703" t="n">
        <v>6000</v>
      </c>
      <c r="G76" s="487">
        <f>IF('Identificación del Instrumento'!$F$17="PRIMITIVA","",IF(ISNUMBER(E76),IF($G$59="DISCONTINUA",$E$18/2,0),""))</f>
        <v/>
      </c>
      <c r="H76" s="615">
        <f>IF(ISNUMBER(F76)=TRUE,IF($G$59="DISCONTINUA",F76+$G$18/2-G76,F76-G76),"")</f>
        <v/>
      </c>
      <c r="I76" s="488">
        <f>IF(ISNUMBER(F76),IF(E76&lt;=$F$49,I$49,IF(E76&lt;=$F$50,$I$50,$I$51)),"")</f>
        <v/>
      </c>
      <c r="J76" s="616">
        <f>+IF(ISNUMBER(E76),IF('Identificación del Instrumento'!$B$17="PERIÓDICA",F76-E76,H76-E76),"")</f>
        <v/>
      </c>
      <c r="K76" s="489">
        <f>+IF(ISNUMBER(F76),IF(ABS(J76)&lt;=I76,0,1),"")</f>
        <v/>
      </c>
      <c r="L76" s="346" t="n">
        <v>0</v>
      </c>
      <c r="M76" s="309">
        <f>IF(COUNT(H76,L76)=2,H76-L76,"")</f>
        <v/>
      </c>
      <c r="N76" s="145" t="n"/>
      <c r="P76" s="171" t="n"/>
      <c r="Q76" s="172" t="n"/>
      <c r="R76" s="173" t="n"/>
      <c r="S76" s="882" t="n"/>
      <c r="T76" s="882" t="n"/>
      <c r="U76" s="59" t="n"/>
      <c r="V76" s="145" t="n"/>
    </row>
    <row r="77" ht="15.75" customHeight="1">
      <c r="D77" s="308" t="n">
        <v>8</v>
      </c>
      <c r="E77" s="614">
        <f>IF(ISBLANK(F77),"",+E$68)</f>
        <v/>
      </c>
      <c r="F77" s="703" t="n">
        <v>6000</v>
      </c>
      <c r="G77" s="487">
        <f>IF('Identificación del Instrumento'!$F$17="PRIMITIVA","",IF(ISNUMBER(E77),IF($G$59="DISCONTINUA",$E$18/2,0),""))</f>
        <v/>
      </c>
      <c r="H77" s="615">
        <f>IF(ISNUMBER(F77)=TRUE,IF($G$59="DISCONTINUA",F77+$G$18/2-G77,F77-G77),"")</f>
        <v/>
      </c>
      <c r="I77" s="488">
        <f>IF(ISNUMBER(F77),IF(E77&lt;=$F$49,I$49,IF(E77&lt;=$F$50,$I$50,$I$51)),"")</f>
        <v/>
      </c>
      <c r="J77" s="616">
        <f>+IF(ISNUMBER(E77),IF('Identificación del Instrumento'!$B$17="PERIÓDICA",F77-E77,H77-E77),"")</f>
        <v/>
      </c>
      <c r="K77" s="489">
        <f>+IF(ISNUMBER(F77),IF(ABS(J77)&lt;=I77,0,1),"")</f>
        <v/>
      </c>
      <c r="L77" s="346" t="n">
        <v>0</v>
      </c>
      <c r="M77" s="309">
        <f>IF(COUNT(H77,L77)=2,H77-L77,"")</f>
        <v/>
      </c>
      <c r="N77" s="145" t="n"/>
      <c r="P77" s="112" t="n"/>
    </row>
    <row r="78" ht="15.75" customHeight="1">
      <c r="D78" s="308" t="n">
        <v>9</v>
      </c>
      <c r="E78" s="614">
        <f>IF(ISBLANK(F78),"",+E$68)</f>
        <v/>
      </c>
      <c r="F78" s="703" t="n">
        <v>6000</v>
      </c>
      <c r="G78" s="487">
        <f>IF('Identificación del Instrumento'!$F$17="PRIMITIVA","",IF(ISNUMBER(E78),IF($G$59="DISCONTINUA",$E$18/2,0),""))</f>
        <v/>
      </c>
      <c r="H78" s="615">
        <f>IF(ISNUMBER(F78)=TRUE,IF($G$59="DISCONTINUA",F78+$G$18/2-G78,F78-G78),"")</f>
        <v/>
      </c>
      <c r="I78" s="488">
        <f>IF(ISNUMBER(F78),IF(E78&lt;=$F$49,I$49,IF(E78&lt;=$F$50,$I$50,$I$51)),"")</f>
        <v/>
      </c>
      <c r="J78" s="616">
        <f>+IF(ISNUMBER(E78),IF('Identificación del Instrumento'!$B$17="PERIÓDICA",F78-E78,H78-E78),"")</f>
        <v/>
      </c>
      <c r="K78" s="489">
        <f>+IF(ISNUMBER(F78),IF(ABS(J78)&lt;=I78,0,1),"")</f>
        <v/>
      </c>
      <c r="L78" s="346" t="n">
        <v>0</v>
      </c>
      <c r="M78" s="310">
        <f>IF(COUNT(H78,L78)=2,H78-L78,"")</f>
        <v/>
      </c>
      <c r="N78" s="145" t="n"/>
      <c r="P78" s="112" t="n"/>
    </row>
    <row r="79" ht="15.75" customHeight="1">
      <c r="D79" s="308" t="n">
        <v>10</v>
      </c>
      <c r="E79" s="614">
        <f>IF(ISBLANK(F79),"",+E$68)</f>
        <v/>
      </c>
      <c r="F79" s="703" t="n">
        <v>6000</v>
      </c>
      <c r="G79" s="487">
        <f>IF('Identificación del Instrumento'!$F$17="PRIMITIVA","",IF(ISNUMBER(E79),IF($G$59="DISCONTINUA",$E$18/2,0),""))</f>
        <v/>
      </c>
      <c r="H79" s="615">
        <f>IF(ISNUMBER(F79)=TRUE,IF($G$59="DISCONTINUA",F79+$G$18/2-G79,F79-G79),"")</f>
        <v/>
      </c>
      <c r="I79" s="488">
        <f>IF(ISNUMBER(F79),IF(E79&lt;=$F$49,I$49,IF(E79&lt;=$F$50,$I$50,$I$51)),"")</f>
        <v/>
      </c>
      <c r="J79" s="616">
        <f>+IF(ISNUMBER(E79),IF('Identificación del Instrumento'!$B$17="PERIÓDICA",F79-E79,H79-E79),"")</f>
        <v/>
      </c>
      <c r="K79" s="489">
        <f>+IF(ISNUMBER(F79),IF(ABS(J79)&lt;=I79,0,1),"")</f>
        <v/>
      </c>
      <c r="L79" s="346" t="n">
        <v>0</v>
      </c>
      <c r="M79" s="310">
        <f>IF(COUNT(H79,L79)=2,H79-L79,"")</f>
        <v/>
      </c>
      <c r="N79" s="145" t="n"/>
      <c r="P79" s="112" t="n"/>
    </row>
    <row r="80" hidden="1" ht="15.75" customHeight="1">
      <c r="D80" s="308" t="n">
        <v>11</v>
      </c>
      <c r="E80" s="614">
        <f>IF(ISBLANK(F80),"",+E$68)</f>
        <v/>
      </c>
      <c r="F80" s="613" t="n"/>
      <c r="G80" s="487">
        <f>IF('Identificación del Instrumento'!$F$17="PRIMITIVA","",IF(ISNUMBER(E80),IF($G$59="DISCONTINUA",$E$18/2,0),""))</f>
        <v/>
      </c>
      <c r="H80" s="615">
        <f>IF(ISNUMBER(F80)=TRUE,IF($G$59="DISCONTINUA",F80+$G$18/2-G80,F80-G80),"")</f>
        <v/>
      </c>
      <c r="I80" s="488">
        <f>IF(ISNUMBER(F80),IF(E80&lt;=$F$49,I$49,IF(E80&lt;=$F$50,$I$50,$I$51)),"")</f>
        <v/>
      </c>
      <c r="J80" s="616">
        <f>+IF(ISNUMBER(E80),IF('Identificación del Instrumento'!$B$17="PERIÓDICA",F80-E80,H80-E80),"")</f>
        <v/>
      </c>
      <c r="K80" s="489">
        <f>+IF(ISNUMBER(F80),IF(ABS(J80)&lt;=I80,0,1),"")</f>
        <v/>
      </c>
      <c r="L80" s="428" t="n"/>
      <c r="M80" s="310">
        <f>IF(COUNT(H80,L80)=2,H80-L80,"")</f>
        <v/>
      </c>
      <c r="N80" s="145" t="n"/>
      <c r="P80" s="112" t="n"/>
    </row>
    <row r="81" hidden="1" ht="15.75" customHeight="1" thickBot="1">
      <c r="D81" s="308" t="n">
        <v>12</v>
      </c>
      <c r="E81" s="614">
        <f>IF(ISBLANK(F81),"",+E$68)</f>
        <v/>
      </c>
      <c r="F81" s="613" t="n"/>
      <c r="G81" s="487">
        <f>IF('Identificación del Instrumento'!$F$17="PRIMITIVA","",IF(ISNUMBER(E81),IF($G$59="DISCONTINUA",$E$18/2,0),""))</f>
        <v/>
      </c>
      <c r="H81" s="615">
        <f>IF(ISNUMBER(F81)=TRUE,IF($G$59="DISCONTINUA",F81+$G$18/2-G81,F81-G81),"")</f>
        <v/>
      </c>
      <c r="I81" s="488">
        <f>IF(ISNUMBER(F81),IF(E81&lt;=$F$49,I$49,IF(E81&lt;=$F$50,$I$50,$I$51)),"")</f>
        <v/>
      </c>
      <c r="J81" s="616">
        <f>+IF(ISNUMBER(E81),IF('Identificación del Instrumento'!$B$17="PERIÓDICA",F81-E81,H81-E81),"")</f>
        <v/>
      </c>
      <c r="K81" s="489">
        <f>+IF(ISNUMBER(F81),IF(ABS(J81)&lt;=I81,0,1),"")</f>
        <v/>
      </c>
      <c r="L81" s="425" t="n"/>
      <c r="M81" s="426">
        <f>IF(COUNT(H81,L81)=2,H81-L81,"")</f>
        <v/>
      </c>
      <c r="N81" s="145" t="n"/>
      <c r="P81" s="112" t="n"/>
    </row>
    <row r="82" ht="16.5" customHeight="1" thickBot="1">
      <c r="D82" s="843">
        <f>+IF(K82=0,"cumple excentricidad","¡no cumple excentricidad !")</f>
        <v/>
      </c>
      <c r="E82" s="190" t="n"/>
      <c r="F82" s="190" t="n"/>
      <c r="G82" s="190" t="n"/>
      <c r="H82" s="311" t="n"/>
      <c r="I82" s="427" t="n"/>
      <c r="J82" s="349" t="inlineStr">
        <is>
          <t>N° de No cumplimientos</t>
        </is>
      </c>
      <c r="K82" s="348">
        <f>IF('Identificación del Instrumento'!B22="Balanza de plataforma",IF(COUNT(K70:K81)=4,+SUM(K70:K81),1),IF('Identificación del Instrumento'!B22="Balanza tipo tolva",0,(IF(ISNUMBER(E67),IF(COUNT(K70:K81)=E67,+SUM(K70:K81),1),1))))</f>
        <v/>
      </c>
      <c r="L82" s="312" t="n"/>
      <c r="M82" s="344" t="n"/>
      <c r="P82" s="112" t="n"/>
    </row>
    <row r="83" ht="23.25" customHeight="1" thickBot="1">
      <c r="D83" s="313" t="n"/>
      <c r="E83" s="313" t="n"/>
      <c r="F83" s="313" t="n"/>
      <c r="G83" s="314" t="inlineStr">
        <is>
          <t xml:space="preserve">Suma Total de apoyos: </t>
        </is>
      </c>
      <c r="H83" s="315">
        <f>SUM(H70:H81)</f>
        <v/>
      </c>
      <c r="I83" s="316" t="n"/>
      <c r="J83" s="300" t="n"/>
      <c r="K83" s="301" t="n"/>
      <c r="L83" s="317">
        <f>SUM(L70:L79)</f>
        <v/>
      </c>
      <c r="M83" s="300" t="n"/>
      <c r="N83" s="112" t="n"/>
      <c r="O83" s="112" t="n"/>
      <c r="P83" s="112" t="n"/>
    </row>
    <row r="84" ht="27" customHeight="1" thickBot="1">
      <c r="D84" s="177" t="inlineStr">
        <is>
          <t>e=dd=</t>
        </is>
      </c>
      <c r="E84" s="485">
        <f>'Identificación del Instrumento'!D30</f>
        <v/>
      </c>
      <c r="F84" s="176" t="n"/>
      <c r="G84" s="314" t="inlineStr">
        <is>
          <t xml:space="preserve">Diferencia máxima entre apoyos: </t>
        </is>
      </c>
      <c r="H84" s="315">
        <f>MAX(H70:H79)-MIN(H70:H79)</f>
        <v/>
      </c>
      <c r="I84" s="56" t="n"/>
      <c r="J84" s="112" t="n"/>
      <c r="K84" s="155" t="n"/>
      <c r="L84" s="112" t="n"/>
      <c r="M84" s="112" t="n"/>
      <c r="N84" s="112" t="n"/>
      <c r="O84" s="112" t="n"/>
      <c r="P84" s="112" t="n"/>
    </row>
    <row r="85" ht="12.75" customHeight="1">
      <c r="D85" s="176" t="n"/>
      <c r="E85" s="176" t="n"/>
      <c r="F85" s="176" t="n"/>
      <c r="G85" s="176" t="n"/>
      <c r="H85" s="112" t="n"/>
      <c r="I85" s="56" t="n"/>
      <c r="J85" s="112" t="n"/>
      <c r="K85" s="155" t="n"/>
      <c r="L85" s="112" t="n"/>
      <c r="M85" s="112" t="n"/>
      <c r="N85" s="112" t="n"/>
      <c r="O85" s="112" t="n"/>
      <c r="P85" s="112" t="n"/>
    </row>
    <row r="86" ht="13.5" customHeight="1" thickBot="1">
      <c r="F86" s="178" t="n"/>
      <c r="G86" s="179" t="n"/>
      <c r="H86" s="180" t="n"/>
      <c r="I86" s="180" t="n"/>
      <c r="J86" s="180" t="n"/>
      <c r="K86" s="155" t="n"/>
      <c r="L86" s="180" t="n"/>
      <c r="M86" s="180" t="n"/>
      <c r="N86" s="180" t="n"/>
      <c r="O86" s="180" t="n"/>
      <c r="P86" s="180" t="n"/>
    </row>
    <row r="87" ht="39.75" customHeight="1" thickBot="1">
      <c r="D87" s="318" t="inlineStr">
        <is>
          <t>4.1 - FIDELIDAD I</t>
        </is>
      </c>
      <c r="E87" s="267" t="n"/>
      <c r="F87" s="352" t="inlineStr">
        <is>
          <t>Tolva</t>
        </is>
      </c>
      <c r="G87" s="85" t="inlineStr">
        <is>
          <t>Vacío</t>
        </is>
      </c>
      <c r="H87" s="353" t="inlineStr">
        <is>
          <t>Sentido</t>
        </is>
      </c>
      <c r="I87" s="270" t="inlineStr">
        <is>
          <t>Ingreso</t>
        </is>
      </c>
      <c r="J87" s="272" t="n"/>
      <c r="K87" s="273" t="n"/>
      <c r="L87" s="274" t="n"/>
      <c r="M87" s="274" t="n"/>
      <c r="N87" s="275" t="n"/>
      <c r="S87" s="1200" t="inlineStr">
        <is>
          <t>Cargado</t>
        </is>
      </c>
      <c r="T87" s="1200" t="inlineStr">
        <is>
          <t>Ingreso</t>
        </is>
      </c>
    </row>
    <row r="88" ht="15" customHeight="1">
      <c r="D88" s="276" t="n"/>
      <c r="E88" s="266" t="n"/>
      <c r="F88" s="266" t="inlineStr">
        <is>
          <t>Carga aproximada</t>
        </is>
      </c>
      <c r="G88" s="357">
        <f>IF(ISNUMBER(N96),AVERAGE(N91:N95),"")</f>
        <v/>
      </c>
      <c r="H88" s="271" t="inlineStr">
        <is>
          <t>kg</t>
        </is>
      </c>
      <c r="I88" s="265" t="n"/>
      <c r="J88" s="265" t="n"/>
      <c r="K88" s="277" t="n"/>
      <c r="L88" s="265" t="n"/>
      <c r="M88" s="265" t="n"/>
      <c r="N88" s="278" t="n"/>
      <c r="S88" s="1200" t="inlineStr">
        <is>
          <t>Vacío</t>
        </is>
      </c>
      <c r="T88" s="1200" t="inlineStr">
        <is>
          <t>Egreso</t>
        </is>
      </c>
    </row>
    <row r="89" ht="15" customHeight="1" thickBot="1">
      <c r="D89" s="276" t="n"/>
      <c r="E89" s="835" t="n"/>
      <c r="F89" s="835" t="inlineStr">
        <is>
          <t>Error tolerado:</t>
        </is>
      </c>
      <c r="G89" s="354">
        <f>IF(ISNUMBER(G88),IF(G88&lt;=$F$49,I$49,IF(G88&lt;=$F$50,$I$50,$I$51)),"")</f>
        <v/>
      </c>
      <c r="H89" s="271" t="inlineStr">
        <is>
          <t>kg</t>
        </is>
      </c>
      <c r="I89" s="265" t="n"/>
      <c r="J89" s="265" t="n"/>
      <c r="K89" s="277" t="n"/>
      <c r="L89" s="265" t="n"/>
      <c r="M89" s="265" t="n"/>
      <c r="N89" s="278" t="n"/>
    </row>
    <row r="90" ht="33.75" customHeight="1" thickBot="1">
      <c r="D90" s="261" t="inlineStr">
        <is>
          <t>Ciclo N°</t>
        </is>
      </c>
      <c r="E90" s="259" t="inlineStr">
        <is>
          <t>Cero Indicado Inicial (kg)</t>
        </is>
      </c>
      <c r="F90" s="408" t="inlineStr">
        <is>
          <t>Redondeo de Cero Inicial (kg)</t>
        </is>
      </c>
      <c r="G90" s="403" t="inlineStr">
        <is>
          <t>CERO CORREGIDO</t>
        </is>
      </c>
      <c r="H90" s="259" t="inlineStr">
        <is>
          <t>Carga Indicada (kg)</t>
        </is>
      </c>
      <c r="I90" s="408" t="inlineStr">
        <is>
          <t>Redondeo de Carga (kg)</t>
        </is>
      </c>
      <c r="J90" s="403" t="inlineStr">
        <is>
          <t>CARGA CORREGIDA</t>
        </is>
      </c>
      <c r="K90" s="409" t="inlineStr">
        <is>
          <t>Cero Indicado Final (kg)</t>
        </is>
      </c>
      <c r="L90" s="408" t="inlineStr">
        <is>
          <t>Redondeo de Cero Final (kg)</t>
        </is>
      </c>
      <c r="M90" s="260" t="inlineStr">
        <is>
          <t>CERO 2 CORREGIDO</t>
        </is>
      </c>
      <c r="N90" s="262" t="inlineStr">
        <is>
          <t>DIFERENCIA</t>
        </is>
      </c>
      <c r="O90" s="181" t="n"/>
      <c r="P90" s="40" t="n"/>
      <c r="Q90" s="31" t="n"/>
      <c r="AI90" s="87" t="n"/>
      <c r="AJ90" s="87" t="n"/>
      <c r="AL90" s="87" t="n"/>
      <c r="AM90" s="87" t="n"/>
      <c r="AN90" s="174" t="n"/>
      <c r="AO90" s="1242" t="n"/>
      <c r="AP90" s="87" t="n"/>
    </row>
    <row r="91" ht="15" customHeight="1" thickBot="1">
      <c r="D91" s="263" t="n">
        <v>1</v>
      </c>
      <c r="E91" s="490" t="n">
        <v>0</v>
      </c>
      <c r="F91" s="491">
        <f>IF(ISNUMBER(E91),IF('Identificación del Instrumento'!$F$17="PRIMITIVA","",IF($G$59="DISCONTINUA",$E$84/2,0)),"")</f>
        <v/>
      </c>
      <c r="G91" s="404">
        <f>IF(AND(ISNUMBER(F91),ISNUMBER(E91))=TRUE,IF($G$59="DISCONTINUA",E91+$E$84/2-F91,E91-F91),"")</f>
        <v/>
      </c>
      <c r="H91" s="663" t="n">
        <v>16900</v>
      </c>
      <c r="I91" s="664">
        <f>IF(ISNUMBER(H91),IF('Identificación del Instrumento'!$F$17="PRIMITIVA","",IF($G$59="DISCONTINUA",$E$84/2,0)),"")</f>
        <v/>
      </c>
      <c r="J91" s="404">
        <f>IF(AND(ISNUMBER(I91),ISNUMBER(H91))=TRUE,IF($G$59="DISCONTINUA",H91+$E$84/2-I91,H91-I91),"")</f>
        <v/>
      </c>
      <c r="K91" s="490" t="n">
        <v>0</v>
      </c>
      <c r="L91" s="410">
        <f>IF(ISNUMBER(K91),IF('Identificación del Instrumento'!$F$17="PRIMITIVA","",IF($G$59="DISCONTINUA",$E$84/2,0)),"")</f>
        <v/>
      </c>
      <c r="M91" s="412">
        <f>IF(AND(ISNUMBER(L91),ISNUMBER(K91))=TRUE,IF($G$59="DISCONTINUA",K91+$E$84/2-L91,K91-L91),"")</f>
        <v/>
      </c>
      <c r="N91" s="462">
        <f>IF(COUNT(G91,J91,M91)=3,-AVERAGE(G91,M91)+J91,"")</f>
        <v/>
      </c>
      <c r="O91" s="821" t="n"/>
      <c r="P91" s="40" t="n"/>
      <c r="Q91" s="31" t="n"/>
      <c r="AI91" s="87" t="n"/>
      <c r="AJ91" s="87" t="n"/>
      <c r="AL91" s="87" t="n"/>
      <c r="AM91" s="87" t="n"/>
      <c r="AN91" s="174" t="n"/>
      <c r="AO91" s="1242" t="n"/>
      <c r="AP91" s="87" t="n"/>
    </row>
    <row r="92" ht="15" customHeight="1" thickBot="1">
      <c r="D92" s="263" t="n">
        <v>2</v>
      </c>
      <c r="E92" s="455" t="n">
        <v>0</v>
      </c>
      <c r="F92" s="491">
        <f>IF(ISNUMBER(E92),IF('Identificación del Instrumento'!$F$17="PRIMITIVA","",IF($G$59="DISCONTINUA",$E$84/2,0)),"")</f>
        <v/>
      </c>
      <c r="G92" s="405">
        <f>IF(AND(ISNUMBER(F92),ISNUMBER(E92))=TRUE,IF($G$59="DISCONTINUA",E92+$E$84/2-F92,E92-F92),"")</f>
        <v/>
      </c>
      <c r="H92" s="663" t="n">
        <v>16900</v>
      </c>
      <c r="I92" s="491">
        <f>IF(ISNUMBER(H92),IF('Identificación del Instrumento'!$F$17="PRIMITIVA","",IF($G$59="DISCONTINUA",$E$84/2,0)),"")</f>
        <v/>
      </c>
      <c r="J92" s="405">
        <f>IF(AND(ISNUMBER(I92),ISNUMBER(H92))=TRUE,IF($G$59="DISCONTINUA",H92+$E$84/2-I92,H92-I92),"")</f>
        <v/>
      </c>
      <c r="K92" s="455" t="n">
        <v>0</v>
      </c>
      <c r="L92" s="410">
        <f>IF(ISNUMBER(K92),IF('Identificación del Instrumento'!$F$17="PRIMITIVA","",IF($G$59="DISCONTINUA",$E$84/2,0)),"")</f>
        <v/>
      </c>
      <c r="M92" s="413">
        <f>IF(AND(ISNUMBER(L92),ISNUMBER(K92))=TRUE,IF($G$59="DISCONTINUA",K92+$E$84/2-L92,K92-L92),"")</f>
        <v/>
      </c>
      <c r="N92" s="463">
        <f>IF(COUNT(G92,J92,M92)=3,-AVERAGE(G92,M92)+J92,"")</f>
        <v/>
      </c>
      <c r="O92" s="821" t="n"/>
      <c r="P92" s="40" t="n"/>
      <c r="Q92" s="31" t="n"/>
      <c r="AI92" s="87" t="n"/>
      <c r="AJ92" s="87" t="n"/>
      <c r="AL92" s="87" t="n"/>
      <c r="AM92" s="87" t="n"/>
      <c r="AN92" s="174" t="n"/>
      <c r="AO92" s="1242" t="n"/>
      <c r="AP92" s="87" t="n"/>
    </row>
    <row r="93" ht="15" customHeight="1" thickBot="1">
      <c r="D93" s="263" t="n">
        <v>3</v>
      </c>
      <c r="E93" s="455" t="n">
        <v>0</v>
      </c>
      <c r="F93" s="491">
        <f>IF(ISNUMBER(E93),IF('Identificación del Instrumento'!$F$17="PRIMITIVA","",IF($G$59="DISCONTINUA",$E$84/2,0)),"")</f>
        <v/>
      </c>
      <c r="G93" s="406">
        <f>IF(AND(ISNUMBER(F93),ISNUMBER(E93))=TRUE,IF($G$59="DISCONTINUA",E93+$E$84/2-F93,E93-F93),"")</f>
        <v/>
      </c>
      <c r="H93" s="663" t="n">
        <v>16900</v>
      </c>
      <c r="I93" s="491">
        <f>IF(ISNUMBER(H93),IF('Identificación del Instrumento'!$F$17="PRIMITIVA","",IF($G$59="DISCONTINUA",$E$84/2,0)),"")</f>
        <v/>
      </c>
      <c r="J93" s="405">
        <f>IF(AND(ISNUMBER(I93),ISNUMBER(H93))=TRUE,IF($G$59="DISCONTINUA",H93+$E$84/2-I93,H93-I93),"")</f>
        <v/>
      </c>
      <c r="K93" s="455" t="n">
        <v>0</v>
      </c>
      <c r="L93" s="410">
        <f>IF(ISNUMBER(K93),IF('Identificación del Instrumento'!$F$17="PRIMITIVA","",IF($G$59="DISCONTINUA",$E$84/2,0)),"")</f>
        <v/>
      </c>
      <c r="M93" s="413">
        <f>IF(AND(ISNUMBER(L93),ISNUMBER(K93))=TRUE,IF($G$59="DISCONTINUA",K93+$E$84/2-L93,K93-L93),"")</f>
        <v/>
      </c>
      <c r="N93" s="463">
        <f>IF(COUNT(G93,J93,M93)=3,-AVERAGE(G93,M93)+J93,"")</f>
        <v/>
      </c>
      <c r="O93" s="821" t="n"/>
      <c r="P93" s="40" t="n"/>
      <c r="Q93" s="31" t="n"/>
      <c r="AI93" s="87" t="n"/>
      <c r="AJ93" s="87" t="n"/>
      <c r="AL93" s="87" t="n"/>
      <c r="AM93" s="87" t="n"/>
      <c r="AN93" s="174" t="n"/>
      <c r="AO93" s="1242" t="n"/>
      <c r="AP93" s="87" t="n"/>
    </row>
    <row r="94" ht="15" customHeight="1" thickBot="1">
      <c r="D94" s="263" t="n">
        <v>4</v>
      </c>
      <c r="E94" s="455" t="n">
        <v>0</v>
      </c>
      <c r="F94" s="491">
        <f>IF(ISNUMBER(E94),IF('Identificación del Instrumento'!$F$17="PRIMITIVA","",IF($G$59="DISCONTINUA",$E$84/2,0)),"")</f>
        <v/>
      </c>
      <c r="G94" s="406">
        <f>IF(AND(ISNUMBER(F94),ISNUMBER(E94))=TRUE,IF($G$59="DISCONTINUA",E94+$E$84/2-F94,E94-F94),"")</f>
        <v/>
      </c>
      <c r="H94" s="663" t="n"/>
      <c r="I94" s="491">
        <f>IF(ISNUMBER(H94),IF('Identificación del Instrumento'!$F$17="PRIMITIVA","",IF($G$59="DISCONTINUA",$E$84/2,0)),"")</f>
        <v/>
      </c>
      <c r="J94" s="405">
        <f>IF(AND(ISNUMBER(I94),ISNUMBER(H94))=TRUE,IF($G$59="DISCONTINUA",H94+$E$84/2-I94,H94-I94),"")</f>
        <v/>
      </c>
      <c r="K94" s="455" t="n">
        <v>0</v>
      </c>
      <c r="L94" s="410">
        <f>IF(ISNUMBER(K94),IF('Identificación del Instrumento'!$F$17="PRIMITIVA","",IF($G$59="DISCONTINUA",$E$84/2,0)),"")</f>
        <v/>
      </c>
      <c r="M94" s="413">
        <f>IF(AND(ISNUMBER(L94),ISNUMBER(K94))=TRUE,IF($G$59="DISCONTINUA",K94+$E$84/2-L94,K94-L94),"")</f>
        <v/>
      </c>
      <c r="N94" s="463">
        <f>IF(COUNT(G94,J94,M94)=3,-AVERAGE(G94,M94)+J94,"")</f>
        <v/>
      </c>
      <c r="O94" s="821" t="n"/>
      <c r="P94" s="40" t="n"/>
      <c r="Q94" s="31" t="n"/>
      <c r="AI94" s="87" t="n"/>
      <c r="AJ94" s="87" t="n"/>
      <c r="AL94" s="87" t="n"/>
      <c r="AM94" s="87" t="n"/>
      <c r="AN94" s="174" t="n"/>
      <c r="AO94" s="1242" t="n"/>
      <c r="AP94" s="87" t="n"/>
    </row>
    <row r="95" ht="15" customHeight="1" thickBot="1">
      <c r="D95" s="263" t="n">
        <v>5</v>
      </c>
      <c r="E95" s="456" t="n">
        <v>0</v>
      </c>
      <c r="F95" s="470">
        <f>IF(ISNUMBER(E95),IF('Identificación del Instrumento'!$F$17="PRIMITIVA","",IF($G$59="DISCONTINUA",$E$84/2,0)),"")</f>
        <v/>
      </c>
      <c r="G95" s="407">
        <f>IF(AND(ISNUMBER(F95),ISNUMBER(E95))=TRUE,IF($G$59="DISCONTINUA",E95+$E$84/2-F95,E95-F95),"")</f>
        <v/>
      </c>
      <c r="H95" s="663" t="n"/>
      <c r="I95" s="411">
        <f>IF(ISNUMBER(H95),IF('Identificación del Instrumento'!$F$17="PRIMITIVA","",IF($G$59="DISCONTINUA",$E$84/2,0)),"")</f>
        <v/>
      </c>
      <c r="J95" s="407">
        <f>IF(AND(ISNUMBER(I95),ISNUMBER(H95))=TRUE,IF($G$59="DISCONTINUA",H95+$E$84/2-I95,H95-I95),"")</f>
        <v/>
      </c>
      <c r="K95" s="456" t="n">
        <v>0</v>
      </c>
      <c r="L95" s="411">
        <f>IF(ISNUMBER(K95),IF('Identificación del Instrumento'!$F$17="PRIMITIVA","",IF($G$59="DISCONTINUA",$E$84/2,0)),"")</f>
        <v/>
      </c>
      <c r="M95" s="414">
        <f>IF(AND(ISNUMBER(L95),ISNUMBER(K95))=TRUE,IF($G$59="DISCONTINUA",K95+$E$84/2-L95,K95-L95),"")</f>
        <v/>
      </c>
      <c r="N95" s="464">
        <f>IF(COUNT(G95,J95,M95)=3,-AVERAGE(G95,M95)+J95,"")</f>
        <v/>
      </c>
      <c r="O95" s="821" t="n"/>
      <c r="P95" s="40" t="n"/>
      <c r="Q95" s="31" t="n"/>
      <c r="AI95" s="87" t="n"/>
      <c r="AJ95" s="87" t="n"/>
      <c r="AL95" s="87" t="n"/>
      <c r="AM95" s="87" t="n"/>
      <c r="AN95" s="174" t="n"/>
      <c r="AO95" s="1242" t="n"/>
      <c r="AP95" s="87" t="n"/>
    </row>
    <row r="96" ht="16.5" customHeight="1" thickBot="1">
      <c r="D96" s="264" t="n"/>
      <c r="E96" s="265" t="n"/>
      <c r="F96" s="265" t="n"/>
      <c r="G96" s="265" t="n"/>
      <c r="H96" s="265" t="n"/>
      <c r="I96" s="265" t="n"/>
      <c r="J96" s="375" t="inlineStr">
        <is>
          <t>Desvío Standard</t>
        </is>
      </c>
      <c r="K96" s="402">
        <f>IF(ISNUMBER(STDEV(N91:N95)),STDEV(N91:N95),"")</f>
        <v/>
      </c>
      <c r="L96" s="846" t="inlineStr">
        <is>
          <t>Diferencia máx</t>
        </is>
      </c>
      <c r="M96" s="1290" t="n"/>
      <c r="N96" s="367">
        <f>IF(COUNT(N91:N95)&gt;=3,MAX(N91:N95)-MIN(N91:N95),"")</f>
        <v/>
      </c>
    </row>
    <row r="97" ht="15.75" customHeight="1" thickBot="1">
      <c r="D97" s="836">
        <f>+IF(N96&lt;=G89,"cumple fidelidad","no cumple fidelidad!")</f>
        <v/>
      </c>
      <c r="E97" s="190" t="n"/>
      <c r="F97" s="190" t="n"/>
      <c r="G97" s="190" t="n"/>
      <c r="H97" s="190" t="n"/>
      <c r="I97" s="190" t="n"/>
      <c r="J97" s="279" t="n"/>
      <c r="K97" s="280" t="n"/>
      <c r="L97" s="279" t="n"/>
      <c r="M97" s="369" t="inlineStr">
        <is>
          <t>Cumple?</t>
        </is>
      </c>
      <c r="N97" s="350">
        <f>IF(ISNUMBER(N96),IF(N96&lt;=G89,0,1),"")</f>
        <v/>
      </c>
    </row>
    <row r="98" ht="11.25" customHeight="1" thickBot="1">
      <c r="D98" s="86" t="n"/>
      <c r="E98" s="86" t="n"/>
      <c r="F98" s="86" t="n"/>
      <c r="G98" s="86" t="n"/>
      <c r="H98" s="86" t="n"/>
      <c r="I98" s="86" t="n"/>
      <c r="R98" s="86" t="inlineStr">
        <is>
          <t> </t>
        </is>
      </c>
      <c r="S98" s="86" t="n"/>
      <c r="T98" s="86" t="n"/>
      <c r="U98" s="86" t="n"/>
      <c r="V98" s="86" t="n"/>
      <c r="W98" s="86" t="n"/>
    </row>
    <row r="99" ht="30" customHeight="1" thickBot="1">
      <c r="D99" s="318" t="inlineStr">
        <is>
          <t>4.2 - FIDELIDAD II</t>
        </is>
      </c>
      <c r="E99" s="267" t="n"/>
      <c r="F99" s="268" t="inlineStr">
        <is>
          <t>Camión</t>
        </is>
      </c>
      <c r="G99" s="85" t="inlineStr">
        <is>
          <t>Vacío</t>
        </is>
      </c>
      <c r="H99" s="269" t="inlineStr">
        <is>
          <t>Sentido</t>
        </is>
      </c>
      <c r="I99" s="270" t="inlineStr">
        <is>
          <t>Egreso</t>
        </is>
      </c>
      <c r="J99" s="272" t="n"/>
      <c r="K99" s="273" t="n"/>
      <c r="L99" s="274" t="n"/>
      <c r="M99" s="274" t="n"/>
      <c r="N99" s="275" t="n"/>
      <c r="R99" s="86" t="n"/>
      <c r="S99" s="86" t="n"/>
      <c r="T99" s="86" t="n"/>
      <c r="U99" s="86" t="n"/>
      <c r="V99" s="86" t="n"/>
      <c r="W99" s="86" t="n"/>
    </row>
    <row r="100" ht="15" customHeight="1">
      <c r="D100" s="276" t="n"/>
      <c r="E100" s="266" t="n"/>
      <c r="F100" s="266" t="inlineStr">
        <is>
          <t>Carga aproximada</t>
        </is>
      </c>
      <c r="G100" s="357">
        <f>+G88</f>
        <v/>
      </c>
      <c r="H100" s="271" t="inlineStr">
        <is>
          <t>kg</t>
        </is>
      </c>
      <c r="I100" s="265" t="n"/>
      <c r="J100" s="265" t="n"/>
      <c r="K100" s="277" t="n"/>
      <c r="L100" s="265" t="n"/>
      <c r="M100" s="265" t="n"/>
      <c r="N100" s="278" t="n"/>
      <c r="R100" s="86" t="n"/>
      <c r="S100" s="86" t="n"/>
      <c r="T100" s="86" t="n"/>
      <c r="U100" s="86" t="n"/>
      <c r="V100" s="86" t="n"/>
      <c r="W100" s="86" t="n"/>
    </row>
    <row r="101" ht="15" customHeight="1" thickBot="1">
      <c r="D101" s="276" t="n"/>
      <c r="E101" s="835" t="inlineStr">
        <is>
          <t>Error tolerado:</t>
        </is>
      </c>
      <c r="G101" s="354">
        <f>IF(ISNUMBER(G100),IF(G100&lt;=$F$49,I$49,IF(G100&lt;=$F$50,$I$50,$I$51)),"")</f>
        <v/>
      </c>
      <c r="H101" s="271" t="inlineStr">
        <is>
          <t>kg</t>
        </is>
      </c>
      <c r="I101" s="265" t="n"/>
      <c r="J101" s="265" t="n"/>
      <c r="K101" s="277" t="n"/>
      <c r="L101" s="265" t="n"/>
      <c r="M101" s="265" t="n"/>
      <c r="N101" s="278" t="n"/>
      <c r="R101" s="86" t="n"/>
      <c r="S101" s="86" t="n"/>
      <c r="T101" s="86" t="n"/>
      <c r="U101" s="86" t="n"/>
      <c r="V101" s="86" t="n"/>
      <c r="W101" s="86" t="n"/>
    </row>
    <row r="102" ht="33" customHeight="1" thickBot="1">
      <c r="D102" s="261" t="inlineStr">
        <is>
          <t>Ciclo N°</t>
        </is>
      </c>
      <c r="E102" s="259" t="inlineStr">
        <is>
          <t>Cero Indicado Inicial (kg)</t>
        </is>
      </c>
      <c r="F102" s="408" t="inlineStr">
        <is>
          <t>Redondeo de Cero Inicial (kg)</t>
        </is>
      </c>
      <c r="G102" s="403" t="inlineStr">
        <is>
          <t>CERO CORREGIDO</t>
        </is>
      </c>
      <c r="H102" s="259" t="inlineStr">
        <is>
          <t>Carga Indicada (kg)</t>
        </is>
      </c>
      <c r="I102" s="408" t="inlineStr">
        <is>
          <t>Redondeo de Carga (kg)</t>
        </is>
      </c>
      <c r="J102" s="403" t="inlineStr">
        <is>
          <t>CARGA CORREGIDA</t>
        </is>
      </c>
      <c r="K102" s="409" t="inlineStr">
        <is>
          <t>Cero Indicado Final (kg)</t>
        </is>
      </c>
      <c r="L102" s="408" t="inlineStr">
        <is>
          <t>Redondeo de Cero Final (kg)</t>
        </is>
      </c>
      <c r="M102" s="260" t="inlineStr">
        <is>
          <t>CERO 2 CORREGIDO</t>
        </is>
      </c>
      <c r="N102" s="262" t="inlineStr">
        <is>
          <t>DIFERENCIA</t>
        </is>
      </c>
      <c r="R102" s="86" t="n"/>
      <c r="S102" s="86" t="n"/>
      <c r="T102" s="86" t="n"/>
      <c r="U102" s="86" t="n"/>
      <c r="V102" s="86" t="n"/>
      <c r="W102" s="86" t="n"/>
    </row>
    <row r="103" ht="15" customHeight="1" thickBot="1">
      <c r="D103" s="263" t="n">
        <v>1</v>
      </c>
      <c r="E103" s="490" t="n">
        <v>0</v>
      </c>
      <c r="F103" s="491">
        <f>IF(ISNUMBER(E103),IF('Identificación del Instrumento'!$F$17="PRIMITIVA","",IF($G$59="DISCONTINUA",$E$84/2,0)),"")</f>
        <v/>
      </c>
      <c r="G103" s="404">
        <f>IF(AND(ISNUMBER(F103),ISNUMBER(E103))=TRUE,IF($G$59="DISCONTINUA",E103+$E$84/2-F103,E103-F103),"")</f>
        <v/>
      </c>
      <c r="H103" s="663">
        <f>H91</f>
        <v/>
      </c>
      <c r="I103" s="664">
        <f>IF(ISNUMBER(H103),IF('Identificación del Instrumento'!$F$17="PRIMITIVA","",IF($G$59="DISCONTINUA",$E$84/2,0)),"")</f>
        <v/>
      </c>
      <c r="J103" s="404">
        <f>IF(AND(ISNUMBER(I103),ISNUMBER(H103))=TRUE,IF($G$59="DISCONTINUA",H103+$E$84/2-I103,H103-I103),"")</f>
        <v/>
      </c>
      <c r="K103" s="490" t="n">
        <v>0</v>
      </c>
      <c r="L103" s="410">
        <f>IF(ISNUMBER(K103),IF('Identificación del Instrumento'!$F$17="PRIMITIVA","",IF($G$59="DISCONTINUA",$E$84/2,0)),"")</f>
        <v/>
      </c>
      <c r="M103" s="412">
        <f>IF(AND(ISNUMBER(L103),ISNUMBER(K103))=TRUE,IF($G$59="DISCONTINUA",K103+$E$84/2-L103,K103-L103),"")</f>
        <v/>
      </c>
      <c r="N103" s="462">
        <f>IF(COUNT(G103,J103,M103)=3,-AVERAGE(G103,M103)+J103,"")</f>
        <v/>
      </c>
      <c r="R103" s="86" t="n"/>
      <c r="S103" s="86" t="n"/>
      <c r="T103" s="86" t="n"/>
      <c r="U103" s="86" t="n"/>
      <c r="V103" s="86" t="n"/>
      <c r="W103" s="86" t="n"/>
    </row>
    <row r="104" ht="15" customHeight="1" thickBot="1">
      <c r="D104" s="263" t="n">
        <v>2</v>
      </c>
      <c r="E104" s="455" t="n">
        <v>0</v>
      </c>
      <c r="F104" s="491">
        <f>IF(ISNUMBER(E104),IF('Identificación del Instrumento'!$F$17="PRIMITIVA","",IF($G$59="DISCONTINUA",$E$84/2,0)),"")</f>
        <v/>
      </c>
      <c r="G104" s="405">
        <f>IF(AND(ISNUMBER(F104),ISNUMBER(E104))=TRUE,IF($G$59="DISCONTINUA",E104+$E$84/2-F104,E104-F104),"")</f>
        <v/>
      </c>
      <c r="H104" s="663">
        <f>H92</f>
        <v/>
      </c>
      <c r="I104" s="491">
        <f>IF(ISNUMBER(H104),IF('Identificación del Instrumento'!$F$17="PRIMITIVA","",IF($G$59="DISCONTINUA",$E$84/2,0)),"")</f>
        <v/>
      </c>
      <c r="J104" s="405">
        <f>IF(AND(ISNUMBER(I104),ISNUMBER(H104))=TRUE,IF($G$59="DISCONTINUA",H104+$E$84/2-I104,H104-I104),"")</f>
        <v/>
      </c>
      <c r="K104" s="455" t="n">
        <v>0</v>
      </c>
      <c r="L104" s="410">
        <f>IF(ISNUMBER(K104),IF('Identificación del Instrumento'!$F$17="PRIMITIVA","",IF($G$59="DISCONTINUA",$E$84/2,0)),"")</f>
        <v/>
      </c>
      <c r="M104" s="413">
        <f>IF(AND(ISNUMBER(L104),ISNUMBER(K104))=TRUE,IF($G$59="DISCONTINUA",K104+$E$84/2-L104,K104-L104),"")</f>
        <v/>
      </c>
      <c r="N104" s="463">
        <f>IF(COUNT(G104,J104,M104)=3,-AVERAGE(G104,M104)+J104,"")</f>
        <v/>
      </c>
      <c r="R104" s="86" t="n"/>
      <c r="S104" s="86" t="n"/>
      <c r="T104" s="86" t="n"/>
      <c r="U104" s="86" t="n"/>
      <c r="V104" s="86" t="n"/>
      <c r="W104" s="86" t="n"/>
    </row>
    <row r="105" ht="15" customHeight="1" thickBot="1">
      <c r="D105" s="263" t="n">
        <v>3</v>
      </c>
      <c r="E105" s="455" t="n">
        <v>0</v>
      </c>
      <c r="F105" s="491">
        <f>IF(ISNUMBER(E105),IF('Identificación del Instrumento'!$F$17="PRIMITIVA","",IF($G$59="DISCONTINUA",$E$84/2,0)),"")</f>
        <v/>
      </c>
      <c r="G105" s="406">
        <f>IF(AND(ISNUMBER(F105),ISNUMBER(E105))=TRUE,IF($G$59="DISCONTINUA",E105+$E$84/2-F105,E105-F105),"")</f>
        <v/>
      </c>
      <c r="H105" s="663">
        <f>H93</f>
        <v/>
      </c>
      <c r="I105" s="491">
        <f>IF(ISNUMBER(H105),IF('Identificación del Instrumento'!$F$17="PRIMITIVA","",IF($G$59="DISCONTINUA",$E$84/2,0)),"")</f>
        <v/>
      </c>
      <c r="J105" s="405">
        <f>IF(AND(ISNUMBER(I105),ISNUMBER(H105))=TRUE,IF($G$59="DISCONTINUA",H105+$E$84/2-I105,H105-I105),"")</f>
        <v/>
      </c>
      <c r="K105" s="455" t="n">
        <v>0</v>
      </c>
      <c r="L105" s="410">
        <f>IF(ISNUMBER(K105),IF('Identificación del Instrumento'!$F$17="PRIMITIVA","",IF($G$59="DISCONTINUA",$E$84/2,0)),"")</f>
        <v/>
      </c>
      <c r="M105" s="413">
        <f>IF(AND(ISNUMBER(L105),ISNUMBER(K105))=TRUE,IF($G$59="DISCONTINUA",K105+$E$84/2-L105,K105-L105),"")</f>
        <v/>
      </c>
      <c r="N105" s="463">
        <f>IF(COUNT(G105,J105,M105)=3,-AVERAGE(G105,M105)+J105,"")</f>
        <v/>
      </c>
      <c r="R105" s="86" t="n"/>
      <c r="S105" s="86" t="n"/>
      <c r="T105" s="86" t="n"/>
      <c r="U105" s="86" t="n"/>
      <c r="V105" s="86" t="n"/>
      <c r="W105" s="86" t="n"/>
    </row>
    <row r="106" ht="15" customHeight="1" thickBot="1">
      <c r="D106" s="263" t="n">
        <v>4</v>
      </c>
      <c r="E106" s="455" t="n">
        <v>0</v>
      </c>
      <c r="F106" s="491">
        <f>IF(ISNUMBER(E106),IF('Identificación del Instrumento'!$F$17="PRIMITIVA","",IF($G$59="DISCONTINUA",$E$84/2,0)),"")</f>
        <v/>
      </c>
      <c r="G106" s="406">
        <f>IF(AND(ISNUMBER(F106),ISNUMBER(E106))=TRUE,IF($G$59="DISCONTINUA",E106+$E$84/2-F106,E106-F106),"")</f>
        <v/>
      </c>
      <c r="H106" s="663" t="n"/>
      <c r="I106" s="491">
        <f>IF(ISNUMBER(H106),IF('Identificación del Instrumento'!$F$17="PRIMITIVA","",IF($G$59="DISCONTINUA",$E$84/2,0)),"")</f>
        <v/>
      </c>
      <c r="J106" s="405">
        <f>IF(AND(ISNUMBER(I106),ISNUMBER(H106))=TRUE,IF($G$59="DISCONTINUA",H106+$E$84/2-I106,H106-I106),"")</f>
        <v/>
      </c>
      <c r="K106" s="455" t="n">
        <v>0</v>
      </c>
      <c r="L106" s="410">
        <f>IF(ISNUMBER(K106),IF('Identificación del Instrumento'!$F$17="PRIMITIVA","",IF($G$59="DISCONTINUA",$E$84/2,0)),"")</f>
        <v/>
      </c>
      <c r="M106" s="413">
        <f>IF(AND(ISNUMBER(L106),ISNUMBER(K106))=TRUE,IF($G$59="DISCONTINUA",K106+$E$84/2-L106,K106-L106),"")</f>
        <v/>
      </c>
      <c r="N106" s="463">
        <f>IF(COUNT(G106,J106,M106)=3,-AVERAGE(G106,M106)+J106,"")</f>
        <v/>
      </c>
      <c r="R106" s="86" t="n"/>
      <c r="S106" s="86" t="n"/>
      <c r="T106" s="86" t="n"/>
      <c r="U106" s="86" t="n"/>
      <c r="V106" s="86" t="n"/>
      <c r="W106" s="86" t="n"/>
    </row>
    <row r="107" ht="15" customHeight="1" thickBot="1">
      <c r="D107" s="263" t="n">
        <v>5</v>
      </c>
      <c r="E107" s="456" t="n">
        <v>0</v>
      </c>
      <c r="F107" s="470">
        <f>IF(ISNUMBER(E107),IF('Identificación del Instrumento'!$F$17="PRIMITIVA","",IF($G$59="DISCONTINUA",$E$84/2,0)),"")</f>
        <v/>
      </c>
      <c r="G107" s="407">
        <f>IF(AND(ISNUMBER(F107),ISNUMBER(E107))=TRUE,IF($G$59="DISCONTINUA",E107+$E$84/2-F107,E107-F107),"")</f>
        <v/>
      </c>
      <c r="H107" s="663" t="n"/>
      <c r="I107" s="470">
        <f>IF(ISNUMBER(H107),IF('Identificación del Instrumento'!$F$17="PRIMITIVA","",IF($G$59="DISCONTINUA",$E$84/2,0)),"")</f>
        <v/>
      </c>
      <c r="J107" s="407">
        <f>IF(AND(ISNUMBER(I107),ISNUMBER(H107))=TRUE,IF($G$59="DISCONTINUA",H107+$E$84/2-I107,H107-I107),"")</f>
        <v/>
      </c>
      <c r="K107" s="456" t="n">
        <v>0</v>
      </c>
      <c r="L107" s="411">
        <f>IF(ISNUMBER(K107),IF('Identificación del Instrumento'!$F$17="PRIMITIVA","",IF($G$59="DISCONTINUA",$E$84/2,0)),"")</f>
        <v/>
      </c>
      <c r="M107" s="414">
        <f>IF(AND(ISNUMBER(L107),ISNUMBER(K107))=TRUE,IF($G$59="DISCONTINUA",K107+$E$84/2-L107,K107-L107),"")</f>
        <v/>
      </c>
      <c r="N107" s="464">
        <f>IF(COUNT(G107,J107,M107)=3,-AVERAGE(G107,M107)+J107,"")</f>
        <v/>
      </c>
      <c r="R107" s="86" t="n"/>
      <c r="S107" s="86" t="n"/>
      <c r="T107" s="86" t="n"/>
      <c r="U107" s="86" t="n"/>
      <c r="V107" s="86" t="n"/>
      <c r="W107" s="86" t="n"/>
    </row>
    <row r="108" ht="15.75" customHeight="1" thickBot="1">
      <c r="D108" s="264" t="n"/>
      <c r="E108" s="265" t="n"/>
      <c r="F108" s="265" t="n"/>
      <c r="G108" s="265" t="n"/>
      <c r="H108" s="265" t="n"/>
      <c r="I108" s="265" t="n"/>
      <c r="J108" s="372" t="inlineStr">
        <is>
          <t>Desvío Standard</t>
        </is>
      </c>
      <c r="K108" s="368">
        <f>IF(ISNUMBER(STDEV(N103:N107)),STDEV(N103:N107),"")</f>
        <v/>
      </c>
      <c r="L108" s="834" t="inlineStr">
        <is>
          <t>Diferencia máx</t>
        </is>
      </c>
      <c r="M108" s="1233" t="n"/>
      <c r="N108" s="371">
        <f>IF(COUNT(N103:N107)&gt;=3,MAX(N103:N107)-MIN(N103:N107),"")</f>
        <v/>
      </c>
      <c r="R108" s="86" t="n"/>
      <c r="S108" s="86" t="n"/>
      <c r="T108" s="86" t="n"/>
      <c r="U108" s="86" t="n"/>
      <c r="V108" s="86" t="n"/>
      <c r="W108" s="86" t="n"/>
    </row>
    <row r="109" ht="15.75" customHeight="1" thickBot="1">
      <c r="D109" s="836">
        <f>+IF(N108&lt;=G101,"cumple fidelidad","no cumple fidelidad!")</f>
        <v/>
      </c>
      <c r="E109" s="190" t="n"/>
      <c r="F109" s="190" t="n"/>
      <c r="G109" s="190" t="n"/>
      <c r="H109" s="190" t="n"/>
      <c r="I109" s="190" t="n"/>
      <c r="J109" s="279" t="n"/>
      <c r="K109" s="280" t="n"/>
      <c r="L109" s="279" t="n"/>
      <c r="M109" s="369" t="inlineStr">
        <is>
          <t>Cumple?</t>
        </is>
      </c>
      <c r="N109" s="350">
        <f>IF(ISNUMBER(N108),IF(N108&lt;=G101,0,1),"")</f>
        <v/>
      </c>
      <c r="R109" s="86" t="n"/>
      <c r="S109" s="86" t="n"/>
      <c r="T109" s="86" t="n"/>
      <c r="U109" s="86" t="n"/>
      <c r="V109" s="86" t="n"/>
      <c r="W109" s="86" t="n"/>
    </row>
    <row r="110" ht="12" customHeight="1" thickBot="1">
      <c r="D110" s="86" t="n"/>
      <c r="E110" s="86" t="n"/>
      <c r="F110" s="86" t="n"/>
      <c r="G110" s="86" t="n"/>
      <c r="H110" s="86" t="n"/>
      <c r="I110" s="86" t="n"/>
      <c r="R110" s="86" t="n"/>
      <c r="S110" s="86" t="n"/>
      <c r="T110" s="86" t="n"/>
      <c r="U110" s="86" t="n"/>
      <c r="V110" s="86" t="n"/>
      <c r="W110" s="86" t="n"/>
    </row>
    <row r="111" ht="30" customHeight="1" thickBot="1">
      <c r="D111" s="318" t="inlineStr">
        <is>
          <t>4.3 - FIDELIDAD III</t>
        </is>
      </c>
      <c r="E111" s="267" t="n"/>
      <c r="F111" s="268" t="inlineStr">
        <is>
          <t>Camión</t>
        </is>
      </c>
      <c r="G111" s="85" t="inlineStr">
        <is>
          <t>Cargado</t>
        </is>
      </c>
      <c r="H111" s="269" t="inlineStr">
        <is>
          <t>Sentido</t>
        </is>
      </c>
      <c r="I111" s="270" t="inlineStr">
        <is>
          <t>Ingreso</t>
        </is>
      </c>
      <c r="J111" s="272" t="n"/>
      <c r="K111" s="273" t="n"/>
      <c r="L111" s="274" t="n"/>
      <c r="M111" s="274" t="n"/>
      <c r="N111" s="275" t="n"/>
    </row>
    <row r="112" ht="15" customHeight="1">
      <c r="D112" s="276" t="n"/>
      <c r="E112" s="266" t="n"/>
      <c r="F112" s="266" t="inlineStr">
        <is>
          <t>Carga aproximada</t>
        </is>
      </c>
      <c r="G112" s="357" t="n">
        <v>36540</v>
      </c>
      <c r="H112" s="271" t="inlineStr">
        <is>
          <t>kg</t>
        </is>
      </c>
      <c r="I112" s="265" t="n"/>
      <c r="J112" s="265" t="n"/>
      <c r="K112" s="277" t="n"/>
      <c r="L112" s="265" t="n"/>
      <c r="M112" s="265" t="n"/>
      <c r="N112" s="278" t="n"/>
    </row>
    <row r="113" ht="15" customHeight="1" thickBot="1">
      <c r="D113" s="276" t="n"/>
      <c r="E113" s="835" t="inlineStr">
        <is>
          <t>Error tolerado:</t>
        </is>
      </c>
      <c r="G113" s="354">
        <f>IF(ISNUMBER(G112),IF(G112&lt;=$F$49,I$49,IF(G112&lt;=$F$50,$I$50,$I$51)),"")</f>
        <v/>
      </c>
      <c r="H113" s="271" t="n"/>
      <c r="I113" s="265" t="n"/>
      <c r="J113" s="265" t="n"/>
      <c r="K113" s="277" t="n"/>
      <c r="L113" s="265" t="n"/>
      <c r="M113" s="265" t="n"/>
      <c r="N113" s="278" t="n"/>
    </row>
    <row r="114" ht="33" customHeight="1" thickBot="1">
      <c r="D114" s="261" t="inlineStr">
        <is>
          <t>Ciclo N°</t>
        </is>
      </c>
      <c r="E114" s="259" t="inlineStr">
        <is>
          <t>Cero Indicado Inicial (kg)</t>
        </is>
      </c>
      <c r="F114" s="408" t="inlineStr">
        <is>
          <t>Redondeo de Cero Inicial (kg)</t>
        </is>
      </c>
      <c r="G114" s="403" t="inlineStr">
        <is>
          <t>CERO CORREGIDO</t>
        </is>
      </c>
      <c r="H114" s="259" t="inlineStr">
        <is>
          <t>Carga Indicada (kg)</t>
        </is>
      </c>
      <c r="I114" s="408" t="inlineStr">
        <is>
          <t>Redondeo de Carga (kg)</t>
        </is>
      </c>
      <c r="J114" s="403" t="inlineStr">
        <is>
          <t>CARGA CORREGIDA</t>
        </is>
      </c>
      <c r="K114" s="409" t="inlineStr">
        <is>
          <t>Cero Indicado Final (kg)</t>
        </is>
      </c>
      <c r="L114" s="408" t="inlineStr">
        <is>
          <t>Redondeo de Cero Final (kg)</t>
        </is>
      </c>
      <c r="M114" s="260" t="inlineStr">
        <is>
          <t>CERO 2 CORREGIDO</t>
        </is>
      </c>
      <c r="N114" s="262" t="inlineStr">
        <is>
          <t>DIFERENCIA</t>
        </is>
      </c>
    </row>
    <row r="115" ht="15" customHeight="1" thickBot="1">
      <c r="D115" s="263" t="n">
        <v>1</v>
      </c>
      <c r="E115" s="490" t="n">
        <v>0</v>
      </c>
      <c r="F115" s="491">
        <f>IF(ISNUMBER(E115),IF('Identificación del Instrumento'!$F$17="PRIMITIVA","",IF($G$59="DISCONTINUA",$E$84/2,0)),"")</f>
        <v/>
      </c>
      <c r="G115" s="404">
        <f>IF(AND(ISNUMBER(F115),ISNUMBER(E115))=TRUE,IF($G$59="DISCONTINUA",E115+$E$84/2-F115,E115-F115),"")</f>
        <v/>
      </c>
      <c r="H115" s="663" t="n">
        <v>39440</v>
      </c>
      <c r="I115" s="664">
        <f>IF(ISNUMBER(H115),IF('Identificación del Instrumento'!$F$17="PRIMITIVA","",IF($G$59="DISCONTINUA",$E$84/2,0)),"")</f>
        <v/>
      </c>
      <c r="J115" s="404">
        <f>IF(AND(ISNUMBER(I115),ISNUMBER(H115))=TRUE,IF($G$59="DISCONTINUA",H115+$E$84/2-I115,H115-I115),"")</f>
        <v/>
      </c>
      <c r="K115" s="490" t="n">
        <v>0</v>
      </c>
      <c r="L115" s="410">
        <f>IF(ISNUMBER(K115),IF('Identificación del Instrumento'!$F$17="PRIMITIVA","",IF($G$59="DISCONTINUA",$E$84/2,0)),"")</f>
        <v/>
      </c>
      <c r="M115" s="412">
        <f>IF(AND(ISNUMBER(L115),ISNUMBER(K115))=TRUE,IF($G$59="DISCONTINUA",K115+$E$84/2-L115,K115-L115),"")</f>
        <v/>
      </c>
      <c r="N115" s="462">
        <f>IF(COUNT(G115,J115,M115)=3,-AVERAGE(G115,M115)+J115,"")</f>
        <v/>
      </c>
    </row>
    <row r="116" ht="15" customHeight="1" thickBot="1">
      <c r="D116" s="263" t="n">
        <v>2</v>
      </c>
      <c r="E116" s="455" t="n">
        <v>0</v>
      </c>
      <c r="F116" s="491">
        <f>IF(ISNUMBER(E116),IF('Identificación del Instrumento'!$F$17="PRIMITIVA","",IF($G$59="DISCONTINUA",$E$84/2,0)),"")</f>
        <v/>
      </c>
      <c r="G116" s="405">
        <f>IF(AND(ISNUMBER(F116),ISNUMBER(E116))=TRUE,IF($G$59="DISCONTINUA",E116+$E$84/2-F116,E116-F116),"")</f>
        <v/>
      </c>
      <c r="H116" s="663" t="n">
        <v>39440</v>
      </c>
      <c r="I116" s="491">
        <f>IF(ISNUMBER(H116),IF('Identificación del Instrumento'!$F$17="PRIMITIVA","",IF($G$59="DISCONTINUA",$E$84/2,0)),"")</f>
        <v/>
      </c>
      <c r="J116" s="405">
        <f>IF(AND(ISNUMBER(I116),ISNUMBER(H116))=TRUE,IF($G$59="DISCONTINUA",H116+$E$84/2-I116,H116-I116),"")</f>
        <v/>
      </c>
      <c r="K116" s="455" t="n">
        <v>0</v>
      </c>
      <c r="L116" s="410">
        <f>IF(ISNUMBER(K116),IF('Identificación del Instrumento'!$F$17="PRIMITIVA","",IF($G$59="DISCONTINUA",$E$84/2,0)),"")</f>
        <v/>
      </c>
      <c r="M116" s="413">
        <f>IF(AND(ISNUMBER(L116),ISNUMBER(K116))=TRUE,IF($G$59="DISCONTINUA",K116+$E$84/2-L116,K116-L116),"")</f>
        <v/>
      </c>
      <c r="N116" s="463">
        <f>IF(COUNT(G116,J116,M116)=3,-AVERAGE(G116,M116)+J116,"")</f>
        <v/>
      </c>
    </row>
    <row r="117" ht="15" customHeight="1" thickBot="1">
      <c r="D117" s="263" t="n">
        <v>3</v>
      </c>
      <c r="E117" s="455" t="n">
        <v>0</v>
      </c>
      <c r="F117" s="491">
        <f>IF(ISNUMBER(E117),IF('Identificación del Instrumento'!$F$17="PRIMITIVA","",IF($G$59="DISCONTINUA",$E$84/2,0)),"")</f>
        <v/>
      </c>
      <c r="G117" s="406">
        <f>IF(AND(ISNUMBER(F117),ISNUMBER(E117))=TRUE,IF($G$59="DISCONTINUA",E117+$E$84/2-F117,E117-F117),"")</f>
        <v/>
      </c>
      <c r="H117" s="663" t="n">
        <v>39440</v>
      </c>
      <c r="I117" s="491">
        <f>IF(ISNUMBER(H117),IF('Identificación del Instrumento'!$F$17="PRIMITIVA","",IF($G$59="DISCONTINUA",$E$84/2,0)),"")</f>
        <v/>
      </c>
      <c r="J117" s="405">
        <f>IF(AND(ISNUMBER(I117),ISNUMBER(H117))=TRUE,IF($G$59="DISCONTINUA",H117+$E$84/2-I117,H117-I117),"")</f>
        <v/>
      </c>
      <c r="K117" s="455" t="n">
        <v>0</v>
      </c>
      <c r="L117" s="410">
        <f>IF(ISNUMBER(K117),IF('Identificación del Instrumento'!$F$17="PRIMITIVA","",IF($G$59="DISCONTINUA",$E$84/2,0)),"")</f>
        <v/>
      </c>
      <c r="M117" s="413">
        <f>IF(AND(ISNUMBER(L117),ISNUMBER(K117))=TRUE,IF($G$59="DISCONTINUA",K117+$E$84/2-L117,K117-L117),"")</f>
        <v/>
      </c>
      <c r="N117" s="463">
        <f>IF(COUNT(G117,J117,M117)=3,-AVERAGE(G117,M117)+J117,"")</f>
        <v/>
      </c>
    </row>
    <row r="118" ht="15" customHeight="1" thickBot="1">
      <c r="D118" s="263" t="n">
        <v>4</v>
      </c>
      <c r="E118" s="455" t="n">
        <v>0</v>
      </c>
      <c r="F118" s="491">
        <f>IF(ISNUMBER(E118),IF('Identificación del Instrumento'!$F$17="PRIMITIVA","",IF($G$59="DISCONTINUA",$E$84/2,0)),"")</f>
        <v/>
      </c>
      <c r="G118" s="406">
        <f>IF(AND(ISNUMBER(F118),ISNUMBER(E118))=TRUE,IF($G$59="DISCONTINUA",E118+$E$84/2-F118,E118-F118),"")</f>
        <v/>
      </c>
      <c r="H118" s="663" t="n"/>
      <c r="I118" s="491">
        <f>IF(ISNUMBER(H118),IF('Identificación del Instrumento'!$F$17="PRIMITIVA","",IF($G$59="DISCONTINUA",$E$84/2,0)),"")</f>
        <v/>
      </c>
      <c r="J118" s="405">
        <f>IF(AND(ISNUMBER(I118),ISNUMBER(H118))=TRUE,IF($G$59="DISCONTINUA",H118+$E$84/2-I118,H118-I118),"")</f>
        <v/>
      </c>
      <c r="K118" s="455" t="n">
        <v>0</v>
      </c>
      <c r="L118" s="410">
        <f>IF(ISNUMBER(K118),IF('Identificación del Instrumento'!$F$17="PRIMITIVA","",IF($G$59="DISCONTINUA",$E$84/2,0)),"")</f>
        <v/>
      </c>
      <c r="M118" s="413">
        <f>IF(AND(ISNUMBER(L118),ISNUMBER(K118))=TRUE,IF($G$59="DISCONTINUA",K118+$E$84/2-L118,K118-L118),"")</f>
        <v/>
      </c>
      <c r="N118" s="463">
        <f>IF(COUNT(G118,J118,M118)=3,-AVERAGE(G118,M118)+J118,"")</f>
        <v/>
      </c>
    </row>
    <row r="119" ht="15" customHeight="1" thickBot="1">
      <c r="D119" s="263" t="n">
        <v>5</v>
      </c>
      <c r="E119" s="456" t="n">
        <v>0</v>
      </c>
      <c r="F119" s="470">
        <f>IF(ISNUMBER(E119),IF('Identificación del Instrumento'!$F$17="PRIMITIVA","",IF($G$59="DISCONTINUA",$E$84/2,0)),"")</f>
        <v/>
      </c>
      <c r="G119" s="407">
        <f>IF(AND(ISNUMBER(F119),ISNUMBER(E119))=TRUE,IF($G$59="DISCONTINUA",E119+$E$84/2-F119,E119-F119),"")</f>
        <v/>
      </c>
      <c r="H119" s="663" t="n"/>
      <c r="I119" s="411">
        <f>IF(ISNUMBER(H119),IF('Identificación del Instrumento'!$F$17="PRIMITIVA","",IF($G$59="DISCONTINUA",$E$84/2,0)),"")</f>
        <v/>
      </c>
      <c r="J119" s="407">
        <f>IF(AND(ISNUMBER(I119),ISNUMBER(H119))=TRUE,IF($G$59="DISCONTINUA",H119+$E$84/2-I119,H119-I119),"")</f>
        <v/>
      </c>
      <c r="K119" s="456" t="n">
        <v>0</v>
      </c>
      <c r="L119" s="411">
        <f>IF(ISNUMBER(K119),IF('Identificación del Instrumento'!$F$17="PRIMITIVA","",IF($G$59="DISCONTINUA",$E$84/2,0)),"")</f>
        <v/>
      </c>
      <c r="M119" s="414">
        <f>IF(AND(ISNUMBER(L119),ISNUMBER(K119))=TRUE,IF($G$59="DISCONTINUA",K119+$E$84/2-L119,K119-L119),"")</f>
        <v/>
      </c>
      <c r="N119" s="464">
        <f>IF(COUNT(G119,J119,M119)&gt;=3,-AVERAGE(G119,M119)+J119,"")</f>
        <v/>
      </c>
    </row>
    <row r="120" ht="15.75" customHeight="1">
      <c r="D120" s="264" t="n"/>
      <c r="E120" s="265" t="n"/>
      <c r="F120" s="265" t="n"/>
      <c r="G120" s="265" t="n"/>
      <c r="H120" s="265" t="n"/>
      <c r="I120" s="265" t="n"/>
      <c r="J120" s="375" t="inlineStr">
        <is>
          <t>Desvío Standard</t>
        </is>
      </c>
      <c r="K120" s="373">
        <f>IF(ISNUMBER(STDEV(N115:N119)),STDEV(N115:N119),"")</f>
        <v/>
      </c>
      <c r="L120" s="845" t="inlineStr">
        <is>
          <t>Diferencia máx.</t>
        </is>
      </c>
      <c r="M120" s="1225" t="n"/>
      <c r="N120" s="368">
        <f>IF(COUNT(N115:N119)&gt;=3,MAX(N115:N119)-MIN(N115:N119),"")</f>
        <v/>
      </c>
    </row>
    <row r="121" ht="16.5" customHeight="1" thickBot="1">
      <c r="D121" s="836">
        <f>+IF(N120&lt;=G113,"cumple fidelidad","no cumple fidelidad!")</f>
        <v/>
      </c>
      <c r="E121" s="190" t="n"/>
      <c r="F121" s="190" t="n"/>
      <c r="G121" s="190" t="n"/>
      <c r="H121" s="190" t="n"/>
      <c r="I121" s="190" t="n"/>
      <c r="J121" s="279" t="n"/>
      <c r="K121" s="280" t="n"/>
      <c r="L121" s="279" t="n"/>
      <c r="M121" s="369" t="inlineStr">
        <is>
          <t>Cumple?</t>
        </is>
      </c>
      <c r="N121" s="370">
        <f>IF(ISNUMBER(N120),IF(N120&lt;=G113,0,1),"")</f>
        <v/>
      </c>
      <c r="AI121" s="174" t="n"/>
      <c r="AJ121" s="1242" t="n"/>
    </row>
    <row r="122" ht="11.25" customHeight="1" thickBot="1">
      <c r="D122" s="86" t="n"/>
      <c r="E122" s="86" t="n"/>
      <c r="F122" s="86" t="n"/>
      <c r="G122" s="86" t="n"/>
      <c r="H122" s="86" t="n"/>
      <c r="I122" s="86" t="n"/>
      <c r="R122" s="86" t="n"/>
      <c r="S122" s="86" t="n"/>
      <c r="T122" s="86" t="n"/>
      <c r="U122" s="86" t="n"/>
      <c r="V122" s="86" t="n"/>
      <c r="W122" s="86" t="n"/>
      <c r="AI122" s="174" t="n"/>
      <c r="AJ122" s="1242" t="n"/>
    </row>
    <row r="123" ht="30" customHeight="1" thickBot="1">
      <c r="D123" s="318" t="inlineStr">
        <is>
          <t>4.4 - FIDELIDAD IV</t>
        </is>
      </c>
      <c r="E123" s="267" t="n"/>
      <c r="F123" s="268" t="inlineStr">
        <is>
          <t>Camión</t>
        </is>
      </c>
      <c r="G123" s="85" t="inlineStr">
        <is>
          <t>Cargado</t>
        </is>
      </c>
      <c r="H123" s="269" t="inlineStr">
        <is>
          <t>Sentido</t>
        </is>
      </c>
      <c r="I123" s="270" t="inlineStr">
        <is>
          <t>Egreso</t>
        </is>
      </c>
      <c r="J123" s="249" t="n"/>
      <c r="K123" s="250" t="n"/>
      <c r="L123" s="251" t="n"/>
      <c r="M123" s="251" t="n"/>
      <c r="N123" s="252" t="n"/>
      <c r="R123" s="86" t="n"/>
      <c r="S123" s="86" t="n"/>
      <c r="T123" s="86" t="n"/>
      <c r="U123" s="86" t="n"/>
      <c r="V123" s="86" t="n"/>
      <c r="W123" s="86" t="n"/>
      <c r="AI123" s="174" t="n"/>
      <c r="AJ123" s="1242" t="n"/>
    </row>
    <row r="124" ht="15" customHeight="1">
      <c r="D124" s="253" t="n"/>
      <c r="E124" s="266" t="n"/>
      <c r="F124" s="266" t="inlineStr">
        <is>
          <t>Carga aproximada</t>
        </is>
      </c>
      <c r="G124" s="357">
        <f>+G112</f>
        <v/>
      </c>
      <c r="H124" s="271" t="inlineStr">
        <is>
          <t>kg</t>
        </is>
      </c>
      <c r="I124" s="265" t="n"/>
      <c r="J124" s="254" t="n"/>
      <c r="K124" s="255" t="n"/>
      <c r="L124" s="254" t="n"/>
      <c r="M124" s="254" t="n"/>
      <c r="N124" s="256" t="n"/>
      <c r="R124" s="86" t="n"/>
      <c r="S124" s="86" t="n"/>
      <c r="T124" s="86" t="n"/>
      <c r="U124" s="86" t="n"/>
      <c r="V124" s="86" t="n"/>
      <c r="W124" s="86" t="n"/>
      <c r="AI124" s="174" t="n"/>
      <c r="AJ124" s="1242" t="n"/>
    </row>
    <row r="125" ht="15" customHeight="1" thickBot="1">
      <c r="D125" s="253" t="n"/>
      <c r="E125" s="835" t="inlineStr">
        <is>
          <t>Error tolerado:</t>
        </is>
      </c>
      <c r="G125" s="354">
        <f>IF(ISNUMBER(G124),IF(G124&lt;=$F$49,I$49,IF(G124&lt;=$F$50,$I$50,$I$51)),"")</f>
        <v/>
      </c>
      <c r="H125" s="271" t="n"/>
      <c r="I125" s="254" t="n"/>
      <c r="J125" s="254" t="n"/>
      <c r="K125" s="255" t="n"/>
      <c r="L125" s="254" t="n"/>
      <c r="M125" s="254" t="n"/>
      <c r="N125" s="256" t="n"/>
      <c r="R125" s="86" t="n"/>
      <c r="S125" s="86" t="n"/>
      <c r="T125" s="86" t="n"/>
      <c r="U125" s="86" t="n"/>
      <c r="V125" s="86" t="n"/>
      <c r="W125" s="86" t="n"/>
      <c r="AI125" s="174" t="n"/>
      <c r="AJ125" s="1242" t="n"/>
    </row>
    <row r="126" ht="33" customHeight="1" thickBot="1">
      <c r="D126" s="261" t="inlineStr">
        <is>
          <t>ciclo</t>
        </is>
      </c>
      <c r="E126" s="259" t="inlineStr">
        <is>
          <t>Cero Indicado Inicial (kg)</t>
        </is>
      </c>
      <c r="F126" s="408" t="inlineStr">
        <is>
          <t>Redondeo de Cero Inicial (kg)</t>
        </is>
      </c>
      <c r="G126" s="403" t="inlineStr">
        <is>
          <t>CERO CORREGIDO</t>
        </is>
      </c>
      <c r="H126" s="259" t="inlineStr">
        <is>
          <t>Carga Indicada (kg)</t>
        </is>
      </c>
      <c r="I126" s="408" t="inlineStr">
        <is>
          <t>Redondeo de Carga (kg)</t>
        </is>
      </c>
      <c r="J126" s="403" t="inlineStr">
        <is>
          <t>CARGA CORREGIDA</t>
        </is>
      </c>
      <c r="K126" s="409" t="inlineStr">
        <is>
          <t>Cero Indicado Final (kg)</t>
        </is>
      </c>
      <c r="L126" s="408" t="inlineStr">
        <is>
          <t>Redondeo de Cero Final (kg)</t>
        </is>
      </c>
      <c r="M126" s="260" t="inlineStr">
        <is>
          <t>CERO 2 CORREGIDO</t>
        </is>
      </c>
      <c r="N126" s="262" t="inlineStr">
        <is>
          <t>DIFERENCIA</t>
        </is>
      </c>
      <c r="R126" s="86" t="n"/>
      <c r="S126" s="86" t="n"/>
      <c r="T126" s="86" t="n"/>
      <c r="U126" s="86" t="n"/>
      <c r="V126" s="86" t="n"/>
      <c r="W126" s="86" t="n"/>
      <c r="AI126" s="174" t="n"/>
      <c r="AJ126" s="1242" t="n"/>
    </row>
    <row r="127" ht="15" customHeight="1" thickBot="1">
      <c r="D127" s="263" t="n">
        <v>1</v>
      </c>
      <c r="E127" s="490" t="n">
        <v>0</v>
      </c>
      <c r="F127" s="491">
        <f>IF(ISNUMBER(E127),IF('Identificación del Instrumento'!$F$17="PRIMITIVA","",IF($G$59="DISCONTINUA",$E$84/2,0)),"")</f>
        <v/>
      </c>
      <c r="G127" s="404">
        <f>IF(AND(ISNUMBER(F127),ISNUMBER(E127))=TRUE,IF($G$59="DISCONTINUA",E127+$E$84/2-F127,E127-F127),"")</f>
        <v/>
      </c>
      <c r="H127" s="663" t="n">
        <v>39440</v>
      </c>
      <c r="I127" s="664">
        <f>IF(ISNUMBER(H127),IF('Identificación del Instrumento'!$F$17="PRIMITIVA","",IF($G$59="DISCONTINUA",$E$84/2,0)),"")</f>
        <v/>
      </c>
      <c r="J127" s="404">
        <f>IF(AND(ISNUMBER(I127),ISNUMBER(H127))=TRUE,IF($G$59="DISCONTINUA",H127+$E$84/2-I127,H127-I127),"")</f>
        <v/>
      </c>
      <c r="K127" s="490" t="n">
        <v>0</v>
      </c>
      <c r="L127" s="410">
        <f>IF(ISNUMBER(K127),IF('Identificación del Instrumento'!$F$17="PRIMITIVA","",IF($G$59="DISCONTINUA",$E$84/2,0)),"")</f>
        <v/>
      </c>
      <c r="M127" s="412">
        <f>IF(AND(ISNUMBER(L127),ISNUMBER(K127))=TRUE,IF($G$59="DISCONTINUA",K127+$E$84/2-L127,K127-L127),"")</f>
        <v/>
      </c>
      <c r="N127" s="462">
        <f>IF(COUNT(G127,J127,M127)=3,-AVERAGE(G127,M127)+J127,"")</f>
        <v/>
      </c>
      <c r="R127" s="86" t="n"/>
      <c r="S127" s="86" t="n"/>
      <c r="T127" s="86" t="n"/>
      <c r="U127" s="86" t="n"/>
      <c r="V127" s="86" t="n"/>
      <c r="W127" s="86" t="n"/>
      <c r="AI127" s="174" t="n"/>
      <c r="AJ127" s="1242" t="n"/>
    </row>
    <row r="128" ht="15" customHeight="1" thickBot="1">
      <c r="D128" s="263" t="n">
        <v>2</v>
      </c>
      <c r="E128" s="455" t="n">
        <v>0</v>
      </c>
      <c r="F128" s="491">
        <f>IF(ISNUMBER(E128),IF('Identificación del Instrumento'!$F$17="PRIMITIVA","",IF($G$59="DISCONTINUA",$E$84/2,0)),"")</f>
        <v/>
      </c>
      <c r="G128" s="405">
        <f>IF(AND(ISNUMBER(F128),ISNUMBER(E128))=TRUE,IF($G$59="DISCONTINUA",E128+$E$84/2-F128,E128-F128),"")</f>
        <v/>
      </c>
      <c r="H128" s="663" t="n">
        <v>39440</v>
      </c>
      <c r="I128" s="491">
        <f>IF(ISNUMBER(H128),IF('Identificación del Instrumento'!$F$17="PRIMITIVA","",IF($G$59="DISCONTINUA",$E$84/2,0)),"")</f>
        <v/>
      </c>
      <c r="J128" s="405">
        <f>IF(AND(ISNUMBER(I128),ISNUMBER(H128))=TRUE,IF($G$59="DISCONTINUA",H128+$E$84/2-I128,H128-I128),"")</f>
        <v/>
      </c>
      <c r="K128" s="455" t="n">
        <v>0</v>
      </c>
      <c r="L128" s="410">
        <f>IF(ISNUMBER(K128),IF('Identificación del Instrumento'!$F$17="PRIMITIVA","",IF($G$59="DISCONTINUA",$E$84/2,0)),"")</f>
        <v/>
      </c>
      <c r="M128" s="413">
        <f>IF(AND(ISNUMBER(L128),ISNUMBER(K128))=TRUE,IF($G$59="DISCONTINUA",K128+$E$84/2-L128,K128-L128),"")</f>
        <v/>
      </c>
      <c r="N128" s="463">
        <f>IF(COUNT(G128,J128,M128)=3,-AVERAGE(G128,M128)+J128,"")</f>
        <v/>
      </c>
      <c r="R128" s="86" t="n"/>
      <c r="S128" s="86" t="n"/>
      <c r="T128" s="86" t="n"/>
      <c r="U128" s="86" t="n"/>
      <c r="V128" s="86" t="n"/>
      <c r="W128" s="86" t="n"/>
      <c r="AI128" s="174" t="n"/>
      <c r="AJ128" s="1242" t="n"/>
    </row>
    <row r="129" ht="15" customHeight="1" thickBot="1">
      <c r="D129" s="263" t="n">
        <v>3</v>
      </c>
      <c r="E129" s="455" t="n">
        <v>0</v>
      </c>
      <c r="F129" s="491">
        <f>IF(ISNUMBER(E129),IF('Identificación del Instrumento'!$F$17="PRIMITIVA","",IF($G$59="DISCONTINUA",$E$84/2,0)),"")</f>
        <v/>
      </c>
      <c r="G129" s="406">
        <f>IF(AND(ISNUMBER(F129),ISNUMBER(E129))=TRUE,IF($G$59="DISCONTINUA",E129+$E$84/2-F129,E129-F129),"")</f>
        <v/>
      </c>
      <c r="H129" s="663" t="n">
        <v>39440</v>
      </c>
      <c r="I129" s="491">
        <f>IF(ISNUMBER(H129),IF('Identificación del Instrumento'!$F$17="PRIMITIVA","",IF($G$59="DISCONTINUA",$E$84/2,0)),"")</f>
        <v/>
      </c>
      <c r="J129" s="405">
        <f>IF(AND(ISNUMBER(I129),ISNUMBER(H129))=TRUE,IF($G$59="DISCONTINUA",H129+$E$84/2-I129,H129-I129),"")</f>
        <v/>
      </c>
      <c r="K129" s="455" t="n">
        <v>0</v>
      </c>
      <c r="L129" s="410">
        <f>IF(ISNUMBER(K129),IF('Identificación del Instrumento'!$F$17="PRIMITIVA","",IF($G$59="DISCONTINUA",$E$84/2,0)),"")</f>
        <v/>
      </c>
      <c r="M129" s="413">
        <f>IF(AND(ISNUMBER(L129),ISNUMBER(K129))=TRUE,IF($G$59="DISCONTINUA",K129+$E$84/2-L129,K129-L129),"")</f>
        <v/>
      </c>
      <c r="N129" s="463">
        <f>IF(COUNT(G129,J129,M129)=3,-AVERAGE(G129,M129)+J129,"")</f>
        <v/>
      </c>
      <c r="R129" s="86" t="n"/>
      <c r="S129" s="86" t="n"/>
      <c r="T129" s="86" t="n"/>
      <c r="U129" s="86" t="n"/>
      <c r="V129" s="86" t="n"/>
      <c r="W129" s="86" t="n"/>
      <c r="AI129" s="174" t="n"/>
      <c r="AJ129" s="1242" t="n"/>
    </row>
    <row r="130" ht="15" customHeight="1" thickBot="1">
      <c r="D130" s="263" t="n">
        <v>4</v>
      </c>
      <c r="E130" s="455" t="n">
        <v>0</v>
      </c>
      <c r="F130" s="491">
        <f>IF(ISNUMBER(E130),IF('Identificación del Instrumento'!$F$17="PRIMITIVA","",IF($G$59="DISCONTINUA",$E$84/2,0)),"")</f>
        <v/>
      </c>
      <c r="G130" s="406">
        <f>IF(AND(ISNUMBER(F130),ISNUMBER(E130))=TRUE,IF($G$59="DISCONTINUA",E130+$E$84/2-F130,E130-F130),"")</f>
        <v/>
      </c>
      <c r="H130" s="663" t="n"/>
      <c r="I130" s="491">
        <f>IF(ISNUMBER(H130),IF('Identificación del Instrumento'!$F$17="PRIMITIVA","",IF($G$59="DISCONTINUA",$E$84/2,0)),"")</f>
        <v/>
      </c>
      <c r="J130" s="405">
        <f>IF(AND(ISNUMBER(I130),ISNUMBER(H130))=TRUE,IF($G$59="DISCONTINUA",H130+$E$84/2-I130,H130-I130),"")</f>
        <v/>
      </c>
      <c r="K130" s="455" t="n">
        <v>0</v>
      </c>
      <c r="L130" s="410">
        <f>IF(ISNUMBER(K130),IF('Identificación del Instrumento'!$F$17="PRIMITIVA","",IF($G$59="DISCONTINUA",$E$84/2,0)),"")</f>
        <v/>
      </c>
      <c r="M130" s="413">
        <f>IF(AND(ISNUMBER(L130),ISNUMBER(K130))=TRUE,IF($G$59="DISCONTINUA",K130+$E$84/2-L130,K130-L130),"")</f>
        <v/>
      </c>
      <c r="N130" s="463">
        <f>IF(COUNT(G130,J130,M130)=3,-AVERAGE(G130,M130)+J130,"")</f>
        <v/>
      </c>
      <c r="R130" s="86" t="n"/>
      <c r="S130" s="86" t="n"/>
      <c r="T130" s="86" t="n"/>
      <c r="U130" s="86" t="n"/>
      <c r="V130" s="86" t="n"/>
      <c r="W130" s="86" t="n"/>
      <c r="AI130" s="174" t="n"/>
      <c r="AJ130" s="1242" t="n"/>
    </row>
    <row r="131" ht="15" customHeight="1" thickBot="1">
      <c r="D131" s="263" t="n">
        <v>5</v>
      </c>
      <c r="E131" s="456" t="n">
        <v>0</v>
      </c>
      <c r="F131" s="470">
        <f>IF(ISNUMBER(E131),IF('Identificación del Instrumento'!$F$17="PRIMITIVA","",IF($G$59="DISCONTINUA",$E$84/2,0)),"")</f>
        <v/>
      </c>
      <c r="G131" s="407">
        <f>IF(AND(ISNUMBER(F131),ISNUMBER(E131))=TRUE,IF($G$59="DISCONTINUA",E131+$E$84/2-F131,E131-F131),"")</f>
        <v/>
      </c>
      <c r="H131" s="663" t="n"/>
      <c r="I131" s="470">
        <f>IF(ISNUMBER(H131),IF('Identificación del Instrumento'!$F$17="PRIMITIVA","",IF($G$59="DISCONTINUA",$E$84/2,0)),"")</f>
        <v/>
      </c>
      <c r="J131" s="407">
        <f>IF(AND(ISNUMBER(I131),ISNUMBER(H131))=TRUE,IF($G$59="DISCONTINUA",H131+$E$84/2-I131,H131-I131),"")</f>
        <v/>
      </c>
      <c r="K131" s="456" t="n">
        <v>0</v>
      </c>
      <c r="L131" s="411">
        <f>IF(ISNUMBER(K131),IF('Identificación del Instrumento'!$F$17="PRIMITIVA","",IF($G$59="DISCONTINUA",$E$84/2,0)),"")</f>
        <v/>
      </c>
      <c r="M131" s="414">
        <f>IF(AND(ISNUMBER(L131),ISNUMBER(K131))=TRUE,IF($G$59="DISCONTINUA",K131+$E$84/2-L131,K131-L131),"")</f>
        <v/>
      </c>
      <c r="N131" s="464">
        <f>IF(COUNT(G131,J131,M131)=3,-AVERAGE(G131,M131)+J131,"")</f>
        <v/>
      </c>
      <c r="R131" s="86" t="n"/>
      <c r="S131" s="86" t="n"/>
      <c r="T131" s="86" t="n"/>
      <c r="U131" s="86" t="n"/>
      <c r="V131" s="86" t="n"/>
      <c r="W131" s="86" t="n"/>
      <c r="AI131" s="174" t="n"/>
      <c r="AJ131" s="1242" t="n"/>
    </row>
    <row r="132" ht="18.75" customHeight="1" thickBot="1">
      <c r="D132" s="264" t="n"/>
      <c r="E132" s="265" t="n"/>
      <c r="F132" s="265" t="n"/>
      <c r="G132" s="265" t="n"/>
      <c r="H132" s="265" t="n"/>
      <c r="I132" s="265" t="n"/>
      <c r="J132" s="372" t="inlineStr">
        <is>
          <t>Desvío Standard</t>
        </is>
      </c>
      <c r="K132" s="374">
        <f>IF(ISNUMBER(STDEV(N127:N131)),STDEV(N127:N131),"")</f>
        <v/>
      </c>
      <c r="L132" s="834" t="inlineStr">
        <is>
          <t>Diferencia máx</t>
        </is>
      </c>
      <c r="M132" s="1233" t="n"/>
      <c r="N132" s="367">
        <f>IF(COUNT(N127:N131)&gt;=3,MAX(N127:N131)-MIN(N127:N131),"")</f>
        <v/>
      </c>
      <c r="R132" s="86" t="n"/>
      <c r="S132" s="86" t="n"/>
      <c r="T132" s="86" t="n"/>
      <c r="U132" s="86" t="n"/>
      <c r="V132" s="86" t="n"/>
      <c r="W132" s="86" t="n"/>
      <c r="AI132" s="174" t="n"/>
      <c r="AJ132" s="1242" t="n"/>
    </row>
    <row r="133" ht="18.75" customHeight="1" thickBot="1">
      <c r="D133" s="831">
        <f>+IF(N132&lt;=G125,"cumple fidelidad","no cumple fidelidad!")</f>
        <v/>
      </c>
      <c r="E133" s="190" t="n"/>
      <c r="F133" s="190" t="n"/>
      <c r="G133" s="190" t="n"/>
      <c r="H133" s="190" t="n"/>
      <c r="I133" s="190" t="n"/>
      <c r="J133" s="257" t="n"/>
      <c r="K133" s="258" t="n"/>
      <c r="L133" s="257" t="n"/>
      <c r="M133" s="369" t="inlineStr">
        <is>
          <t>Cumple?</t>
        </is>
      </c>
      <c r="N133" s="350">
        <f>IF(ISNUMBER(N132),IF(N132&lt;=G125,0,1),"")</f>
        <v/>
      </c>
      <c r="AI133" s="174" t="n"/>
      <c r="AJ133" s="1242" t="n"/>
    </row>
    <row r="134" ht="11.25" customHeight="1" thickBot="1">
      <c r="D134" s="182" t="n"/>
      <c r="E134" s="183" t="n"/>
      <c r="F134" s="183" t="n"/>
      <c r="G134" s="183" t="n"/>
      <c r="H134" s="183" t="n"/>
      <c r="I134" s="86" t="n"/>
      <c r="AI134" s="174" t="n"/>
      <c r="AJ134" s="1242" t="n"/>
    </row>
    <row r="135" ht="21" customHeight="1" thickBot="1">
      <c r="D135" s="1291" t="inlineStr">
        <is>
          <t>5 - LINEALIDAD</t>
        </is>
      </c>
      <c r="E135" s="388" t="n"/>
      <c r="F135" s="388" t="n"/>
      <c r="G135" s="388" t="n"/>
      <c r="H135" s="389" t="n"/>
      <c r="I135" s="281" t="n"/>
      <c r="J135" s="281" t="n"/>
      <c r="K135" s="282" t="n"/>
      <c r="L135" s="360" t="n"/>
      <c r="M135" s="361" t="inlineStr">
        <is>
          <t>Fidelidad Cumple?</t>
        </is>
      </c>
      <c r="N135" s="362">
        <f>IF(OR(ISNUMBER(N97),ISNUMBER(N109),ISNUMBER(N121),ISNUMBER(N133)),IF(OR(N97=1,N109=1,N121=1,N133=1),1,0),"")</f>
        <v/>
      </c>
      <c r="AI135" s="174" t="n"/>
      <c r="AJ135" s="1242" t="n"/>
    </row>
    <row r="136" ht="16.5" customHeight="1" thickBot="1">
      <c r="D136" s="283" t="inlineStr">
        <is>
          <t>Clase</t>
        </is>
      </c>
      <c r="E136" s="284">
        <f>J17</f>
        <v/>
      </c>
      <c r="F136" s="285" t="n"/>
      <c r="G136" s="286" t="inlineStr">
        <is>
          <t>Resolución "d"</t>
        </is>
      </c>
      <c r="H136" s="287">
        <f>E18</f>
        <v/>
      </c>
      <c r="I136" s="281" t="n"/>
      <c r="J136" s="281" t="n"/>
      <c r="K136" s="282" t="n"/>
      <c r="O136" s="181" t="n"/>
      <c r="P136" s="144" t="n"/>
      <c r="AI136" s="174" t="n"/>
      <c r="AJ136" s="1242" t="n"/>
    </row>
    <row r="137" ht="16.5" customHeight="1" thickBot="1">
      <c r="D137" s="288" t="inlineStr">
        <is>
          <t>Min (kg)</t>
        </is>
      </c>
      <c r="E137" s="284">
        <f>+'Identificación del Instrumento'!F29</f>
        <v/>
      </c>
      <c r="F137" s="289" t="n"/>
      <c r="G137" s="290" t="inlineStr">
        <is>
          <t>Max (kg)</t>
        </is>
      </c>
      <c r="H137" s="287">
        <f>+'Identificación del Instrumento'!D29</f>
        <v/>
      </c>
      <c r="I137" s="281" t="n"/>
      <c r="J137" s="281" t="n"/>
      <c r="K137" s="282" t="n"/>
      <c r="O137" s="181" t="n"/>
      <c r="P137" s="144" t="n"/>
      <c r="AI137" s="174" t="n"/>
      <c r="AJ137" s="1242" t="n"/>
    </row>
    <row r="138" ht="23.25" customHeight="1" thickBot="1">
      <c r="D138" s="1292" t="inlineStr">
        <is>
          <t>TEMPERATURA DE LA VERIFICACION</t>
        </is>
      </c>
      <c r="E138" s="193" t="n"/>
      <c r="F138" s="193" t="n"/>
      <c r="G138" s="193" t="n"/>
      <c r="H138" s="1268" t="n"/>
      <c r="I138" s="281" t="n"/>
      <c r="J138" s="281" t="n"/>
      <c r="K138" s="282" t="n"/>
      <c r="O138" s="181" t="n"/>
      <c r="P138" s="144" t="n"/>
      <c r="AI138" s="174" t="n"/>
      <c r="AJ138" s="1242" t="n"/>
    </row>
    <row r="139" ht="15.75" customHeight="1">
      <c r="D139" s="850" t="inlineStr">
        <is>
          <t>Temperatura inicial(ºC)</t>
        </is>
      </c>
      <c r="F139" s="649" t="n">
        <v>21.7</v>
      </c>
      <c r="G139" s="842" t="inlineStr">
        <is>
          <t>Variación temp. (ºC):</t>
        </is>
      </c>
      <c r="H139" s="1293">
        <f>F140-F139</f>
        <v/>
      </c>
      <c r="I139" s="281" t="n"/>
      <c r="J139" s="281" t="n"/>
      <c r="K139" s="282" t="n"/>
      <c r="L139" s="1097" t="inlineStr">
        <is>
          <t> </t>
        </is>
      </c>
      <c r="AI139" s="174" t="n"/>
      <c r="AJ139" s="1242" t="n"/>
    </row>
    <row r="140" ht="16.5" customHeight="1" thickBot="1">
      <c r="D140" s="874" t="inlineStr">
        <is>
          <t>Temperatura final (ºC)</t>
        </is>
      </c>
      <c r="E140" s="190" t="n"/>
      <c r="F140" s="650" t="n">
        <v>22.7</v>
      </c>
      <c r="G140" s="190" t="n"/>
      <c r="H140" s="1294" t="n"/>
      <c r="I140" s="281" t="n"/>
      <c r="J140" s="281" t="n"/>
      <c r="K140" s="282" t="n"/>
      <c r="L140" s="1097" t="inlineStr">
        <is>
          <t> </t>
        </is>
      </c>
      <c r="O140" s="181" t="n"/>
      <c r="AC140" s="1146" t="n"/>
      <c r="AD140" s="1146" t="n"/>
      <c r="AE140" s="1146" t="n"/>
      <c r="AF140" s="1146" t="n"/>
      <c r="AG140" s="1146" t="n"/>
      <c r="AI140" s="174" t="n"/>
      <c r="AJ140" s="1242" t="n"/>
    </row>
    <row r="141" ht="12.75" customHeight="1">
      <c r="D141" s="827" t="inlineStr">
        <is>
          <t>Valor
 nominal 
(kg)</t>
        </is>
      </c>
      <c r="E141" s="827" t="inlineStr">
        <is>
          <t>Indicación ascendente (kg)</t>
        </is>
      </c>
      <c r="F141" s="827">
        <f>IF($G$59&lt;&gt;"",IF($G$59="DISCONTINUA","Carga de redondeo           (kg)","Carga para alcanzar equilibrio (kg)"),"")</f>
        <v/>
      </c>
      <c r="G141" s="827" t="inlineStr">
        <is>
          <t>Indicación descendente (kg)</t>
        </is>
      </c>
      <c r="H141" s="827">
        <f>IF($G$59&lt;&gt;"",IF($G$59="DISCONTINUA","Carga de redondeo             (kg)","Carga para alcanzar equilibrio (kg)"),"")</f>
        <v/>
      </c>
      <c r="I141" s="1295" t="inlineStr">
        <is>
          <t>Error de indicación ascendente
(kg)</t>
        </is>
      </c>
      <c r="J141" s="1295" t="inlineStr">
        <is>
          <t>Error de indicación descendente
(kg)</t>
        </is>
      </c>
      <c r="K141" s="1295" t="inlineStr">
        <is>
          <t>Histeresis 
(kg)</t>
        </is>
      </c>
      <c r="L141" s="1295" t="inlineStr">
        <is>
          <t>Error corregido por redondeo ascendente
(kg)</t>
        </is>
      </c>
      <c r="M141" s="1295" t="inlineStr">
        <is>
          <t>Error corregido por redondeo descendente
(kg)</t>
        </is>
      </c>
      <c r="P141" s="245" t="inlineStr">
        <is>
          <t>Fuentes de incertidumbre de medición (kg)</t>
        </is>
      </c>
      <c r="Q141" s="1226" t="n"/>
      <c r="R141" s="1226" t="n"/>
      <c r="S141" s="1226" t="n"/>
      <c r="T141" s="1233" t="n"/>
      <c r="U141" s="1296" t="inlineStr">
        <is>
          <t>TOLERANCIA SEGÚN RESOLUCIÓN 2307  (kg)</t>
        </is>
      </c>
      <c r="V141" s="1297" t="inlineStr">
        <is>
          <t>Condición de cumplimiento</t>
        </is>
      </c>
      <c r="W141" s="31" t="n"/>
      <c r="AC141" s="186" t="n"/>
      <c r="AD141" s="1298" t="n"/>
      <c r="AE141" s="188" t="n"/>
      <c r="AF141" s="188" t="n"/>
      <c r="AG141" s="1298" t="n"/>
      <c r="AI141" s="174" t="n"/>
      <c r="AJ141" s="1242" t="n"/>
    </row>
    <row r="142" ht="57" customFormat="1" customHeight="1" s="1134" thickBot="1">
      <c r="D142" s="1299" t="n"/>
      <c r="E142" s="1299" t="n"/>
      <c r="F142" s="1299" t="n"/>
      <c r="G142" s="1299" t="n"/>
      <c r="H142" s="1299" t="n"/>
      <c r="I142" s="1299" t="n"/>
      <c r="J142" s="1299" t="n"/>
      <c r="K142" s="1299" t="n"/>
      <c r="L142" s="1299" t="n"/>
      <c r="M142" s="1299" t="n"/>
      <c r="O142" s="247" t="n"/>
      <c r="P142" s="245" t="inlineStr">
        <is>
          <t>RESOLUCIÓN</t>
        </is>
      </c>
      <c r="Q142" s="246" t="inlineStr">
        <is>
          <t>FIDELIDAD</t>
        </is>
      </c>
      <c r="R142" s="245" t="inlineStr">
        <is>
          <t>PATRÓN</t>
        </is>
      </c>
      <c r="S142" s="245" t="inlineStr">
        <is>
          <t>CARGA SUSTITUTA</t>
        </is>
      </c>
      <c r="T142" s="245" t="inlineStr">
        <is>
          <t>INCERTIDUMBRE EXPANDIDA</t>
        </is>
      </c>
      <c r="U142" s="1300" t="n"/>
      <c r="V142" s="1299" t="n"/>
      <c r="AC142" s="61" t="n"/>
      <c r="AD142" s="1298" t="n"/>
      <c r="AE142" s="184" t="n"/>
      <c r="AF142" s="184" t="n"/>
      <c r="AG142" s="1298" t="n"/>
      <c r="AH142" s="1146" t="n"/>
      <c r="AI142" s="1146" t="n"/>
      <c r="AJ142" s="1146" t="n"/>
      <c r="AK142" s="1146" t="n"/>
      <c r="AL142" s="1146" t="n"/>
      <c r="AM142" s="1146" t="n"/>
      <c r="AP142" s="1146" t="inlineStr">
        <is>
          <t> </t>
        </is>
      </c>
      <c r="AQ142" s="1146" t="n"/>
      <c r="AR142" s="1146" t="n"/>
    </row>
    <row r="143" ht="20.25" customFormat="1" customHeight="1" s="189" thickBot="1">
      <c r="A143" s="184" t="n"/>
      <c r="B143" s="184" t="n">
        <v>1</v>
      </c>
      <c r="C143" s="184" t="n"/>
      <c r="D143" s="651" t="n">
        <v>0</v>
      </c>
      <c r="E143" s="653" t="n">
        <v>0</v>
      </c>
      <c r="F143" s="654">
        <f>IF(ISNUMBER(D143),IF($G$59="DISCONTINUA",$E$84/2,0),"")</f>
        <v/>
      </c>
      <c r="G143" s="653" t="n">
        <v>0</v>
      </c>
      <c r="H143" s="654">
        <f>IF(ISNUMBER(D143),IF($G$59="DISCONTINUA",$E$84/2,0),"")</f>
        <v/>
      </c>
      <c r="I143" s="655">
        <f>IF(AND(ISNUMBER(B143),ISNUMBER(D143),ISNUMBER(E143),$B$59=1),IF($G$59="discontinua",(E143-D143),(E143-D143)),"")</f>
        <v/>
      </c>
      <c r="J143" s="655">
        <f>IF(AND(ISNUMBER(B143),ISNUMBER(D143),ISNUMBER(G143),$B$59=1),IF($G$59="discontinua",(G143-D143),(G143-D143)),"")</f>
        <v/>
      </c>
      <c r="K143" s="655">
        <f>IF(ISNUMBER(G143),ABS(G143-E143),"")</f>
        <v/>
      </c>
      <c r="L143" s="655">
        <f>IF(AND(ISNUMBER(B143),ISNUMBER(D143),ISNUMBER(E143),ISNUMBER(F143),$B$59=1),IF($G$59="discontinua",(E143+($H$136/2)-F143-D143),(E143-F143-D143)),"")</f>
        <v/>
      </c>
      <c r="M143" s="655">
        <f>IF(AND(ISNUMBER(B143),ISNUMBER(D143),ISNUMBER(G143),ISNUMBER(H143),$B$59=1),IF($G$59="discontinua",(G143+($H$136/2)-H143-D143),(G143-H143-D143)),"")</f>
        <v/>
      </c>
      <c r="N143" s="184" t="n"/>
      <c r="O143" s="248" t="n"/>
      <c r="P143" s="38">
        <f>IF(ISNUMBER(E143),$E$18/SQRT(12),"")</f>
        <v/>
      </c>
      <c r="Q143" s="38">
        <f>IF(ISNUMBER(E143),MAX(K$96,K$120,K$108,K$132)/SQRT(12),"")</f>
        <v/>
      </c>
      <c r="R143" s="38">
        <f>B143*0.05/2</f>
        <v/>
      </c>
      <c r="S143" s="185" t="n">
        <v>0</v>
      </c>
      <c r="T143" s="38">
        <f>IF(ISNUMBER(E143),2*SQRT(SUMSQ(P143,Q143,R143,S143)),"")</f>
        <v/>
      </c>
      <c r="U143" s="342" t="inlineStr">
        <is>
          <t>-------</t>
        </is>
      </c>
      <c r="V143" s="343">
        <f>IF(ISNUMBER(I143),IF('Identificación del Instrumento'!$B$17="periódica",IF(ABS(I143)&lt;=U143,0,1),IF(ABS(L143)&lt;=U143,0,1)),"")</f>
        <v/>
      </c>
      <c r="W143" s="184" t="n"/>
      <c r="X143" s="184" t="n"/>
      <c r="Y143" s="184" t="n"/>
      <c r="Z143" s="184" t="n"/>
      <c r="AA143" s="184" t="n"/>
      <c r="AB143" s="184" t="n"/>
      <c r="AC143" s="61" t="n"/>
      <c r="AD143" s="1298" t="n"/>
      <c r="AE143" s="184" t="n"/>
      <c r="AF143" s="184" t="n"/>
      <c r="AG143" s="1298" t="n"/>
      <c r="AH143" s="184" t="n"/>
      <c r="AI143" s="60" t="n"/>
      <c r="AJ143" s="1298" t="n"/>
      <c r="AK143" s="1298" t="n"/>
      <c r="AL143" s="1298" t="n"/>
      <c r="AM143" s="1298" t="n"/>
      <c r="AN143" s="1298" t="n"/>
      <c r="AO143" s="184" t="n"/>
      <c r="AP143" s="184" t="n"/>
      <c r="AQ143" s="184" t="n"/>
      <c r="AR143" s="184" t="n"/>
      <c r="AS143" s="184" t="n"/>
      <c r="AT143" s="184" t="n"/>
      <c r="AU143" s="184" t="n"/>
      <c r="AV143" s="184" t="n"/>
      <c r="AW143" s="184" t="n"/>
      <c r="AX143" s="184" t="n"/>
      <c r="AY143" s="184" t="n"/>
      <c r="AZ143" s="184" t="n"/>
      <c r="BA143" s="184" t="n"/>
      <c r="BB143" s="184" t="n"/>
      <c r="BC143" s="184" t="n"/>
      <c r="BD143" s="184" t="n"/>
      <c r="BE143" s="184" t="n"/>
      <c r="BF143" s="184" t="n"/>
      <c r="BG143" s="184" t="n"/>
      <c r="BH143" s="184" t="n"/>
      <c r="BI143" s="184" t="n"/>
      <c r="BJ143" s="184" t="n"/>
      <c r="BK143" s="184" t="n"/>
      <c r="BL143" s="184" t="n"/>
      <c r="BM143" s="184" t="n"/>
      <c r="BN143" s="184" t="n"/>
      <c r="BO143" s="184" t="n"/>
      <c r="BP143" s="184" t="n"/>
      <c r="BQ143" s="184" t="n"/>
      <c r="BR143" s="184" t="n"/>
      <c r="BS143" s="184" t="n"/>
      <c r="BT143" s="184" t="n"/>
      <c r="BU143" s="184" t="n"/>
      <c r="BV143" s="184" t="n"/>
      <c r="BW143" s="184" t="n"/>
      <c r="BX143" s="184" t="n"/>
      <c r="BY143" s="184" t="n"/>
      <c r="BZ143" s="184" t="n"/>
      <c r="CA143" s="184" t="n"/>
      <c r="CB143" s="184" t="n"/>
      <c r="CC143" s="184" t="n"/>
      <c r="CD143" s="184" t="n"/>
      <c r="CE143" s="184" t="n"/>
      <c r="CF143" s="184" t="n"/>
      <c r="CG143" s="184" t="n"/>
      <c r="CH143" s="184" t="n"/>
      <c r="CI143" s="184" t="n"/>
      <c r="CJ143" s="184" t="n"/>
      <c r="CK143" s="184" t="n"/>
      <c r="CL143" s="184" t="n"/>
      <c r="CM143" s="184" t="n"/>
      <c r="CN143" s="184" t="n"/>
      <c r="CO143" s="184" t="n"/>
      <c r="CP143" s="184" t="n"/>
      <c r="CQ143" s="184" t="n"/>
      <c r="CR143" s="184" t="n"/>
      <c r="CS143" s="184" t="n"/>
      <c r="CT143" s="184" t="n"/>
      <c r="CU143" s="184" t="n"/>
      <c r="CV143" s="184" t="n"/>
      <c r="CW143" s="184" t="n"/>
      <c r="CX143" s="184" t="n"/>
      <c r="CY143" s="184" t="n"/>
      <c r="CZ143" s="184" t="n"/>
      <c r="DA143" s="184" t="n"/>
      <c r="DB143" s="184" t="n"/>
      <c r="DC143" s="184" t="n"/>
      <c r="DD143" s="184" t="n"/>
      <c r="DE143" s="184" t="n"/>
      <c r="DF143" s="184" t="n"/>
      <c r="DG143" s="184" t="n"/>
      <c r="DH143" s="184" t="n"/>
      <c r="DI143" s="184" t="n"/>
      <c r="DJ143" s="184" t="n"/>
      <c r="DK143" s="184" t="n"/>
      <c r="DL143" s="184" t="n"/>
      <c r="DM143" s="184" t="n"/>
      <c r="DN143" s="184" t="n"/>
      <c r="DO143" s="184" t="n"/>
      <c r="DP143" s="184" t="n"/>
      <c r="DQ143" s="184" t="n"/>
      <c r="DR143" s="184" t="n"/>
      <c r="DS143" s="184" t="n"/>
      <c r="DT143" s="184" t="n"/>
      <c r="DU143" s="184" t="n"/>
      <c r="DV143" s="184" t="n"/>
      <c r="DW143" s="184" t="n"/>
      <c r="DX143" s="184" t="n"/>
      <c r="DY143" s="184" t="n"/>
      <c r="DZ143" s="184" t="n"/>
      <c r="EA143" s="184" t="n"/>
      <c r="EB143" s="184" t="n"/>
      <c r="EC143" s="184" t="n"/>
      <c r="ED143" s="184" t="n"/>
      <c r="EE143" s="184" t="n"/>
      <c r="EF143" s="184" t="n"/>
      <c r="EG143" s="184" t="n"/>
      <c r="EH143" s="184" t="n"/>
      <c r="EI143" s="184" t="n"/>
      <c r="EJ143" s="184" t="n"/>
      <c r="EK143" s="184" t="n"/>
      <c r="EL143" s="184" t="n"/>
      <c r="EM143" s="184" t="n"/>
      <c r="EN143" s="184" t="n"/>
      <c r="EO143" s="184" t="n"/>
      <c r="EP143" s="184" t="n"/>
    </row>
    <row r="144" ht="20.25" customFormat="1" customHeight="1" s="189" thickBot="1">
      <c r="A144" s="184" t="n"/>
      <c r="B144" s="184" t="n">
        <v>1</v>
      </c>
      <c r="C144" s="184" t="n"/>
      <c r="D144" s="704" t="n">
        <v>1000</v>
      </c>
      <c r="E144" s="704" t="n">
        <v>1000</v>
      </c>
      <c r="F144" s="702">
        <f>IF(ISNUMBER(E144),IF('Identificación del Instrumento'!$F$17="PRIMITIVA","",IF($G$59="DISCONTINUA",$E$84/2,0)),"")</f>
        <v/>
      </c>
      <c r="G144" s="704" t="n">
        <v>1000</v>
      </c>
      <c r="H144" s="702">
        <f>IF(ISNUMBER(G144),IF('Identificación del Instrumento'!$F$17="PRIMITIVA","",IF($G$59="DISCONTINUA",$E$84/2,0)),"")</f>
        <v/>
      </c>
      <c r="I144" s="655">
        <f>IF(AND(ISNUMBER(B144),ISNUMBER(D144),ISNUMBER(E144),$B$59=1),IF($G$59="discontinua",(E144-D144),(E144-D144)),"")</f>
        <v/>
      </c>
      <c r="J144" s="655">
        <f>IF(AND(ISNUMBER(B144),ISNUMBER(D144),ISNUMBER(G144),$B$59=1),IF($G$59="discontinua",(G144-D144),(G144-D144)),"")</f>
        <v/>
      </c>
      <c r="K144" s="655">
        <f>IF(AND(ISNUMBER($I144),ISNUMBER($J144)),ABS($J144-$I144),"")</f>
        <v/>
      </c>
      <c r="L144" s="655">
        <f>IF(AND(ISNUMBER(B144),ISNUMBER(D144),ISNUMBER(E144),ISNUMBER(F144),$B$59=1),IF($G$59="discontinua",(E144+($H$136/2)-F144-D144),(E144-F144-D144)),"")</f>
        <v/>
      </c>
      <c r="M144" s="655">
        <f>IF(AND(ISNUMBER(B144),ISNUMBER(D144),ISNUMBER(G144),ISNUMBER(H144),$B$59=1),IF($G$59="discontinua",(G144+($H$136/2)-H144-D144),(G144-H144-D144)),"")</f>
        <v/>
      </c>
      <c r="N144" s="184" t="n"/>
      <c r="O144" s="248" t="n"/>
      <c r="P144" s="38">
        <f>IF(ISNUMBER(E144),$E$18/SQRT(12),"")</f>
        <v/>
      </c>
      <c r="Q144" s="38">
        <f>IF(ISNUMBER(E144),MAX(K$96,K$120,K$108,K$132)/SQRT(12),"")</f>
        <v/>
      </c>
      <c r="R144" s="38">
        <f>B144*0.05/2</f>
        <v/>
      </c>
      <c r="S144" s="185" t="n">
        <v>0</v>
      </c>
      <c r="T144" s="38">
        <f>IF(ISNUMBER(E144),2*SQRT(SUMSQ(P144,Q144,R144,S144)),"")</f>
        <v/>
      </c>
      <c r="U144" s="342">
        <f>IF(ISNUMBER(E144),IF(D144&lt;=$F$49,I$49,IF(D144&lt;=$F$50,$I$50,$I$51)),"")</f>
        <v/>
      </c>
      <c r="V144" s="343">
        <f>IF(ISNUMBER(I144),IF('Identificación del Instrumento'!$B$17="periódica",IF(ABS(I144)&lt;=U144,0,1),IF(ABS(L144)&lt;=U144,0,1)),"")</f>
        <v/>
      </c>
      <c r="W144" s="184" t="n"/>
      <c r="X144" s="184" t="n"/>
      <c r="Y144" s="184" t="n"/>
      <c r="Z144" s="184" t="n"/>
      <c r="AA144" s="184" t="n"/>
      <c r="AB144" s="184" t="n"/>
      <c r="AC144" s="61" t="n"/>
      <c r="AD144" s="1298" t="n"/>
      <c r="AE144" s="184" t="n"/>
      <c r="AF144" s="184" t="n"/>
      <c r="AG144" s="1298" t="n"/>
      <c r="AH144" s="184" t="n"/>
      <c r="AI144" s="60" t="n"/>
      <c r="AJ144" s="1298" t="n"/>
      <c r="AK144" s="1298" t="n"/>
      <c r="AL144" s="1298" t="n"/>
      <c r="AM144" s="1298" t="n"/>
      <c r="AN144" s="1298" t="n"/>
      <c r="AO144" s="184" t="n"/>
      <c r="AP144" s="184" t="n"/>
      <c r="AQ144" s="184" t="n"/>
      <c r="AR144" s="184" t="n"/>
      <c r="AS144" s="184" t="n"/>
      <c r="AT144" s="184" t="n"/>
      <c r="AU144" s="184" t="n"/>
      <c r="AV144" s="184" t="n"/>
      <c r="AW144" s="184" t="n"/>
      <c r="AX144" s="184" t="n"/>
      <c r="AY144" s="184" t="n"/>
      <c r="AZ144" s="184" t="n"/>
      <c r="BA144" s="184" t="n"/>
      <c r="BB144" s="184" t="n"/>
      <c r="BC144" s="184" t="n"/>
      <c r="BD144" s="184" t="n"/>
      <c r="BE144" s="184" t="n"/>
      <c r="BF144" s="184" t="n"/>
      <c r="BG144" s="184" t="n"/>
      <c r="BH144" s="184" t="n"/>
      <c r="BI144" s="184" t="n"/>
      <c r="BJ144" s="184" t="n"/>
      <c r="BK144" s="184" t="n"/>
      <c r="BL144" s="184" t="n"/>
      <c r="BM144" s="184" t="n"/>
      <c r="BN144" s="184" t="n"/>
      <c r="BO144" s="184" t="n"/>
      <c r="BP144" s="184" t="n"/>
      <c r="BQ144" s="184" t="n"/>
      <c r="BR144" s="184" t="n"/>
      <c r="BS144" s="184" t="n"/>
      <c r="BT144" s="184" t="n"/>
      <c r="BU144" s="184" t="n"/>
      <c r="BV144" s="184" t="n"/>
      <c r="BW144" s="184" t="n"/>
      <c r="BX144" s="184" t="n"/>
      <c r="BY144" s="184" t="n"/>
      <c r="BZ144" s="184" t="n"/>
      <c r="CA144" s="184" t="n"/>
      <c r="CB144" s="184" t="n"/>
      <c r="CC144" s="184" t="n"/>
      <c r="CD144" s="184" t="n"/>
      <c r="CE144" s="184" t="n"/>
      <c r="CF144" s="184" t="n"/>
      <c r="CG144" s="184" t="n"/>
      <c r="CH144" s="184" t="n"/>
      <c r="CI144" s="184" t="n"/>
      <c r="CJ144" s="184" t="n"/>
      <c r="CK144" s="184" t="n"/>
      <c r="CL144" s="184" t="n"/>
      <c r="CM144" s="184" t="n"/>
      <c r="CN144" s="184" t="n"/>
      <c r="CO144" s="184" t="n"/>
      <c r="CP144" s="184" t="n"/>
      <c r="CQ144" s="184" t="n"/>
      <c r="CR144" s="184" t="n"/>
      <c r="CS144" s="184" t="n"/>
      <c r="CT144" s="184" t="n"/>
      <c r="CU144" s="184" t="n"/>
      <c r="CV144" s="184" t="n"/>
      <c r="CW144" s="184" t="n"/>
      <c r="CX144" s="184" t="n"/>
      <c r="CY144" s="184" t="n"/>
      <c r="CZ144" s="184" t="n"/>
      <c r="DA144" s="184" t="n"/>
      <c r="DB144" s="184" t="n"/>
      <c r="DC144" s="184" t="n"/>
      <c r="DD144" s="184" t="n"/>
      <c r="DE144" s="184" t="n"/>
      <c r="DF144" s="184" t="n"/>
      <c r="DG144" s="184" t="n"/>
      <c r="DH144" s="184" t="n"/>
      <c r="DI144" s="184" t="n"/>
      <c r="DJ144" s="184" t="n"/>
      <c r="DK144" s="184" t="n"/>
      <c r="DL144" s="184" t="n"/>
      <c r="DM144" s="184" t="n"/>
      <c r="DN144" s="184" t="n"/>
      <c r="DO144" s="184" t="n"/>
      <c r="DP144" s="184" t="n"/>
      <c r="DQ144" s="184" t="n"/>
      <c r="DR144" s="184" t="n"/>
      <c r="DS144" s="184" t="n"/>
      <c r="DT144" s="184" t="n"/>
      <c r="DU144" s="184" t="n"/>
      <c r="DV144" s="184" t="n"/>
      <c r="DW144" s="184" t="n"/>
      <c r="DX144" s="184" t="n"/>
      <c r="DY144" s="184" t="n"/>
      <c r="DZ144" s="184" t="n"/>
      <c r="EA144" s="184" t="n"/>
      <c r="EB144" s="184" t="n"/>
      <c r="EC144" s="184" t="n"/>
      <c r="ED144" s="184" t="n"/>
      <c r="EE144" s="184" t="n"/>
      <c r="EF144" s="184" t="n"/>
      <c r="EG144" s="184" t="n"/>
      <c r="EH144" s="184" t="n"/>
      <c r="EI144" s="184" t="n"/>
      <c r="EJ144" s="184" t="n"/>
      <c r="EK144" s="184" t="n"/>
      <c r="EL144" s="184" t="n"/>
      <c r="EM144" s="184" t="n"/>
      <c r="EN144" s="184" t="n"/>
      <c r="EO144" s="184" t="n"/>
      <c r="EP144" s="184" t="n"/>
    </row>
    <row r="145" ht="20.25" customFormat="1" customHeight="1" s="189" thickBot="1">
      <c r="A145" s="184" t="n"/>
      <c r="B145" s="184" t="n">
        <v>2</v>
      </c>
      <c r="C145" s="184" t="n"/>
      <c r="D145" s="704" t="n">
        <v>2000</v>
      </c>
      <c r="E145" s="704" t="n">
        <v>2000</v>
      </c>
      <c r="F145" s="702">
        <f>IF(ISNUMBER(E145),IF('Identificación del Instrumento'!$F$17="PRIMITIVA","",IF($G$59="DISCONTINUA",$E$84/2,0)),"")</f>
        <v/>
      </c>
      <c r="G145" s="704" t="n">
        <v>2000</v>
      </c>
      <c r="H145" s="702">
        <f>IF(ISNUMBER(G145),IF('Identificación del Instrumento'!$F$17="PRIMITIVA","",IF($G$59="DISCONTINUA",$E$84/2,0)),"")</f>
        <v/>
      </c>
      <c r="I145" s="655">
        <f>IF(AND(ISNUMBER(B145),ISNUMBER(D145),ISNUMBER(E145),$B$59=1),IF($G$59="discontinua",(E145-D145),(E145-D145)),"")</f>
        <v/>
      </c>
      <c r="J145" s="655">
        <f>IF(AND(ISNUMBER(B145),ISNUMBER(D145),ISNUMBER(G145),$B$59=1),IF($G$59="discontinua",(G145-D145),(G145-D145)),"")</f>
        <v/>
      </c>
      <c r="K145" s="655">
        <f>IF(AND(ISNUMBER(I145),ISNUMBER(J145)),ABS(J145-I145),"")</f>
        <v/>
      </c>
      <c r="L145" s="655">
        <f>IF(AND(ISNUMBER(B145),ISNUMBER(D145),ISNUMBER(E145),ISNUMBER(F145),$B$59=1),IF($G$59="discontinua",(E145+($H$136/2)-F145-D145),(E145-F145-D145)),"")</f>
        <v/>
      </c>
      <c r="M145" s="655">
        <f>IF(AND(ISNUMBER(B145),ISNUMBER(D145),ISNUMBER(G145),ISNUMBER(H145),$B$59=1),IF($G$59="discontinua",(G145+($H$136/2)-H145-D145),(G145-H145-D145)),"")</f>
        <v/>
      </c>
      <c r="N145" s="184" t="n"/>
      <c r="O145" s="248" t="n"/>
      <c r="P145" s="38">
        <f>IF(ISNUMBER(E145),$E$18/SQRT(12),"")</f>
        <v/>
      </c>
      <c r="Q145" s="38">
        <f>IF(ISNUMBER(E145),MAX(K$96,K$120,K$108,K$132)/SQRT(12),"")</f>
        <v/>
      </c>
      <c r="R145" s="38">
        <f>B145*0.05/2</f>
        <v/>
      </c>
      <c r="S145" s="185" t="n">
        <v>0</v>
      </c>
      <c r="T145" s="38">
        <f>IF(ISNUMBER(E145),2*SQRT(SUMSQ(P145,Q145,R145,S145)),"")</f>
        <v/>
      </c>
      <c r="U145" s="342">
        <f>IF(ISNUMBER(E145),IF(D145&lt;=$F$49,I$49,IF(D145&lt;=$F$50,$I$50,$I$51)),"")</f>
        <v/>
      </c>
      <c r="V145" s="343">
        <f>IF(ISNUMBER(I145),IF('Identificación del Instrumento'!$B$17="periódica",IF(ABS(I145)&lt;=U145,0,1),IF(ABS(L145)&lt;=U145,0,1)),"")</f>
        <v/>
      </c>
      <c r="W145" s="184" t="n"/>
      <c r="X145" s="184" t="n"/>
      <c r="Y145" s="184" t="n"/>
      <c r="Z145" s="184" t="n"/>
      <c r="AA145" s="184" t="n"/>
      <c r="AB145" s="184" t="n"/>
      <c r="AC145" s="61" t="n"/>
      <c r="AD145" s="1298" t="n"/>
      <c r="AE145" s="184" t="n"/>
      <c r="AF145" s="184" t="n"/>
      <c r="AG145" s="1298" t="n"/>
      <c r="AH145" s="184" t="n"/>
      <c r="AI145" s="60" t="n"/>
      <c r="AJ145" s="1298" t="n"/>
      <c r="AK145" s="1298" t="n"/>
      <c r="AL145" s="1298" t="n"/>
      <c r="AM145" s="1298" t="n"/>
      <c r="AN145" s="1298" t="n"/>
      <c r="AO145" s="184" t="n"/>
      <c r="AP145" s="184" t="n"/>
      <c r="AQ145" s="184" t="n"/>
      <c r="AR145" s="184" t="n"/>
      <c r="AS145" s="184" t="n"/>
      <c r="AT145" s="184" t="n"/>
      <c r="AU145" s="184" t="n"/>
      <c r="AV145" s="184" t="n"/>
      <c r="AW145" s="184" t="n"/>
      <c r="AX145" s="184" t="n"/>
      <c r="AY145" s="184" t="n"/>
      <c r="AZ145" s="184" t="n"/>
      <c r="BA145" s="184" t="n"/>
      <c r="BB145" s="184" t="n"/>
      <c r="BC145" s="184" t="n"/>
      <c r="BD145" s="184" t="n"/>
      <c r="BE145" s="184" t="n"/>
      <c r="BF145" s="184" t="n"/>
      <c r="BG145" s="184" t="n"/>
      <c r="BH145" s="184" t="n"/>
      <c r="BI145" s="184" t="n"/>
      <c r="BJ145" s="184" t="n"/>
      <c r="BK145" s="184" t="n"/>
      <c r="BL145" s="184" t="n"/>
      <c r="BM145" s="184" t="n"/>
      <c r="BN145" s="184" t="n"/>
      <c r="BO145" s="184" t="n"/>
      <c r="BP145" s="184" t="n"/>
      <c r="BQ145" s="184" t="n"/>
      <c r="BR145" s="184" t="n"/>
      <c r="BS145" s="184" t="n"/>
      <c r="BT145" s="184" t="n"/>
      <c r="BU145" s="184" t="n"/>
      <c r="BV145" s="184" t="n"/>
      <c r="BW145" s="184" t="n"/>
      <c r="BX145" s="184" t="n"/>
      <c r="BY145" s="184" t="n"/>
      <c r="BZ145" s="184" t="n"/>
      <c r="CA145" s="184" t="n"/>
      <c r="CB145" s="184" t="n"/>
      <c r="CC145" s="184" t="n"/>
      <c r="CD145" s="184" t="n"/>
      <c r="CE145" s="184" t="n"/>
      <c r="CF145" s="184" t="n"/>
      <c r="CG145" s="184" t="n"/>
      <c r="CH145" s="184" t="n"/>
      <c r="CI145" s="184" t="n"/>
      <c r="CJ145" s="184" t="n"/>
      <c r="CK145" s="184" t="n"/>
      <c r="CL145" s="184" t="n"/>
      <c r="CM145" s="184" t="n"/>
      <c r="CN145" s="184" t="n"/>
      <c r="CO145" s="184" t="n"/>
      <c r="CP145" s="184" t="n"/>
      <c r="CQ145" s="184" t="n"/>
      <c r="CR145" s="184" t="n"/>
      <c r="CS145" s="184" t="n"/>
      <c r="CT145" s="184" t="n"/>
      <c r="CU145" s="184" t="n"/>
      <c r="CV145" s="184" t="n"/>
      <c r="CW145" s="184" t="n"/>
      <c r="CX145" s="184" t="n"/>
      <c r="CY145" s="184" t="n"/>
      <c r="CZ145" s="184" t="n"/>
      <c r="DA145" s="184" t="n"/>
      <c r="DB145" s="184" t="n"/>
      <c r="DC145" s="184" t="n"/>
      <c r="DD145" s="184" t="n"/>
      <c r="DE145" s="184" t="n"/>
      <c r="DF145" s="184" t="n"/>
      <c r="DG145" s="184" t="n"/>
      <c r="DH145" s="184" t="n"/>
      <c r="DI145" s="184" t="n"/>
      <c r="DJ145" s="184" t="n"/>
      <c r="DK145" s="184" t="n"/>
      <c r="DL145" s="184" t="n"/>
      <c r="DM145" s="184" t="n"/>
      <c r="DN145" s="184" t="n"/>
      <c r="DO145" s="184" t="n"/>
      <c r="DP145" s="184" t="n"/>
      <c r="DQ145" s="184" t="n"/>
      <c r="DR145" s="184" t="n"/>
      <c r="DS145" s="184" t="n"/>
      <c r="DT145" s="184" t="n"/>
      <c r="DU145" s="184" t="n"/>
      <c r="DV145" s="184" t="n"/>
      <c r="DW145" s="184" t="n"/>
      <c r="DX145" s="184" t="n"/>
      <c r="DY145" s="184" t="n"/>
      <c r="DZ145" s="184" t="n"/>
      <c r="EA145" s="184" t="n"/>
      <c r="EB145" s="184" t="n"/>
      <c r="EC145" s="184" t="n"/>
      <c r="ED145" s="184" t="n"/>
      <c r="EE145" s="184" t="n"/>
      <c r="EF145" s="184" t="n"/>
      <c r="EG145" s="184" t="n"/>
      <c r="EH145" s="184" t="n"/>
      <c r="EI145" s="184" t="n"/>
      <c r="EJ145" s="184" t="n"/>
      <c r="EK145" s="184" t="n"/>
      <c r="EL145" s="184" t="n"/>
      <c r="EM145" s="184" t="n"/>
      <c r="EN145" s="184" t="n"/>
      <c r="EO145" s="184" t="n"/>
      <c r="EP145" s="184" t="n"/>
    </row>
    <row r="146" ht="20.25" customFormat="1" customHeight="1" s="189" thickBot="1">
      <c r="A146" s="184" t="n"/>
      <c r="B146" s="184" t="n">
        <v>3</v>
      </c>
      <c r="C146" s="184" t="n"/>
      <c r="D146" s="704" t="n">
        <v>4000</v>
      </c>
      <c r="E146" s="704" t="n">
        <v>4000</v>
      </c>
      <c r="F146" s="702">
        <f>IF(ISNUMBER(E146),IF('Identificación del Instrumento'!$F$17="PRIMITIVA","",IF($G$59="DISCONTINUA",$E$84/2,0)),"")</f>
        <v/>
      </c>
      <c r="G146" s="704" t="n">
        <v>4000</v>
      </c>
      <c r="H146" s="702">
        <f>IF(ISNUMBER(G146),IF('Identificación del Instrumento'!$F$17="PRIMITIVA","",IF($G$59="DISCONTINUA",$E$84/2,0)),"")</f>
        <v/>
      </c>
      <c r="I146" s="655">
        <f>IF(AND(ISNUMBER(B146),ISNUMBER(D146),ISNUMBER(E146),$B$59=1),IF($G$59="discontinua",(E146-D146),(E146-D146)),"")</f>
        <v/>
      </c>
      <c r="J146" s="655">
        <f>IF(AND(ISNUMBER(B146),ISNUMBER(D146),ISNUMBER(G146),$B$59=1),IF($G$59="discontinua",(G146-D146),(G146-D146)),"")</f>
        <v/>
      </c>
      <c r="K146" s="655">
        <f>IF(AND(ISNUMBER(I146),ISNUMBER(J146)),ABS(J146-I146),"")</f>
        <v/>
      </c>
      <c r="L146" s="655">
        <f>IF(AND(ISNUMBER(B146),ISNUMBER(D146),ISNUMBER(E146),ISNUMBER(F146),$B$59=1),IF($G$59="discontinua",(E146+($H$136/2)-F146-D146),(E146-F146-D146)),"")</f>
        <v/>
      </c>
      <c r="M146" s="655">
        <f>IF(AND(ISNUMBER(B146),ISNUMBER(D146),ISNUMBER(G146),ISNUMBER(H146),$B$59=1),IF($G$59="discontinua",(G146+($H$136/2)-H146-D146),(G146-H146-D146)),"")</f>
        <v/>
      </c>
      <c r="N146" s="184" t="n"/>
      <c r="O146" s="248" t="n"/>
      <c r="P146" s="38">
        <f>IF(ISNUMBER(E146),$E$18/SQRT(12),"")</f>
        <v/>
      </c>
      <c r="Q146" s="38">
        <f>IF(ISNUMBER(E146),MAX(K$96,K$120,K$108,K$132)/SQRT(12),"")</f>
        <v/>
      </c>
      <c r="R146" s="38">
        <f>B146*0.05/2</f>
        <v/>
      </c>
      <c r="S146" s="185" t="n">
        <v>0</v>
      </c>
      <c r="T146" s="38">
        <f>IF(ISNUMBER(E146),2*SQRT(SUMSQ(P146,Q146,R146,S146)),"")</f>
        <v/>
      </c>
      <c r="U146" s="342">
        <f>IF(ISNUMBER(E146),IF(D146&lt;=$F$49,I$49,IF(D146&lt;=$F$50,$I$50,$I$51)),"")</f>
        <v/>
      </c>
      <c r="V146" s="343">
        <f>IF(ISNUMBER(I146),IF('Identificación del Instrumento'!$B$17="periódica",IF(ABS(I146)&lt;=U146,0,1),IF(ABS(L146)&lt;=U146,0,1)),"")</f>
        <v/>
      </c>
      <c r="W146" s="184" t="n"/>
      <c r="X146" s="184" t="n"/>
      <c r="Y146" s="184" t="n"/>
      <c r="Z146" s="184" t="n"/>
      <c r="AA146" s="184" t="n"/>
      <c r="AB146" s="184" t="n"/>
      <c r="AC146" s="61" t="n"/>
      <c r="AD146" s="1298" t="n"/>
      <c r="AE146" s="184" t="n"/>
      <c r="AF146" s="184" t="n"/>
      <c r="AG146" s="1298" t="n"/>
      <c r="AH146" s="184" t="n"/>
      <c r="AI146" s="60" t="n"/>
      <c r="AJ146" s="1298" t="n"/>
      <c r="AK146" s="1298" t="n"/>
      <c r="AL146" s="1298" t="n"/>
      <c r="AM146" s="1298" t="n"/>
      <c r="AN146" s="1298" t="n"/>
      <c r="AO146" s="184" t="n"/>
      <c r="AP146" s="184" t="n"/>
      <c r="AQ146" s="184" t="n"/>
      <c r="AR146" s="184" t="n"/>
      <c r="AS146" s="184" t="n"/>
      <c r="AT146" s="184" t="n"/>
      <c r="AU146" s="184" t="n"/>
      <c r="AV146" s="184" t="n"/>
      <c r="AW146" s="184" t="n"/>
      <c r="AX146" s="184" t="n"/>
      <c r="AY146" s="184" t="n"/>
      <c r="AZ146" s="184" t="n"/>
      <c r="BA146" s="184" t="n"/>
      <c r="BB146" s="184" t="n"/>
      <c r="BC146" s="184" t="n"/>
      <c r="BD146" s="184" t="n"/>
      <c r="BE146" s="184" t="n"/>
      <c r="BF146" s="184" t="n"/>
      <c r="BG146" s="184" t="n"/>
      <c r="BH146" s="184" t="n"/>
      <c r="BI146" s="184" t="n"/>
      <c r="BJ146" s="184" t="n"/>
      <c r="BK146" s="184" t="n"/>
      <c r="BL146" s="184" t="n"/>
      <c r="BM146" s="184" t="n"/>
      <c r="BN146" s="184" t="n"/>
      <c r="BO146" s="184" t="n"/>
      <c r="BP146" s="184" t="n"/>
      <c r="BQ146" s="184" t="n"/>
      <c r="BR146" s="184" t="n"/>
      <c r="BS146" s="184" t="n"/>
      <c r="BT146" s="184" t="n"/>
      <c r="BU146" s="184" t="n"/>
      <c r="BV146" s="184" t="n"/>
      <c r="BW146" s="184" t="n"/>
      <c r="BX146" s="184" t="n"/>
      <c r="BY146" s="184" t="n"/>
      <c r="BZ146" s="184" t="n"/>
      <c r="CA146" s="184" t="n"/>
      <c r="CB146" s="184" t="n"/>
      <c r="CC146" s="184" t="n"/>
      <c r="CD146" s="184" t="n"/>
      <c r="CE146" s="184" t="n"/>
      <c r="CF146" s="184" t="n"/>
      <c r="CG146" s="184" t="n"/>
      <c r="CH146" s="184" t="n"/>
      <c r="CI146" s="184" t="n"/>
      <c r="CJ146" s="184" t="n"/>
      <c r="CK146" s="184" t="n"/>
      <c r="CL146" s="184" t="n"/>
      <c r="CM146" s="184" t="n"/>
      <c r="CN146" s="184" t="n"/>
      <c r="CO146" s="184" t="n"/>
      <c r="CP146" s="184" t="n"/>
      <c r="CQ146" s="184" t="n"/>
      <c r="CR146" s="184" t="n"/>
      <c r="CS146" s="184" t="n"/>
      <c r="CT146" s="184" t="n"/>
      <c r="CU146" s="184" t="n"/>
      <c r="CV146" s="184" t="n"/>
      <c r="CW146" s="184" t="n"/>
      <c r="CX146" s="184" t="n"/>
      <c r="CY146" s="184" t="n"/>
      <c r="CZ146" s="184" t="n"/>
      <c r="DA146" s="184" t="n"/>
      <c r="DB146" s="184" t="n"/>
      <c r="DC146" s="184" t="n"/>
      <c r="DD146" s="184" t="n"/>
      <c r="DE146" s="184" t="n"/>
      <c r="DF146" s="184" t="n"/>
      <c r="DG146" s="184" t="n"/>
      <c r="DH146" s="184" t="n"/>
      <c r="DI146" s="184" t="n"/>
      <c r="DJ146" s="184" t="n"/>
      <c r="DK146" s="184" t="n"/>
      <c r="DL146" s="184" t="n"/>
      <c r="DM146" s="184" t="n"/>
      <c r="DN146" s="184" t="n"/>
      <c r="DO146" s="184" t="n"/>
      <c r="DP146" s="184" t="n"/>
      <c r="DQ146" s="184" t="n"/>
      <c r="DR146" s="184" t="n"/>
      <c r="DS146" s="184" t="n"/>
      <c r="DT146" s="184" t="n"/>
      <c r="DU146" s="184" t="n"/>
      <c r="DV146" s="184" t="n"/>
      <c r="DW146" s="184" t="n"/>
      <c r="DX146" s="184" t="n"/>
      <c r="DY146" s="184" t="n"/>
      <c r="DZ146" s="184" t="n"/>
      <c r="EA146" s="184" t="n"/>
      <c r="EB146" s="184" t="n"/>
      <c r="EC146" s="184" t="n"/>
      <c r="ED146" s="184" t="n"/>
      <c r="EE146" s="184" t="n"/>
      <c r="EF146" s="184" t="n"/>
      <c r="EG146" s="184" t="n"/>
      <c r="EH146" s="184" t="n"/>
      <c r="EI146" s="184" t="n"/>
      <c r="EJ146" s="184" t="n"/>
      <c r="EK146" s="184" t="n"/>
      <c r="EL146" s="184" t="n"/>
      <c r="EM146" s="184" t="n"/>
      <c r="EN146" s="184" t="n"/>
      <c r="EO146" s="184" t="n"/>
      <c r="EP146" s="184" t="n"/>
    </row>
    <row r="147" ht="20.25" customFormat="1" customHeight="1" s="189" thickBot="1">
      <c r="A147" s="184" t="n"/>
      <c r="B147" s="184" t="n">
        <v>4</v>
      </c>
      <c r="C147" s="184" t="n"/>
      <c r="D147" s="704" t="n">
        <v>6000</v>
      </c>
      <c r="E147" s="704" t="n">
        <v>6000</v>
      </c>
      <c r="F147" s="702">
        <f>IF(ISNUMBER(E147),IF('Identificación del Instrumento'!$F$17="PRIMITIVA","",IF($G$59="DISCONTINUA",$E$84/2,0)),"")</f>
        <v/>
      </c>
      <c r="G147" s="704" t="n">
        <v>6000</v>
      </c>
      <c r="H147" s="702">
        <f>IF(ISNUMBER(G147),IF('Identificación del Instrumento'!$F$17="PRIMITIVA","",IF($G$59="DISCONTINUA",$E$84/2,0)),"")</f>
        <v/>
      </c>
      <c r="I147" s="655">
        <f>IF(AND(ISNUMBER(B147),ISNUMBER(D147),ISNUMBER(E147),$B$59=1),IF($G$59="discontinua",(E147-D147),(E147-D147)),"")</f>
        <v/>
      </c>
      <c r="J147" s="655">
        <f>IF(AND(ISNUMBER(B147),ISNUMBER(D147),ISNUMBER(G147),$B$59=1),IF($G$59="discontinua",(G147-D147),(G147-D147)),"")</f>
        <v/>
      </c>
      <c r="K147" s="655">
        <f>IF(AND(ISNUMBER(I147),ISNUMBER(J147)),ABS(J147-I147),"")</f>
        <v/>
      </c>
      <c r="L147" s="655">
        <f>IF(AND(ISNUMBER(B147),ISNUMBER(D147),ISNUMBER(E147),ISNUMBER(F147),$B$59=1),IF($G$59="discontinua",(E147+($H$136/2)-F147-D147),(E147-F147-D147)),"")</f>
        <v/>
      </c>
      <c r="M147" s="655">
        <f>IF(AND(ISNUMBER(B147),ISNUMBER(D147),ISNUMBER(G147),ISNUMBER(H147),$B$59=1),IF($G$59="discontinua",(G147+($H$136/2)-H147-D147),(G147-H147-D147)),"")</f>
        <v/>
      </c>
      <c r="N147" s="184" t="n"/>
      <c r="O147" s="248" t="n"/>
      <c r="P147" s="38">
        <f>IF(ISNUMBER(E147),$E$18/SQRT(12),"")</f>
        <v/>
      </c>
      <c r="Q147" s="38">
        <f>IF(ISNUMBER(E147),MAX(K$96,K$120,K$108,K$132)/SQRT(12),"")</f>
        <v/>
      </c>
      <c r="R147" s="38">
        <f>B147*0.05/2</f>
        <v/>
      </c>
      <c r="S147" s="185" t="n">
        <v>0</v>
      </c>
      <c r="T147" s="38">
        <f>IF(ISNUMBER(E147),2*SQRT(SUMSQ(P147,Q147,R147,S147)),"")</f>
        <v/>
      </c>
      <c r="U147" s="342">
        <f>IF(ISNUMBER(E147),IF(D147&lt;=$F$49,I$49,IF(D147&lt;=$F$50,$I$50,$I$51)),"")</f>
        <v/>
      </c>
      <c r="V147" s="343">
        <f>IF(ISNUMBER(I147),IF('Identificación del Instrumento'!$B$17="periódica",IF(ABS(I147)&lt;=U147,0,1),IF(ABS(L147)&lt;=U147,0,1)),"")</f>
        <v/>
      </c>
      <c r="W147" s="184" t="n"/>
      <c r="X147" s="184" t="n"/>
      <c r="Y147" s="184" t="n"/>
      <c r="Z147" s="184" t="n"/>
      <c r="AA147" s="184" t="n"/>
      <c r="AB147" s="184" t="n"/>
      <c r="AC147" s="61" t="n"/>
      <c r="AD147" s="1298" t="n"/>
      <c r="AE147" s="184" t="n"/>
      <c r="AF147" s="184" t="n"/>
      <c r="AG147" s="1298" t="n"/>
      <c r="AH147" s="184" t="n"/>
      <c r="AI147" s="60" t="n"/>
      <c r="AJ147" s="1298" t="n"/>
      <c r="AK147" s="1298" t="n"/>
      <c r="AL147" s="1298" t="n"/>
      <c r="AM147" s="1298" t="n"/>
      <c r="AN147" s="1298" t="n"/>
      <c r="AO147" s="184" t="n"/>
      <c r="AP147" s="184" t="n"/>
      <c r="AQ147" s="184" t="n"/>
      <c r="AR147" s="184" t="n"/>
      <c r="AS147" s="184" t="n"/>
      <c r="AT147" s="184" t="n"/>
      <c r="AU147" s="184" t="n"/>
      <c r="AV147" s="184" t="n"/>
      <c r="AW147" s="184" t="n"/>
      <c r="AX147" s="184" t="n"/>
      <c r="AY147" s="184" t="n"/>
      <c r="AZ147" s="184" t="n"/>
      <c r="BA147" s="184" t="n"/>
      <c r="BB147" s="184" t="n"/>
      <c r="BC147" s="184" t="n"/>
      <c r="BD147" s="184" t="n"/>
      <c r="BE147" s="184" t="n"/>
      <c r="BF147" s="184" t="n"/>
      <c r="BG147" s="184" t="n"/>
      <c r="BH147" s="184" t="n"/>
      <c r="BI147" s="184" t="n"/>
      <c r="BJ147" s="184" t="n"/>
      <c r="BK147" s="184" t="n"/>
      <c r="BL147" s="184" t="n"/>
      <c r="BM147" s="184" t="n"/>
      <c r="BN147" s="184" t="n"/>
      <c r="BO147" s="184" t="n"/>
      <c r="BP147" s="184" t="n"/>
      <c r="BQ147" s="184" t="n"/>
      <c r="BR147" s="184" t="n"/>
      <c r="BS147" s="184" t="n"/>
      <c r="BT147" s="184" t="n"/>
      <c r="BU147" s="184" t="n"/>
      <c r="BV147" s="184" t="n"/>
      <c r="BW147" s="184" t="n"/>
      <c r="BX147" s="184" t="n"/>
      <c r="BY147" s="184" t="n"/>
      <c r="BZ147" s="184" t="n"/>
      <c r="CA147" s="184" t="n"/>
      <c r="CB147" s="184" t="n"/>
      <c r="CC147" s="184" t="n"/>
      <c r="CD147" s="184" t="n"/>
      <c r="CE147" s="184" t="n"/>
      <c r="CF147" s="184" t="n"/>
      <c r="CG147" s="184" t="n"/>
      <c r="CH147" s="184" t="n"/>
      <c r="CI147" s="184" t="n"/>
      <c r="CJ147" s="184" t="n"/>
      <c r="CK147" s="184" t="n"/>
      <c r="CL147" s="184" t="n"/>
      <c r="CM147" s="184" t="n"/>
      <c r="CN147" s="184" t="n"/>
      <c r="CO147" s="184" t="n"/>
      <c r="CP147" s="184" t="n"/>
      <c r="CQ147" s="184" t="n"/>
      <c r="CR147" s="184" t="n"/>
      <c r="CS147" s="184" t="n"/>
      <c r="CT147" s="184" t="n"/>
      <c r="CU147" s="184" t="n"/>
      <c r="CV147" s="184" t="n"/>
      <c r="CW147" s="184" t="n"/>
      <c r="CX147" s="184" t="n"/>
      <c r="CY147" s="184" t="n"/>
      <c r="CZ147" s="184" t="n"/>
      <c r="DA147" s="184" t="n"/>
      <c r="DB147" s="184" t="n"/>
      <c r="DC147" s="184" t="n"/>
      <c r="DD147" s="184" t="n"/>
      <c r="DE147" s="184" t="n"/>
      <c r="DF147" s="184" t="n"/>
      <c r="DG147" s="184" t="n"/>
      <c r="DH147" s="184" t="n"/>
      <c r="DI147" s="184" t="n"/>
      <c r="DJ147" s="184" t="n"/>
      <c r="DK147" s="184" t="n"/>
      <c r="DL147" s="184" t="n"/>
      <c r="DM147" s="184" t="n"/>
      <c r="DN147" s="184" t="n"/>
      <c r="DO147" s="184" t="n"/>
      <c r="DP147" s="184" t="n"/>
      <c r="DQ147" s="184" t="n"/>
      <c r="DR147" s="184" t="n"/>
      <c r="DS147" s="184" t="n"/>
      <c r="DT147" s="184" t="n"/>
      <c r="DU147" s="184" t="n"/>
      <c r="DV147" s="184" t="n"/>
      <c r="DW147" s="184" t="n"/>
      <c r="DX147" s="184" t="n"/>
      <c r="DY147" s="184" t="n"/>
      <c r="DZ147" s="184" t="n"/>
      <c r="EA147" s="184" t="n"/>
      <c r="EB147" s="184" t="n"/>
      <c r="EC147" s="184" t="n"/>
      <c r="ED147" s="184" t="n"/>
      <c r="EE147" s="184" t="n"/>
      <c r="EF147" s="184" t="n"/>
      <c r="EG147" s="184" t="n"/>
      <c r="EH147" s="184" t="n"/>
      <c r="EI147" s="184" t="n"/>
      <c r="EJ147" s="184" t="n"/>
      <c r="EK147" s="184" t="n"/>
      <c r="EL147" s="184" t="n"/>
      <c r="EM147" s="184" t="n"/>
      <c r="EN147" s="184" t="n"/>
      <c r="EO147" s="184" t="n"/>
      <c r="EP147" s="184" t="n"/>
    </row>
    <row r="148" ht="20.25" customFormat="1" customHeight="1" s="189" thickBot="1">
      <c r="A148" s="184" t="n"/>
      <c r="B148" s="184" t="n">
        <v>5</v>
      </c>
      <c r="C148" s="184" t="n"/>
      <c r="D148" s="704" t="n">
        <v>8000</v>
      </c>
      <c r="E148" s="704" t="n">
        <v>8000</v>
      </c>
      <c r="F148" s="702">
        <f>IF(ISNUMBER(E148),IF('Identificación del Instrumento'!$F$17="PRIMITIVA","",IF($G$59="DISCONTINUA",$E$84/2,0)),"")</f>
        <v/>
      </c>
      <c r="G148" s="704" t="n">
        <v>8000</v>
      </c>
      <c r="H148" s="702">
        <f>IF(ISNUMBER(G148),IF('Identificación del Instrumento'!$F$17="PRIMITIVA","",IF($G$59="DISCONTINUA",$E$84/2,0)),"")</f>
        <v/>
      </c>
      <c r="I148" s="655">
        <f>IF(AND(ISNUMBER(B148),ISNUMBER(D148),ISNUMBER(E148),$B$59=1),IF($G$59="discontinua",(E148-D148),(E148-D148)),"")</f>
        <v/>
      </c>
      <c r="J148" s="655">
        <f>IF(AND(ISNUMBER(B148),ISNUMBER(D148),ISNUMBER(G148),$B$59=1),IF($G$59="discontinua",(G148-D148),(G148-D148)),"")</f>
        <v/>
      </c>
      <c r="K148" s="655">
        <f>IF(AND(ISNUMBER(I148),ISNUMBER(J148)),ABS(J148-I148),"")</f>
        <v/>
      </c>
      <c r="L148" s="655">
        <f>IF(AND(ISNUMBER(B148),ISNUMBER(D148),ISNUMBER(E148),ISNUMBER(F148),$B$59=1),IF($G$59="discontinua",(E148+($H$136/2)-F148-D148),(E148-F148-D148)),"")</f>
        <v/>
      </c>
      <c r="M148" s="655">
        <f>IF(AND(ISNUMBER(B148),ISNUMBER(D148),ISNUMBER(G148),ISNUMBER(H148),$B$59=1),IF($G$59="discontinua",(G148+($H$136/2)-H148-D148),(G148-H148-D148)),"")</f>
        <v/>
      </c>
      <c r="N148" s="184" t="n"/>
      <c r="O148" s="248" t="n"/>
      <c r="P148" s="38">
        <f>IF(ISNUMBER(E148),$E$18/SQRT(12),"")</f>
        <v/>
      </c>
      <c r="Q148" s="38">
        <f>IF(ISNUMBER(E148),MAX(K$96,K$120,K$108,K$132)/SQRT(12),"")</f>
        <v/>
      </c>
      <c r="R148" s="38">
        <f>B148*0.05/2</f>
        <v/>
      </c>
      <c r="S148" s="185" t="n">
        <v>0</v>
      </c>
      <c r="T148" s="38">
        <f>IF(ISNUMBER(E148),2*SQRT(SUMSQ(P148,Q148,R148,S148)),"")</f>
        <v/>
      </c>
      <c r="U148" s="342">
        <f>IF(ISNUMBER(E148),IF(D148&lt;=$F$49,I$49,IF(D148&lt;=$F$50,$I$50,$I$51)),"")</f>
        <v/>
      </c>
      <c r="V148" s="343">
        <f>IF(ISNUMBER(I148),IF('Identificación del Instrumento'!$B$17="periódica",IF(ABS(I148)&lt;=U148,0,1),IF(ABS(L148)&lt;=U148,0,1)),"")</f>
        <v/>
      </c>
      <c r="W148" s="184" t="n"/>
      <c r="X148" s="184" t="n"/>
      <c r="Y148" s="184" t="n"/>
      <c r="Z148" s="184" t="n"/>
      <c r="AA148" s="184" t="n"/>
      <c r="AB148" s="184" t="n"/>
      <c r="AC148" s="61" t="n"/>
      <c r="AD148" s="1298" t="n"/>
      <c r="AE148" s="184" t="n"/>
      <c r="AF148" s="184" t="n"/>
      <c r="AG148" s="1298" t="n"/>
      <c r="AH148" s="184" t="n"/>
      <c r="AI148" s="60" t="n"/>
      <c r="AJ148" s="1298" t="n"/>
      <c r="AK148" s="1298" t="n"/>
      <c r="AL148" s="1298" t="n"/>
      <c r="AM148" s="1298" t="n"/>
      <c r="AN148" s="1298" t="n"/>
      <c r="AO148" s="184" t="n"/>
      <c r="AP148" s="184" t="n"/>
      <c r="AQ148" s="184" t="n"/>
      <c r="AR148" s="184" t="n"/>
      <c r="AS148" s="184" t="n"/>
      <c r="AT148" s="184" t="n"/>
      <c r="AU148" s="184" t="n"/>
      <c r="AV148" s="184" t="n"/>
      <c r="AW148" s="184" t="n"/>
      <c r="AX148" s="184" t="n"/>
      <c r="AY148" s="184" t="n"/>
      <c r="AZ148" s="184" t="n"/>
      <c r="BA148" s="184" t="n"/>
      <c r="BB148" s="184" t="n"/>
      <c r="BC148" s="184" t="n"/>
      <c r="BD148" s="184" t="n"/>
      <c r="BE148" s="184" t="n"/>
      <c r="BF148" s="184" t="n"/>
      <c r="BG148" s="184" t="n"/>
      <c r="BH148" s="184" t="n"/>
      <c r="BI148" s="184" t="n"/>
      <c r="BJ148" s="184" t="n"/>
      <c r="BK148" s="184" t="n"/>
      <c r="BL148" s="184" t="n"/>
      <c r="BM148" s="184" t="n"/>
      <c r="BN148" s="184" t="n"/>
      <c r="BO148" s="184" t="n"/>
      <c r="BP148" s="184" t="n"/>
      <c r="BQ148" s="184" t="n"/>
      <c r="BR148" s="184" t="n"/>
      <c r="BS148" s="184" t="n"/>
      <c r="BT148" s="184" t="n"/>
      <c r="BU148" s="184" t="n"/>
      <c r="BV148" s="184" t="n"/>
      <c r="BW148" s="184" t="n"/>
      <c r="BX148" s="184" t="n"/>
      <c r="BY148" s="184" t="n"/>
      <c r="BZ148" s="184" t="n"/>
      <c r="CA148" s="184" t="n"/>
      <c r="CB148" s="184" t="n"/>
      <c r="CC148" s="184" t="n"/>
      <c r="CD148" s="184" t="n"/>
      <c r="CE148" s="184" t="n"/>
      <c r="CF148" s="184" t="n"/>
      <c r="CG148" s="184" t="n"/>
      <c r="CH148" s="184" t="n"/>
      <c r="CI148" s="184" t="n"/>
      <c r="CJ148" s="184" t="n"/>
      <c r="CK148" s="184" t="n"/>
      <c r="CL148" s="184" t="n"/>
      <c r="CM148" s="184" t="n"/>
      <c r="CN148" s="184" t="n"/>
      <c r="CO148" s="184" t="n"/>
      <c r="CP148" s="184" t="n"/>
      <c r="CQ148" s="184" t="n"/>
      <c r="CR148" s="184" t="n"/>
      <c r="CS148" s="184" t="n"/>
      <c r="CT148" s="184" t="n"/>
      <c r="CU148" s="184" t="n"/>
      <c r="CV148" s="184" t="n"/>
      <c r="CW148" s="184" t="n"/>
      <c r="CX148" s="184" t="n"/>
      <c r="CY148" s="184" t="n"/>
      <c r="CZ148" s="184" t="n"/>
      <c r="DA148" s="184" t="n"/>
      <c r="DB148" s="184" t="n"/>
      <c r="DC148" s="184" t="n"/>
      <c r="DD148" s="184" t="n"/>
      <c r="DE148" s="184" t="n"/>
      <c r="DF148" s="184" t="n"/>
      <c r="DG148" s="184" t="n"/>
      <c r="DH148" s="184" t="n"/>
      <c r="DI148" s="184" t="n"/>
      <c r="DJ148" s="184" t="n"/>
      <c r="DK148" s="184" t="n"/>
      <c r="DL148" s="184" t="n"/>
      <c r="DM148" s="184" t="n"/>
      <c r="DN148" s="184" t="n"/>
      <c r="DO148" s="184" t="n"/>
      <c r="DP148" s="184" t="n"/>
      <c r="DQ148" s="184" t="n"/>
      <c r="DR148" s="184" t="n"/>
      <c r="DS148" s="184" t="n"/>
      <c r="DT148" s="184" t="n"/>
      <c r="DU148" s="184" t="n"/>
      <c r="DV148" s="184" t="n"/>
      <c r="DW148" s="184" t="n"/>
      <c r="DX148" s="184" t="n"/>
      <c r="DY148" s="184" t="n"/>
      <c r="DZ148" s="184" t="n"/>
      <c r="EA148" s="184" t="n"/>
      <c r="EB148" s="184" t="n"/>
      <c r="EC148" s="184" t="n"/>
      <c r="ED148" s="184" t="n"/>
      <c r="EE148" s="184" t="n"/>
      <c r="EF148" s="184" t="n"/>
      <c r="EG148" s="184" t="n"/>
      <c r="EH148" s="184" t="n"/>
      <c r="EI148" s="184" t="n"/>
      <c r="EJ148" s="184" t="n"/>
      <c r="EK148" s="184" t="n"/>
      <c r="EL148" s="184" t="n"/>
      <c r="EM148" s="184" t="n"/>
      <c r="EN148" s="184" t="n"/>
      <c r="EO148" s="184" t="n"/>
      <c r="EP148" s="184" t="n"/>
    </row>
    <row r="149" ht="20.25" customFormat="1" customHeight="1" s="189" thickBot="1">
      <c r="A149" s="184" t="n"/>
      <c r="B149" s="184" t="n">
        <v>6</v>
      </c>
      <c r="C149" s="184" t="n"/>
      <c r="D149" s="704" t="n">
        <v>10000</v>
      </c>
      <c r="E149" s="704" t="n">
        <v>10000</v>
      </c>
      <c r="F149" s="702">
        <f>IF(ISNUMBER(E149),IF('Identificación del Instrumento'!$F$17="PRIMITIVA","",IF($G$59="DISCONTINUA",$E$84/2,0)),"")</f>
        <v/>
      </c>
      <c r="G149" s="704" t="n">
        <v>10000</v>
      </c>
      <c r="H149" s="702">
        <f>IF(ISNUMBER(G149),IF('Identificación del Instrumento'!$F$17="PRIMITIVA","",IF($G$59="DISCONTINUA",$E$84/2,0)),"")</f>
        <v/>
      </c>
      <c r="I149" s="655">
        <f>IF(AND(ISNUMBER(B149),ISNUMBER(D149),ISNUMBER(E149),$B$59=1),IF($G$59="discontinua",(E149-D149),(E149-D149)),"")</f>
        <v/>
      </c>
      <c r="J149" s="655">
        <f>IF(AND(ISNUMBER(B149),ISNUMBER(D149),ISNUMBER(G149),$B$59=1),IF($G$59="discontinua",(G149-D149),(G149-D149)),"")</f>
        <v/>
      </c>
      <c r="K149" s="655">
        <f>IF(AND(ISNUMBER(I149),ISNUMBER(J149)),ABS(J149-I149),"")</f>
        <v/>
      </c>
      <c r="L149" s="655">
        <f>IF(AND(ISNUMBER(B149),ISNUMBER(D149),ISNUMBER(E149),ISNUMBER(F149),$B$59=1),IF($G$59="discontinua",(E149+($H$136/2)-F149-D149),(E149-F149-D149)),"")</f>
        <v/>
      </c>
      <c r="M149" s="655">
        <f>IF(AND(ISNUMBER(B149),ISNUMBER(D149),ISNUMBER(G149),ISNUMBER(H149),$B$59=1),IF($G$59="discontinua",(G149+($H$136/2)-H149-D149),(G149-H149-D149)),"")</f>
        <v/>
      </c>
      <c r="N149" s="184" t="n"/>
      <c r="O149" s="248" t="n"/>
      <c r="P149" s="38">
        <f>IF(ISNUMBER(E149),$E$18/SQRT(12),"")</f>
        <v/>
      </c>
      <c r="Q149" s="38">
        <f>IF(ISNUMBER(E149),MAX(K$96,K$120,K$108,K$132)/SQRT(12),"")</f>
        <v/>
      </c>
      <c r="R149" s="38">
        <f>B149*0.05/2</f>
        <v/>
      </c>
      <c r="S149" s="185" t="n">
        <v>0</v>
      </c>
      <c r="T149" s="38">
        <f>IF(ISNUMBER(E149),2*SQRT(SUMSQ(P149,Q149,R149,S149)),"")</f>
        <v/>
      </c>
      <c r="U149" s="342">
        <f>IF(ISNUMBER(E149),IF(D149&lt;=$F$49,I$49,IF(D149&lt;=$F$50,$I$50,$I$51)),"")</f>
        <v/>
      </c>
      <c r="V149" s="343">
        <f>IF(ISNUMBER(I149),IF('Identificación del Instrumento'!$B$17="periódica",IF(ABS(I149)&lt;=U149,0,1),IF(ABS(L149)&lt;=U149,0,1)),"")</f>
        <v/>
      </c>
      <c r="W149" s="184" t="n"/>
      <c r="X149" s="184" t="n"/>
      <c r="Y149" s="184" t="n"/>
      <c r="Z149" s="184" t="n"/>
      <c r="AA149" s="184" t="n"/>
      <c r="AB149" s="184" t="n"/>
      <c r="AC149" s="61" t="n"/>
      <c r="AD149" s="1298" t="n"/>
      <c r="AE149" s="184" t="n"/>
      <c r="AF149" s="184" t="n"/>
      <c r="AG149" s="1298" t="n"/>
      <c r="AH149" s="184" t="n"/>
      <c r="AI149" s="60" t="n"/>
      <c r="AJ149" s="1298" t="n"/>
      <c r="AK149" s="1298" t="n"/>
      <c r="AL149" s="1298" t="n"/>
      <c r="AM149" s="1298" t="n"/>
      <c r="AN149" s="1298" t="n"/>
      <c r="AO149" s="184" t="n"/>
      <c r="AP149" s="184" t="n"/>
      <c r="AQ149" s="184" t="n"/>
      <c r="AR149" s="184" t="n"/>
      <c r="AS149" s="184" t="n"/>
      <c r="AT149" s="184" t="n"/>
      <c r="AU149" s="184" t="n"/>
      <c r="AV149" s="184" t="n"/>
      <c r="AW149" s="184" t="n"/>
      <c r="AX149" s="184" t="n"/>
      <c r="AY149" s="184" t="n"/>
      <c r="AZ149" s="184" t="n"/>
      <c r="BA149" s="184" t="n"/>
      <c r="BB149" s="184" t="n"/>
      <c r="BC149" s="184" t="n"/>
      <c r="BD149" s="184" t="n"/>
      <c r="BE149" s="184" t="n"/>
      <c r="BF149" s="184" t="n"/>
      <c r="BG149" s="184" t="n"/>
      <c r="BH149" s="184" t="n"/>
      <c r="BI149" s="184" t="n"/>
      <c r="BJ149" s="184" t="n"/>
      <c r="BK149" s="184" t="n"/>
      <c r="BL149" s="184" t="n"/>
      <c r="BM149" s="184" t="n"/>
      <c r="BN149" s="184" t="n"/>
      <c r="BO149" s="184" t="n"/>
      <c r="BP149" s="184" t="n"/>
      <c r="BQ149" s="184" t="n"/>
      <c r="BR149" s="184" t="n"/>
      <c r="BS149" s="184" t="n"/>
      <c r="BT149" s="184" t="n"/>
      <c r="BU149" s="184" t="n"/>
      <c r="BV149" s="184" t="n"/>
      <c r="BW149" s="184" t="n"/>
      <c r="BX149" s="184" t="n"/>
      <c r="BY149" s="184" t="n"/>
      <c r="BZ149" s="184" t="n"/>
      <c r="CA149" s="184" t="n"/>
      <c r="CB149" s="184" t="n"/>
      <c r="CC149" s="184" t="n"/>
      <c r="CD149" s="184" t="n"/>
      <c r="CE149" s="184" t="n"/>
      <c r="CF149" s="184" t="n"/>
      <c r="CG149" s="184" t="n"/>
      <c r="CH149" s="184" t="n"/>
      <c r="CI149" s="184" t="n"/>
      <c r="CJ149" s="184" t="n"/>
      <c r="CK149" s="184" t="n"/>
      <c r="CL149" s="184" t="n"/>
      <c r="CM149" s="184" t="n"/>
      <c r="CN149" s="184" t="n"/>
      <c r="CO149" s="184" t="n"/>
      <c r="CP149" s="184" t="n"/>
      <c r="CQ149" s="184" t="n"/>
      <c r="CR149" s="184" t="n"/>
      <c r="CS149" s="184" t="n"/>
      <c r="CT149" s="184" t="n"/>
      <c r="CU149" s="184" t="n"/>
      <c r="CV149" s="184" t="n"/>
      <c r="CW149" s="184" t="n"/>
      <c r="CX149" s="184" t="n"/>
      <c r="CY149" s="184" t="n"/>
      <c r="CZ149" s="184" t="n"/>
      <c r="DA149" s="184" t="n"/>
      <c r="DB149" s="184" t="n"/>
      <c r="DC149" s="184" t="n"/>
      <c r="DD149" s="184" t="n"/>
      <c r="DE149" s="184" t="n"/>
      <c r="DF149" s="184" t="n"/>
      <c r="DG149" s="184" t="n"/>
      <c r="DH149" s="184" t="n"/>
      <c r="DI149" s="184" t="n"/>
      <c r="DJ149" s="184" t="n"/>
      <c r="DK149" s="184" t="n"/>
      <c r="DL149" s="184" t="n"/>
      <c r="DM149" s="184" t="n"/>
      <c r="DN149" s="184" t="n"/>
      <c r="DO149" s="184" t="n"/>
      <c r="DP149" s="184" t="n"/>
      <c r="DQ149" s="184" t="n"/>
      <c r="DR149" s="184" t="n"/>
      <c r="DS149" s="184" t="n"/>
      <c r="DT149" s="184" t="n"/>
      <c r="DU149" s="184" t="n"/>
      <c r="DV149" s="184" t="n"/>
      <c r="DW149" s="184" t="n"/>
      <c r="DX149" s="184" t="n"/>
      <c r="DY149" s="184" t="n"/>
      <c r="DZ149" s="184" t="n"/>
      <c r="EA149" s="184" t="n"/>
      <c r="EB149" s="184" t="n"/>
      <c r="EC149" s="184" t="n"/>
      <c r="ED149" s="184" t="n"/>
      <c r="EE149" s="184" t="n"/>
      <c r="EF149" s="184" t="n"/>
      <c r="EG149" s="184" t="n"/>
      <c r="EH149" s="184" t="n"/>
      <c r="EI149" s="184" t="n"/>
      <c r="EJ149" s="184" t="n"/>
      <c r="EK149" s="184" t="n"/>
      <c r="EL149" s="184" t="n"/>
      <c r="EM149" s="184" t="n"/>
      <c r="EN149" s="184" t="n"/>
      <c r="EO149" s="184" t="n"/>
      <c r="EP149" s="184" t="n"/>
    </row>
    <row r="150" ht="20.25" customFormat="1" customHeight="1" s="189" thickBot="1">
      <c r="A150" s="184" t="n"/>
      <c r="B150" s="184" t="n">
        <v>7</v>
      </c>
      <c r="C150" s="184" t="n"/>
      <c r="D150" s="704" t="n">
        <v>12000</v>
      </c>
      <c r="E150" s="704" t="n">
        <v>12020</v>
      </c>
      <c r="F150" s="702">
        <f>IF(ISNUMBER(E150),IF('Identificación del Instrumento'!$F$17="PRIMITIVA","",IF($G$59="DISCONTINUA",$E$84/2,0)),"")</f>
        <v/>
      </c>
      <c r="G150" s="704" t="n">
        <v>12000</v>
      </c>
      <c r="H150" s="702">
        <f>IF(ISNUMBER(G150),IF('Identificación del Instrumento'!$F$17="PRIMITIVA","",IF($G$59="DISCONTINUA",$E$84/2,0)),"")</f>
        <v/>
      </c>
      <c r="I150" s="655">
        <f>IF(AND(ISNUMBER(B150),ISNUMBER(D150),ISNUMBER(E150),$B$59=1),IF($G$59="discontinua",(E150-D150),(E150-D150)),"")</f>
        <v/>
      </c>
      <c r="J150" s="655">
        <f>IF(AND(ISNUMBER(B150),ISNUMBER(D150),ISNUMBER(G150),$B$59=1),IF($G$59="discontinua",(G150-D150),(G150-D150)),"")</f>
        <v/>
      </c>
      <c r="K150" s="655">
        <f>IF(AND(ISNUMBER(I150),ISNUMBER(J150)),ABS(J150-I150),"")</f>
        <v/>
      </c>
      <c r="L150" s="655">
        <f>IF(AND(ISNUMBER(B150),ISNUMBER(D150),ISNUMBER(E150),ISNUMBER(F150),$B$59=1),IF($G$59="discontinua",(E150+($H$136/2)-F150-D150),(E150-F150-D150)),"")</f>
        <v/>
      </c>
      <c r="M150" s="655">
        <f>IF(AND(ISNUMBER(B150),ISNUMBER(D150),ISNUMBER(G150),ISNUMBER(H150),$B$59=1),IF($G$59="discontinua",(G150+($H$136/2)-H150-D150),(G150-H150-D150)),"")</f>
        <v/>
      </c>
      <c r="N150" s="184" t="n"/>
      <c r="O150" s="248" t="n"/>
      <c r="P150" s="38">
        <f>IF(ISNUMBER(E150),$E$18/SQRT(12),"")</f>
        <v/>
      </c>
      <c r="Q150" s="38">
        <f>IF(ISNUMBER(E150),MAX(K$96,K$120,K$108,K$132)/SQRT(12),"")</f>
        <v/>
      </c>
      <c r="R150" s="38">
        <f>B150*0.05/2</f>
        <v/>
      </c>
      <c r="S150" s="185" t="n">
        <v>0</v>
      </c>
      <c r="T150" s="38">
        <f>IF(ISNUMBER(E150),2*SQRT(SUMSQ(P150,Q150,R150,S150)),"")</f>
        <v/>
      </c>
      <c r="U150" s="342">
        <f>IF(ISNUMBER(E150),IF(D150&lt;=$F$49,I$49,IF(D150&lt;=$F$50,$I$50,$I$51)),"")</f>
        <v/>
      </c>
      <c r="V150" s="343">
        <f>IF(ISNUMBER(I150),IF('Identificación del Instrumento'!$B$17="periódica",IF(ABS(I150)&lt;=U150,0,1),IF(ABS(L150)&lt;=U150,0,1)),"")</f>
        <v/>
      </c>
      <c r="W150" s="184" t="n"/>
      <c r="X150" s="184" t="n"/>
      <c r="Y150" s="184" t="n"/>
      <c r="Z150" s="184" t="n"/>
      <c r="AA150" s="184" t="n"/>
      <c r="AB150" s="184" t="n"/>
      <c r="AC150" s="61" t="n"/>
      <c r="AD150" s="1298" t="n"/>
      <c r="AE150" s="184" t="n"/>
      <c r="AF150" s="184" t="n"/>
      <c r="AG150" s="1298" t="n"/>
      <c r="AH150" s="184" t="n"/>
      <c r="AI150" s="60" t="n"/>
      <c r="AJ150" s="1298" t="n"/>
      <c r="AK150" s="1298" t="n"/>
      <c r="AL150" s="1298" t="n"/>
      <c r="AM150" s="1298" t="n"/>
      <c r="AN150" s="1298" t="n"/>
      <c r="AO150" s="184" t="n"/>
      <c r="AP150" s="184" t="n"/>
      <c r="AQ150" s="184" t="n"/>
      <c r="AR150" s="184" t="n"/>
      <c r="AS150" s="184" t="n"/>
      <c r="AT150" s="184" t="n"/>
      <c r="AU150" s="184" t="n"/>
      <c r="AV150" s="184" t="n"/>
      <c r="AW150" s="184" t="n"/>
      <c r="AX150" s="184" t="n"/>
      <c r="AY150" s="184" t="n"/>
      <c r="AZ150" s="184" t="n"/>
      <c r="BA150" s="184" t="n"/>
      <c r="BB150" s="184" t="n"/>
      <c r="BC150" s="184" t="n"/>
      <c r="BD150" s="184" t="n"/>
      <c r="BE150" s="184" t="n"/>
      <c r="BF150" s="184" t="n"/>
      <c r="BG150" s="184" t="n"/>
      <c r="BH150" s="184" t="n"/>
      <c r="BI150" s="184" t="n"/>
      <c r="BJ150" s="184" t="n"/>
      <c r="BK150" s="184" t="n"/>
      <c r="BL150" s="184" t="n"/>
      <c r="BM150" s="184" t="n"/>
      <c r="BN150" s="184" t="n"/>
      <c r="BO150" s="184" t="n"/>
      <c r="BP150" s="184" t="n"/>
      <c r="BQ150" s="184" t="n"/>
      <c r="BR150" s="184" t="n"/>
      <c r="BS150" s="184" t="n"/>
      <c r="BT150" s="184" t="n"/>
      <c r="BU150" s="184" t="n"/>
      <c r="BV150" s="184" t="n"/>
      <c r="BW150" s="184" t="n"/>
      <c r="BX150" s="184" t="n"/>
      <c r="BY150" s="184" t="n"/>
      <c r="BZ150" s="184" t="n"/>
      <c r="CA150" s="184" t="n"/>
      <c r="CB150" s="184" t="n"/>
      <c r="CC150" s="184" t="n"/>
      <c r="CD150" s="184" t="n"/>
      <c r="CE150" s="184" t="n"/>
      <c r="CF150" s="184" t="n"/>
      <c r="CG150" s="184" t="n"/>
      <c r="CH150" s="184" t="n"/>
      <c r="CI150" s="184" t="n"/>
      <c r="CJ150" s="184" t="n"/>
      <c r="CK150" s="184" t="n"/>
      <c r="CL150" s="184" t="n"/>
      <c r="CM150" s="184" t="n"/>
      <c r="CN150" s="184" t="n"/>
      <c r="CO150" s="184" t="n"/>
      <c r="CP150" s="184" t="n"/>
      <c r="CQ150" s="184" t="n"/>
      <c r="CR150" s="184" t="n"/>
      <c r="CS150" s="184" t="n"/>
      <c r="CT150" s="184" t="n"/>
      <c r="CU150" s="184" t="n"/>
      <c r="CV150" s="184" t="n"/>
      <c r="CW150" s="184" t="n"/>
      <c r="CX150" s="184" t="n"/>
      <c r="CY150" s="184" t="n"/>
      <c r="CZ150" s="184" t="n"/>
      <c r="DA150" s="184" t="n"/>
      <c r="DB150" s="184" t="n"/>
      <c r="DC150" s="184" t="n"/>
      <c r="DD150" s="184" t="n"/>
      <c r="DE150" s="184" t="n"/>
      <c r="DF150" s="184" t="n"/>
      <c r="DG150" s="184" t="n"/>
      <c r="DH150" s="184" t="n"/>
      <c r="DI150" s="184" t="n"/>
      <c r="DJ150" s="184" t="n"/>
      <c r="DK150" s="184" t="n"/>
      <c r="DL150" s="184" t="n"/>
      <c r="DM150" s="184" t="n"/>
      <c r="DN150" s="184" t="n"/>
      <c r="DO150" s="184" t="n"/>
      <c r="DP150" s="184" t="n"/>
      <c r="DQ150" s="184" t="n"/>
      <c r="DR150" s="184" t="n"/>
      <c r="DS150" s="184" t="n"/>
      <c r="DT150" s="184" t="n"/>
      <c r="DU150" s="184" t="n"/>
      <c r="DV150" s="184" t="n"/>
      <c r="DW150" s="184" t="n"/>
      <c r="DX150" s="184" t="n"/>
      <c r="DY150" s="184" t="n"/>
      <c r="DZ150" s="184" t="n"/>
      <c r="EA150" s="184" t="n"/>
      <c r="EB150" s="184" t="n"/>
      <c r="EC150" s="184" t="n"/>
      <c r="ED150" s="184" t="n"/>
      <c r="EE150" s="184" t="n"/>
      <c r="EF150" s="184" t="n"/>
      <c r="EG150" s="184" t="n"/>
      <c r="EH150" s="184" t="n"/>
      <c r="EI150" s="184" t="n"/>
      <c r="EJ150" s="184" t="n"/>
      <c r="EK150" s="184" t="n"/>
      <c r="EL150" s="184" t="n"/>
      <c r="EM150" s="184" t="n"/>
      <c r="EN150" s="184" t="n"/>
      <c r="EO150" s="184" t="n"/>
      <c r="EP150" s="184" t="n"/>
    </row>
    <row r="151" ht="20.25" customFormat="1" customHeight="1" s="189" thickBot="1">
      <c r="A151" s="184" t="n"/>
      <c r="B151" s="184" t="n">
        <v>8</v>
      </c>
      <c r="C151" s="184" t="n"/>
      <c r="D151" s="704" t="n">
        <v>14000</v>
      </c>
      <c r="E151" s="704" t="n">
        <v>14020</v>
      </c>
      <c r="F151" s="702">
        <f>IF(ISNUMBER(E151),IF('Identificación del Instrumento'!$F$17="PRIMITIVA","",IF($G$59="DISCONTINUA",$E$84/2,0)),"")</f>
        <v/>
      </c>
      <c r="G151" s="704" t="n">
        <v>14000</v>
      </c>
      <c r="H151" s="702">
        <f>IF(ISNUMBER(G151),IF('Identificación del Instrumento'!$F$17="PRIMITIVA","",IF($G$59="DISCONTINUA",$E$84/2,0)),"")</f>
        <v/>
      </c>
      <c r="I151" s="655">
        <f>IF(AND(ISNUMBER(B151),ISNUMBER(D151),ISNUMBER(E151),$B$59=1),IF($G$59="discontinua",(E151-D151),(E151-D151)),"")</f>
        <v/>
      </c>
      <c r="J151" s="655">
        <f>IF(AND(ISNUMBER(B151),ISNUMBER(D151),ISNUMBER(G151),$B$59=1),IF($G$59="discontinua",(G151-D151),(G151-D151)),"")</f>
        <v/>
      </c>
      <c r="K151" s="655">
        <f>IF(AND(ISNUMBER(I151),ISNUMBER(J151)),ABS(J151-I151),"")</f>
        <v/>
      </c>
      <c r="L151" s="655">
        <f>IF(AND(ISNUMBER(B151),ISNUMBER(D151),ISNUMBER(E151),ISNUMBER(F151),$B$59=1),IF($G$59="discontinua",(E151+($H$136/2)-F151-D151),(E151-F151-D151)),"")</f>
        <v/>
      </c>
      <c r="M151" s="655">
        <f>IF(AND(ISNUMBER(B151),ISNUMBER(D151),ISNUMBER(G151),ISNUMBER(H151),$B$59=1),IF($G$59="discontinua",(G151+($H$136/2)-H151-D151),(G151-H151-D151)),"")</f>
        <v/>
      </c>
      <c r="N151" s="184" t="n"/>
      <c r="O151" s="248" t="n"/>
      <c r="P151" s="38">
        <f>IF(ISNUMBER(E151),$E$18/SQRT(12),"")</f>
        <v/>
      </c>
      <c r="Q151" s="38">
        <f>IF(ISNUMBER(E151),MAX(K$96,K$120,K$108,K$132)/SQRT(12),"")</f>
        <v/>
      </c>
      <c r="R151" s="38">
        <f>B151*0.05/2</f>
        <v/>
      </c>
      <c r="S151" s="185" t="n">
        <v>0</v>
      </c>
      <c r="T151" s="38">
        <f>IF(ISNUMBER(E151),2*SQRT(SUMSQ(P151,Q151,R151,S151)),"")</f>
        <v/>
      </c>
      <c r="U151" s="342">
        <f>IF(ISNUMBER(E151),IF(D151&lt;=$F$49,I$49,IF(D151&lt;=$F$50,$I$50,$I$51)),"")</f>
        <v/>
      </c>
      <c r="V151" s="343">
        <f>IF(ISNUMBER(I151),IF('Identificación del Instrumento'!$B$17="periódica",IF(ABS(I151)&lt;=U151,0,1),IF(ABS(L151)&lt;=U151,0,1)),"")</f>
        <v/>
      </c>
      <c r="W151" s="184" t="n"/>
      <c r="X151" s="184" t="n"/>
      <c r="Y151" s="184" t="n"/>
      <c r="Z151" s="184" t="n"/>
      <c r="AA151" s="184" t="n"/>
      <c r="AB151" s="184" t="n"/>
      <c r="AC151" s="61" t="n"/>
      <c r="AD151" s="1298" t="n"/>
      <c r="AE151" s="184" t="n"/>
      <c r="AF151" s="184" t="n"/>
      <c r="AG151" s="1298" t="n"/>
      <c r="AH151" s="184" t="n"/>
      <c r="AI151" s="60" t="n"/>
      <c r="AJ151" s="1298" t="n"/>
      <c r="AK151" s="1298" t="n"/>
      <c r="AL151" s="1298" t="n"/>
      <c r="AM151" s="1298" t="n"/>
      <c r="AN151" s="1298" t="n"/>
      <c r="AO151" s="184" t="n"/>
      <c r="AP151" s="184" t="n"/>
      <c r="AQ151" s="184" t="n"/>
      <c r="AR151" s="184" t="n"/>
      <c r="AS151" s="184" t="n"/>
      <c r="AT151" s="184" t="n"/>
      <c r="AU151" s="184" t="n"/>
      <c r="AV151" s="184" t="n"/>
      <c r="AW151" s="184" t="n"/>
      <c r="AX151" s="184" t="n"/>
      <c r="AY151" s="184" t="n"/>
      <c r="AZ151" s="184" t="n"/>
      <c r="BA151" s="184" t="n"/>
      <c r="BB151" s="184" t="n"/>
      <c r="BC151" s="184" t="n"/>
      <c r="BD151" s="184" t="n"/>
      <c r="BE151" s="184" t="n"/>
      <c r="BF151" s="184" t="n"/>
      <c r="BG151" s="184" t="n"/>
      <c r="BH151" s="184" t="n"/>
      <c r="BI151" s="184" t="n"/>
      <c r="BJ151" s="184" t="n"/>
      <c r="BK151" s="184" t="n"/>
      <c r="BL151" s="184" t="n"/>
      <c r="BM151" s="184" t="n"/>
      <c r="BN151" s="184" t="n"/>
      <c r="BO151" s="184" t="n"/>
      <c r="BP151" s="184" t="n"/>
      <c r="BQ151" s="184" t="n"/>
      <c r="BR151" s="184" t="n"/>
      <c r="BS151" s="184" t="n"/>
      <c r="BT151" s="184" t="n"/>
      <c r="BU151" s="184" t="n"/>
      <c r="BV151" s="184" t="n"/>
      <c r="BW151" s="184" t="n"/>
      <c r="BX151" s="184" t="n"/>
      <c r="BY151" s="184" t="n"/>
      <c r="BZ151" s="184" t="n"/>
      <c r="CA151" s="184" t="n"/>
      <c r="CB151" s="184" t="n"/>
      <c r="CC151" s="184" t="n"/>
      <c r="CD151" s="184" t="n"/>
      <c r="CE151" s="184" t="n"/>
      <c r="CF151" s="184" t="n"/>
      <c r="CG151" s="184" t="n"/>
      <c r="CH151" s="184" t="n"/>
      <c r="CI151" s="184" t="n"/>
      <c r="CJ151" s="184" t="n"/>
      <c r="CK151" s="184" t="n"/>
      <c r="CL151" s="184" t="n"/>
      <c r="CM151" s="184" t="n"/>
      <c r="CN151" s="184" t="n"/>
      <c r="CO151" s="184" t="n"/>
      <c r="CP151" s="184" t="n"/>
      <c r="CQ151" s="184" t="n"/>
      <c r="CR151" s="184" t="n"/>
      <c r="CS151" s="184" t="n"/>
      <c r="CT151" s="184" t="n"/>
      <c r="CU151" s="184" t="n"/>
      <c r="CV151" s="184" t="n"/>
      <c r="CW151" s="184" t="n"/>
      <c r="CX151" s="184" t="n"/>
      <c r="CY151" s="184" t="n"/>
      <c r="CZ151" s="184" t="n"/>
      <c r="DA151" s="184" t="n"/>
      <c r="DB151" s="184" t="n"/>
      <c r="DC151" s="184" t="n"/>
      <c r="DD151" s="184" t="n"/>
      <c r="DE151" s="184" t="n"/>
      <c r="DF151" s="184" t="n"/>
      <c r="DG151" s="184" t="n"/>
      <c r="DH151" s="184" t="n"/>
      <c r="DI151" s="184" t="n"/>
      <c r="DJ151" s="184" t="n"/>
      <c r="DK151" s="184" t="n"/>
      <c r="DL151" s="184" t="n"/>
      <c r="DM151" s="184" t="n"/>
      <c r="DN151" s="184" t="n"/>
      <c r="DO151" s="184" t="n"/>
      <c r="DP151" s="184" t="n"/>
      <c r="DQ151" s="184" t="n"/>
      <c r="DR151" s="184" t="n"/>
      <c r="DS151" s="184" t="n"/>
      <c r="DT151" s="184" t="n"/>
      <c r="DU151" s="184" t="n"/>
      <c r="DV151" s="184" t="n"/>
      <c r="DW151" s="184" t="n"/>
      <c r="DX151" s="184" t="n"/>
      <c r="DY151" s="184" t="n"/>
      <c r="DZ151" s="184" t="n"/>
      <c r="EA151" s="184" t="n"/>
      <c r="EB151" s="184" t="n"/>
      <c r="EC151" s="184" t="n"/>
      <c r="ED151" s="184" t="n"/>
      <c r="EE151" s="184" t="n"/>
      <c r="EF151" s="184" t="n"/>
      <c r="EG151" s="184" t="n"/>
      <c r="EH151" s="184" t="n"/>
      <c r="EI151" s="184" t="n"/>
      <c r="EJ151" s="184" t="n"/>
      <c r="EK151" s="184" t="n"/>
      <c r="EL151" s="184" t="n"/>
      <c r="EM151" s="184" t="n"/>
      <c r="EN151" s="184" t="n"/>
      <c r="EO151" s="184" t="n"/>
      <c r="EP151" s="184" t="n"/>
    </row>
    <row r="152" ht="20.25" customFormat="1" customHeight="1" s="189" thickBot="1">
      <c r="A152" s="184" t="n"/>
      <c r="B152" s="184" t="n">
        <v>9</v>
      </c>
      <c r="C152" s="184" t="n"/>
      <c r="D152" s="704" t="n">
        <v>16000</v>
      </c>
      <c r="E152" s="704" t="n">
        <v>16020</v>
      </c>
      <c r="F152" s="702">
        <f>IF(ISNUMBER(E152),IF('Identificación del Instrumento'!$F$17="PRIMITIVA","",IF($G$59="DISCONTINUA",$E$84/2,0)),"")</f>
        <v/>
      </c>
      <c r="G152" s="704" t="n">
        <v>16020</v>
      </c>
      <c r="H152" s="702">
        <f>IF(ISNUMBER(G152),IF('Identificación del Instrumento'!$F$17="PRIMITIVA","",IF($G$59="DISCONTINUA",$E$84/2,0)),"")</f>
        <v/>
      </c>
      <c r="I152" s="655">
        <f>IF(AND(ISNUMBER(B152),ISNUMBER(D152),ISNUMBER(E152),$B$59=1),IF($G$59="discontinua",(E152-D152),(E152-D152)),"")</f>
        <v/>
      </c>
      <c r="J152" s="655">
        <f>IF(AND(ISNUMBER(B152),ISNUMBER(D152),ISNUMBER(G152),$B$59=1),IF($G$59="discontinua",(G152-D152),(G152-D152)),"")</f>
        <v/>
      </c>
      <c r="K152" s="655">
        <f>IF(AND(ISNUMBER(I152),ISNUMBER(J152)),ABS(J152-I152),"")</f>
        <v/>
      </c>
      <c r="L152" s="655">
        <f>IF(AND(ISNUMBER(B152),ISNUMBER(D152),ISNUMBER(E152),ISNUMBER(F152),$B$59=1),IF($G$59="discontinua",(E152+($H$136/2)-F152-D152),(E152-F152-D152)),"")</f>
        <v/>
      </c>
      <c r="M152" s="655">
        <f>IF(AND(ISNUMBER(B152),ISNUMBER(D152),ISNUMBER(G152),ISNUMBER(H152),$B$59=1),IF($G$59="discontinua",(G152+($H$136/2)-H152-D152),(G152-H152-D152)),"")</f>
        <v/>
      </c>
      <c r="N152" s="184" t="n"/>
      <c r="O152" s="248" t="n"/>
      <c r="P152" s="38">
        <f>IF(ISNUMBER(E152),$E$18/SQRT(12),"")</f>
        <v/>
      </c>
      <c r="Q152" s="38">
        <f>IF(ISNUMBER(E152),MAX(K$96,K$120,K$108,K$132)/SQRT(12),"")</f>
        <v/>
      </c>
      <c r="R152" s="38">
        <f>B152*0.05/2</f>
        <v/>
      </c>
      <c r="S152" s="185" t="n">
        <v>0</v>
      </c>
      <c r="T152" s="38">
        <f>IF(ISNUMBER(E152),2*SQRT(SUMSQ(P152,Q152,R152,S152)),"")</f>
        <v/>
      </c>
      <c r="U152" s="342">
        <f>IF(ISNUMBER(E152),IF(D152&lt;=$F$49,I$49,IF(D152&lt;=$F$50,$I$50,$I$51)),"")</f>
        <v/>
      </c>
      <c r="V152" s="343">
        <f>IF(ISNUMBER(I152),IF('Identificación del Instrumento'!$B$17="periódica",IF(ABS(I152)&lt;=U152,0,1),IF(ABS(L152)&lt;=U152,0,1)),"")</f>
        <v/>
      </c>
      <c r="W152" s="184" t="n"/>
      <c r="X152" s="184" t="n"/>
      <c r="Y152" s="184" t="n"/>
      <c r="Z152" s="184" t="n"/>
      <c r="AA152" s="184" t="n"/>
      <c r="AB152" s="184" t="n"/>
      <c r="AC152" s="61" t="n"/>
      <c r="AD152" s="1298" t="n"/>
      <c r="AE152" s="184" t="n"/>
      <c r="AF152" s="184" t="n"/>
      <c r="AG152" s="1298" t="n"/>
      <c r="AH152" s="184" t="n"/>
      <c r="AI152" s="60" t="n"/>
      <c r="AJ152" s="1298" t="n"/>
      <c r="AK152" s="1298" t="n"/>
      <c r="AL152" s="1298" t="n"/>
      <c r="AM152" s="1298" t="n"/>
      <c r="AN152" s="1298" t="n"/>
      <c r="AO152" s="184" t="n"/>
      <c r="AP152" s="184" t="n"/>
      <c r="AQ152" s="184" t="n"/>
      <c r="AR152" s="184" t="n"/>
      <c r="AS152" s="184" t="n"/>
      <c r="AT152" s="184" t="n"/>
      <c r="AU152" s="184" t="n"/>
      <c r="AV152" s="184" t="n"/>
      <c r="AW152" s="184" t="n"/>
      <c r="AX152" s="184" t="n"/>
      <c r="AY152" s="184" t="n"/>
      <c r="AZ152" s="184" t="n"/>
      <c r="BA152" s="184" t="n"/>
      <c r="BB152" s="184" t="n"/>
      <c r="BC152" s="184" t="n"/>
      <c r="BD152" s="184" t="n"/>
      <c r="BE152" s="184" t="n"/>
      <c r="BF152" s="184" t="n"/>
      <c r="BG152" s="184" t="n"/>
      <c r="BH152" s="184" t="n"/>
      <c r="BI152" s="184" t="n"/>
      <c r="BJ152" s="184" t="n"/>
      <c r="BK152" s="184" t="n"/>
      <c r="BL152" s="184" t="n"/>
      <c r="BM152" s="184" t="n"/>
      <c r="BN152" s="184" t="n"/>
      <c r="BO152" s="184" t="n"/>
      <c r="BP152" s="184" t="n"/>
      <c r="BQ152" s="184" t="n"/>
      <c r="BR152" s="184" t="n"/>
      <c r="BS152" s="184" t="n"/>
      <c r="BT152" s="184" t="n"/>
      <c r="BU152" s="184" t="n"/>
      <c r="BV152" s="184" t="n"/>
      <c r="BW152" s="184" t="n"/>
      <c r="BX152" s="184" t="n"/>
      <c r="BY152" s="184" t="n"/>
      <c r="BZ152" s="184" t="n"/>
      <c r="CA152" s="184" t="n"/>
      <c r="CB152" s="184" t="n"/>
      <c r="CC152" s="184" t="n"/>
      <c r="CD152" s="184" t="n"/>
      <c r="CE152" s="184" t="n"/>
      <c r="CF152" s="184" t="n"/>
      <c r="CG152" s="184" t="n"/>
      <c r="CH152" s="184" t="n"/>
      <c r="CI152" s="184" t="n"/>
      <c r="CJ152" s="184" t="n"/>
      <c r="CK152" s="184" t="n"/>
      <c r="CL152" s="184" t="n"/>
      <c r="CM152" s="184" t="n"/>
      <c r="CN152" s="184" t="n"/>
      <c r="CO152" s="184" t="n"/>
      <c r="CP152" s="184" t="n"/>
      <c r="CQ152" s="184" t="n"/>
      <c r="CR152" s="184" t="n"/>
      <c r="CS152" s="184" t="n"/>
      <c r="CT152" s="184" t="n"/>
      <c r="CU152" s="184" t="n"/>
      <c r="CV152" s="184" t="n"/>
      <c r="CW152" s="184" t="n"/>
      <c r="CX152" s="184" t="n"/>
      <c r="CY152" s="184" t="n"/>
      <c r="CZ152" s="184" t="n"/>
      <c r="DA152" s="184" t="n"/>
      <c r="DB152" s="184" t="n"/>
      <c r="DC152" s="184" t="n"/>
      <c r="DD152" s="184" t="n"/>
      <c r="DE152" s="184" t="n"/>
      <c r="DF152" s="184" t="n"/>
      <c r="DG152" s="184" t="n"/>
      <c r="DH152" s="184" t="n"/>
      <c r="DI152" s="184" t="n"/>
      <c r="DJ152" s="184" t="n"/>
      <c r="DK152" s="184" t="n"/>
      <c r="DL152" s="184" t="n"/>
      <c r="DM152" s="184" t="n"/>
      <c r="DN152" s="184" t="n"/>
      <c r="DO152" s="184" t="n"/>
      <c r="DP152" s="184" t="n"/>
      <c r="DQ152" s="184" t="n"/>
      <c r="DR152" s="184" t="n"/>
      <c r="DS152" s="184" t="n"/>
      <c r="DT152" s="184" t="n"/>
      <c r="DU152" s="184" t="n"/>
      <c r="DV152" s="184" t="n"/>
      <c r="DW152" s="184" t="n"/>
      <c r="DX152" s="184" t="n"/>
      <c r="DY152" s="184" t="n"/>
      <c r="DZ152" s="184" t="n"/>
      <c r="EA152" s="184" t="n"/>
      <c r="EB152" s="184" t="n"/>
      <c r="EC152" s="184" t="n"/>
      <c r="ED152" s="184" t="n"/>
      <c r="EE152" s="184" t="n"/>
      <c r="EF152" s="184" t="n"/>
      <c r="EG152" s="184" t="n"/>
      <c r="EH152" s="184" t="n"/>
      <c r="EI152" s="184" t="n"/>
      <c r="EJ152" s="184" t="n"/>
      <c r="EK152" s="184" t="n"/>
      <c r="EL152" s="184" t="n"/>
      <c r="EM152" s="184" t="n"/>
      <c r="EN152" s="184" t="n"/>
      <c r="EO152" s="184" t="n"/>
      <c r="EP152" s="184" t="n"/>
    </row>
    <row r="153" ht="20.25" customFormat="1" customHeight="1" s="189" thickBot="1">
      <c r="A153" s="184" t="n"/>
      <c r="B153" s="184" t="n">
        <v>10</v>
      </c>
      <c r="C153" s="184" t="n"/>
      <c r="D153" s="704" t="n">
        <v>18000</v>
      </c>
      <c r="E153" s="704" t="n">
        <v>18020</v>
      </c>
      <c r="F153" s="702">
        <f>IF(ISNUMBER(E153),IF('Identificación del Instrumento'!$F$17="PRIMITIVA","",IF($G$59="DISCONTINUA",$E$84/2,0)),"")</f>
        <v/>
      </c>
      <c r="G153" s="704" t="n">
        <v>18020</v>
      </c>
      <c r="H153" s="702">
        <f>IF(ISNUMBER(G153),IF('Identificación del Instrumento'!$F$17="PRIMITIVA","",IF($G$59="DISCONTINUA",$E$84/2,0)),"")</f>
        <v/>
      </c>
      <c r="I153" s="655">
        <f>IF(AND(ISNUMBER(B153),ISNUMBER(D153),ISNUMBER(E153),$B$59=1),IF($G$59="discontinua",(E153-D153),(E153-D153)),"")</f>
        <v/>
      </c>
      <c r="J153" s="655">
        <f>IF(AND(ISNUMBER(B153),ISNUMBER(D153),ISNUMBER(G153),$B$59=1),IF($G$59="discontinua",(G153-D153),(G153-D153)),"")</f>
        <v/>
      </c>
      <c r="K153" s="655">
        <f>IF(AND(ISNUMBER(I153),ISNUMBER(J153)),ABS(J153-I153),"")</f>
        <v/>
      </c>
      <c r="L153" s="655">
        <f>IF(AND(ISNUMBER(B153),ISNUMBER(D153),ISNUMBER(E153),ISNUMBER(F153),$B$59=1),IF($G$59="discontinua",(E153+($H$136/2)-F153-D153),(E153-F153-D153)),"")</f>
        <v/>
      </c>
      <c r="M153" s="655">
        <f>IF(AND(ISNUMBER(B153),ISNUMBER(D153),ISNUMBER(G153),ISNUMBER(H153),$B$59=1),IF($G$59="discontinua",(G153+($H$136/2)-H153-D153),(G153-H153-D153)),"")</f>
        <v/>
      </c>
      <c r="N153" s="184" t="n"/>
      <c r="O153" s="248" t="n"/>
      <c r="P153" s="38">
        <f>IF(ISNUMBER(E153),$E$18/SQRT(12),"")</f>
        <v/>
      </c>
      <c r="Q153" s="38">
        <f>IF(ISNUMBER(E153),MAX(K$96,K$120,K$108,K$132)/SQRT(12),"")</f>
        <v/>
      </c>
      <c r="R153" s="38">
        <f>B153*0.05/2</f>
        <v/>
      </c>
      <c r="S153" s="185" t="n">
        <v>0</v>
      </c>
      <c r="T153" s="38">
        <f>IF(ISNUMBER(E153),2*SQRT(SUMSQ(P153,Q153,R153,S153)),"")</f>
        <v/>
      </c>
      <c r="U153" s="342">
        <f>IF(ISNUMBER(E153),IF(D153&lt;=$F$49,I$49,IF(D153&lt;=$F$50,$I$50,$I$51)),"")</f>
        <v/>
      </c>
      <c r="V153" s="343">
        <f>IF(ISNUMBER(I153),IF('Identificación del Instrumento'!$B$17="periódica",IF(ABS(I153)&lt;=U153,0,1),IF(ABS(L153)&lt;=U153,0,1)),"")</f>
        <v/>
      </c>
      <c r="W153" s="184" t="n"/>
      <c r="X153" s="184" t="n"/>
      <c r="Y153" s="184" t="n"/>
      <c r="Z153" s="184" t="n"/>
      <c r="AA153" s="184" t="n"/>
      <c r="AB153" s="184" t="n"/>
      <c r="AC153" s="61" t="n"/>
      <c r="AD153" s="1298" t="n"/>
      <c r="AE153" s="184" t="n"/>
      <c r="AF153" s="184" t="n"/>
      <c r="AG153" s="1298" t="n"/>
      <c r="AH153" s="184" t="n"/>
      <c r="AI153" s="60" t="n"/>
      <c r="AJ153" s="1298" t="n"/>
      <c r="AK153" s="1298" t="n"/>
      <c r="AL153" s="1298" t="n"/>
      <c r="AM153" s="1298" t="n"/>
      <c r="AN153" s="1298" t="n"/>
      <c r="AO153" s="184" t="n"/>
      <c r="AP153" s="184" t="n"/>
      <c r="AQ153" s="184" t="n"/>
      <c r="AR153" s="184" t="n"/>
      <c r="AS153" s="184" t="n"/>
      <c r="AT153" s="184" t="n"/>
      <c r="AU153" s="184" t="n"/>
      <c r="AV153" s="184" t="n"/>
      <c r="AW153" s="184" t="n"/>
      <c r="AX153" s="184" t="n"/>
      <c r="AY153" s="184" t="n"/>
      <c r="AZ153" s="184" t="n"/>
      <c r="BA153" s="184" t="n"/>
      <c r="BB153" s="184" t="n"/>
      <c r="BC153" s="184" t="n"/>
      <c r="BD153" s="184" t="n"/>
      <c r="BE153" s="184" t="n"/>
      <c r="BF153" s="184" t="n"/>
      <c r="BG153" s="184" t="n"/>
      <c r="BH153" s="184" t="n"/>
      <c r="BI153" s="184" t="n"/>
      <c r="BJ153" s="184" t="n"/>
      <c r="BK153" s="184" t="n"/>
      <c r="BL153" s="184" t="n"/>
      <c r="BM153" s="184" t="n"/>
      <c r="BN153" s="184" t="n"/>
      <c r="BO153" s="184" t="n"/>
      <c r="BP153" s="184" t="n"/>
      <c r="BQ153" s="184" t="n"/>
      <c r="BR153" s="184" t="n"/>
      <c r="BS153" s="184" t="n"/>
      <c r="BT153" s="184" t="n"/>
      <c r="BU153" s="184" t="n"/>
      <c r="BV153" s="184" t="n"/>
      <c r="BW153" s="184" t="n"/>
      <c r="BX153" s="184" t="n"/>
      <c r="BY153" s="184" t="n"/>
      <c r="BZ153" s="184" t="n"/>
      <c r="CA153" s="184" t="n"/>
      <c r="CB153" s="184" t="n"/>
      <c r="CC153" s="184" t="n"/>
      <c r="CD153" s="184" t="n"/>
      <c r="CE153" s="184" t="n"/>
      <c r="CF153" s="184" t="n"/>
      <c r="CG153" s="184" t="n"/>
      <c r="CH153" s="184" t="n"/>
      <c r="CI153" s="184" t="n"/>
      <c r="CJ153" s="184" t="n"/>
      <c r="CK153" s="184" t="n"/>
      <c r="CL153" s="184" t="n"/>
      <c r="CM153" s="184" t="n"/>
      <c r="CN153" s="184" t="n"/>
      <c r="CO153" s="184" t="n"/>
      <c r="CP153" s="184" t="n"/>
      <c r="CQ153" s="184" t="n"/>
      <c r="CR153" s="184" t="n"/>
      <c r="CS153" s="184" t="n"/>
      <c r="CT153" s="184" t="n"/>
      <c r="CU153" s="184" t="n"/>
      <c r="CV153" s="184" t="n"/>
      <c r="CW153" s="184" t="n"/>
      <c r="CX153" s="184" t="n"/>
      <c r="CY153" s="184" t="n"/>
      <c r="CZ153" s="184" t="n"/>
      <c r="DA153" s="184" t="n"/>
      <c r="DB153" s="184" t="n"/>
      <c r="DC153" s="184" t="n"/>
      <c r="DD153" s="184" t="n"/>
      <c r="DE153" s="184" t="n"/>
      <c r="DF153" s="184" t="n"/>
      <c r="DG153" s="184" t="n"/>
      <c r="DH153" s="184" t="n"/>
      <c r="DI153" s="184" t="n"/>
      <c r="DJ153" s="184" t="n"/>
      <c r="DK153" s="184" t="n"/>
      <c r="DL153" s="184" t="n"/>
      <c r="DM153" s="184" t="n"/>
      <c r="DN153" s="184" t="n"/>
      <c r="DO153" s="184" t="n"/>
      <c r="DP153" s="184" t="n"/>
      <c r="DQ153" s="184" t="n"/>
      <c r="DR153" s="184" t="n"/>
      <c r="DS153" s="184" t="n"/>
      <c r="DT153" s="184" t="n"/>
      <c r="DU153" s="184" t="n"/>
      <c r="DV153" s="184" t="n"/>
      <c r="DW153" s="184" t="n"/>
      <c r="DX153" s="184" t="n"/>
      <c r="DY153" s="184" t="n"/>
      <c r="DZ153" s="184" t="n"/>
      <c r="EA153" s="184" t="n"/>
      <c r="EB153" s="184" t="n"/>
      <c r="EC153" s="184" t="n"/>
      <c r="ED153" s="184" t="n"/>
      <c r="EE153" s="184" t="n"/>
      <c r="EF153" s="184" t="n"/>
      <c r="EG153" s="184" t="n"/>
      <c r="EH153" s="184" t="n"/>
      <c r="EI153" s="184" t="n"/>
      <c r="EJ153" s="184" t="n"/>
      <c r="EK153" s="184" t="n"/>
      <c r="EL153" s="184" t="n"/>
      <c r="EM153" s="184" t="n"/>
      <c r="EN153" s="184" t="n"/>
      <c r="EO153" s="184" t="n"/>
      <c r="EP153" s="184" t="n"/>
    </row>
    <row r="154" ht="20.25" customFormat="1" customHeight="1" s="189" thickBot="1">
      <c r="A154" s="184" t="n"/>
      <c r="B154" s="184" t="n">
        <v>11</v>
      </c>
      <c r="C154" s="184" t="n"/>
      <c r="D154" s="704" t="n">
        <v>20000</v>
      </c>
      <c r="E154" s="704" t="n">
        <v>20020</v>
      </c>
      <c r="F154" s="702">
        <f>IF(ISNUMBER(E154),IF('Identificación del Instrumento'!$F$17="PRIMITIVA","",IF($G$59="DISCONTINUA",$E$84/2,0)),"")</f>
        <v/>
      </c>
      <c r="G154" s="704" t="n">
        <v>20020</v>
      </c>
      <c r="H154" s="702">
        <f>IF(ISNUMBER(G154),IF('Identificación del Instrumento'!$F$17="PRIMITIVA","",IF($G$59="DISCONTINUA",$E$84/2,0)),"")</f>
        <v/>
      </c>
      <c r="I154" s="655">
        <f>IF(AND(ISNUMBER(B154),ISNUMBER(D154),ISNUMBER(E154),$B$59=1),IF($G$59="discontinua",(E154-D154),(E154-D154)),"")</f>
        <v/>
      </c>
      <c r="J154" s="655">
        <f>IF(AND(ISNUMBER(B154),ISNUMBER(D154),ISNUMBER(G154),$B$59=1),IF($G$59="discontinua",(G154-D154),(G154-D154)),"")</f>
        <v/>
      </c>
      <c r="K154" s="655">
        <f>IF(AND(ISNUMBER(I154),ISNUMBER(J154)),ABS(J154-I154),"")</f>
        <v/>
      </c>
      <c r="L154" s="655">
        <f>IF(AND(ISNUMBER(B154),ISNUMBER(D154),ISNUMBER(E154),ISNUMBER(F154),$B$59=1),IF($G$59="discontinua",(E154+($H$136/2)-F154-D154),(E154-F154-D154)),"")</f>
        <v/>
      </c>
      <c r="M154" s="655">
        <f>IF(AND(ISNUMBER(B154),ISNUMBER(D154),ISNUMBER(G154),ISNUMBER(H154),$B$59=1),IF($G$59="discontinua",(G154+($H$136/2)-H154-D154),(G154-H154-D154)),"")</f>
        <v/>
      </c>
      <c r="N154" s="184" t="n"/>
      <c r="O154" s="248" t="n"/>
      <c r="P154" s="38" t="n"/>
      <c r="Q154" s="38" t="n"/>
      <c r="R154" s="38" t="n"/>
      <c r="S154" s="185" t="n"/>
      <c r="T154" s="38" t="n"/>
      <c r="U154" s="342" t="n"/>
      <c r="V154" s="343" t="n"/>
      <c r="W154" s="184" t="n"/>
      <c r="X154" s="184" t="n"/>
      <c r="Y154" s="184" t="n"/>
      <c r="Z154" s="184" t="n"/>
      <c r="AA154" s="184" t="n"/>
      <c r="AB154" s="184" t="n"/>
      <c r="AC154" s="61" t="n"/>
      <c r="AD154" s="1298" t="n"/>
      <c r="AE154" s="184" t="n"/>
      <c r="AF154" s="184" t="n"/>
      <c r="AG154" s="1298" t="n"/>
      <c r="AH154" s="184" t="n"/>
      <c r="AI154" s="60" t="n"/>
      <c r="AJ154" s="1298" t="n"/>
      <c r="AK154" s="1298" t="n"/>
      <c r="AL154" s="1298" t="n"/>
      <c r="AM154" s="1298" t="n"/>
      <c r="AN154" s="1298" t="n"/>
      <c r="AO154" s="184" t="n"/>
      <c r="AP154" s="184" t="n"/>
      <c r="AQ154" s="184" t="n"/>
      <c r="AR154" s="184" t="n"/>
      <c r="AS154" s="184" t="n"/>
      <c r="AT154" s="184" t="n"/>
      <c r="AU154" s="184" t="n"/>
      <c r="AV154" s="184" t="n"/>
      <c r="AW154" s="184" t="n"/>
      <c r="AX154" s="184" t="n"/>
      <c r="AY154" s="184" t="n"/>
      <c r="AZ154" s="184" t="n"/>
      <c r="BA154" s="184" t="n"/>
      <c r="BB154" s="184" t="n"/>
      <c r="BC154" s="184" t="n"/>
      <c r="BD154" s="184" t="n"/>
      <c r="BE154" s="184" t="n"/>
      <c r="BF154" s="184" t="n"/>
      <c r="BG154" s="184" t="n"/>
      <c r="BH154" s="184" t="n"/>
      <c r="BI154" s="184" t="n"/>
      <c r="BJ154" s="184" t="n"/>
      <c r="BK154" s="184" t="n"/>
      <c r="BL154" s="184" t="n"/>
      <c r="BM154" s="184" t="n"/>
      <c r="BN154" s="184" t="n"/>
      <c r="BO154" s="184" t="n"/>
      <c r="BP154" s="184" t="n"/>
      <c r="BQ154" s="184" t="n"/>
      <c r="BR154" s="184" t="n"/>
      <c r="BS154" s="184" t="n"/>
      <c r="BT154" s="184" t="n"/>
      <c r="BU154" s="184" t="n"/>
      <c r="BV154" s="184" t="n"/>
      <c r="BW154" s="184" t="n"/>
      <c r="BX154" s="184" t="n"/>
      <c r="BY154" s="184" t="n"/>
      <c r="BZ154" s="184" t="n"/>
      <c r="CA154" s="184" t="n"/>
      <c r="CB154" s="184" t="n"/>
      <c r="CC154" s="184" t="n"/>
      <c r="CD154" s="184" t="n"/>
      <c r="CE154" s="184" t="n"/>
      <c r="CF154" s="184" t="n"/>
      <c r="CG154" s="184" t="n"/>
      <c r="CH154" s="184" t="n"/>
      <c r="CI154" s="184" t="n"/>
      <c r="CJ154" s="184" t="n"/>
      <c r="CK154" s="184" t="n"/>
      <c r="CL154" s="184" t="n"/>
      <c r="CM154" s="184" t="n"/>
      <c r="CN154" s="184" t="n"/>
      <c r="CO154" s="184" t="n"/>
      <c r="CP154" s="184" t="n"/>
      <c r="CQ154" s="184" t="n"/>
      <c r="CR154" s="184" t="n"/>
      <c r="CS154" s="184" t="n"/>
      <c r="CT154" s="184" t="n"/>
      <c r="CU154" s="184" t="n"/>
      <c r="CV154" s="184" t="n"/>
      <c r="CW154" s="184" t="n"/>
      <c r="CX154" s="184" t="n"/>
      <c r="CY154" s="184" t="n"/>
      <c r="CZ154" s="184" t="n"/>
      <c r="DA154" s="184" t="n"/>
      <c r="DB154" s="184" t="n"/>
      <c r="DC154" s="184" t="n"/>
      <c r="DD154" s="184" t="n"/>
      <c r="DE154" s="184" t="n"/>
      <c r="DF154" s="184" t="n"/>
      <c r="DG154" s="184" t="n"/>
      <c r="DH154" s="184" t="n"/>
      <c r="DI154" s="184" t="n"/>
      <c r="DJ154" s="184" t="n"/>
      <c r="DK154" s="184" t="n"/>
      <c r="DL154" s="184" t="n"/>
      <c r="DM154" s="184" t="n"/>
      <c r="DN154" s="184" t="n"/>
      <c r="DO154" s="184" t="n"/>
      <c r="DP154" s="184" t="n"/>
      <c r="DQ154" s="184" t="n"/>
      <c r="DR154" s="184" t="n"/>
      <c r="DS154" s="184" t="n"/>
      <c r="DT154" s="184" t="n"/>
      <c r="DU154" s="184" t="n"/>
      <c r="DV154" s="184" t="n"/>
      <c r="DW154" s="184" t="n"/>
      <c r="DX154" s="184" t="n"/>
      <c r="DY154" s="184" t="n"/>
      <c r="DZ154" s="184" t="n"/>
      <c r="EA154" s="184" t="n"/>
      <c r="EB154" s="184" t="n"/>
      <c r="EC154" s="184" t="n"/>
      <c r="ED154" s="184" t="n"/>
      <c r="EE154" s="184" t="n"/>
      <c r="EF154" s="184" t="n"/>
      <c r="EG154" s="184" t="n"/>
      <c r="EH154" s="184" t="n"/>
      <c r="EI154" s="184" t="n"/>
      <c r="EJ154" s="184" t="n"/>
      <c r="EK154" s="184" t="n"/>
      <c r="EL154" s="184" t="n"/>
      <c r="EM154" s="184" t="n"/>
      <c r="EN154" s="184" t="n"/>
      <c r="EO154" s="184" t="n"/>
      <c r="EP154" s="184" t="n"/>
    </row>
    <row r="155" ht="20.25" customFormat="1" customHeight="1" s="189" thickBot="1">
      <c r="A155" s="184" t="n"/>
      <c r="B155" s="184" t="n">
        <v>12</v>
      </c>
      <c r="C155" s="184" t="n"/>
      <c r="D155" s="704" t="n">
        <v>22000</v>
      </c>
      <c r="E155" s="704" t="n">
        <v>22020</v>
      </c>
      <c r="F155" s="702">
        <f>IF(ISNUMBER(E155),IF('Identificación del Instrumento'!$F$17="PRIMITIVA","",IF($G$59="DISCONTINUA",$E$84/2,0)),"")</f>
        <v/>
      </c>
      <c r="G155" s="704" t="n">
        <v>22020</v>
      </c>
      <c r="H155" s="702">
        <f>IF(ISNUMBER(G155),IF('Identificación del Instrumento'!$F$17="PRIMITIVA","",IF($G$59="DISCONTINUA",$E$84/2,0)),"")</f>
        <v/>
      </c>
      <c r="I155" s="655">
        <f>IF(AND(ISNUMBER(B155),ISNUMBER(D155),ISNUMBER(E155),$B$59=1),IF($G$59="discontinua",(E155-D155),(E155-D155)),"")</f>
        <v/>
      </c>
      <c r="J155" s="655">
        <f>IF(AND(ISNUMBER(B155),ISNUMBER(D155),ISNUMBER(G155),$B$59=1),IF($G$59="discontinua",(G155-D155),(G155-D155)),"")</f>
        <v/>
      </c>
      <c r="K155" s="655">
        <f>IF(AND(ISNUMBER(I155),ISNUMBER(J155)),ABS(J155-I155),"")</f>
        <v/>
      </c>
      <c r="L155" s="655">
        <f>IF(AND(ISNUMBER(B155),ISNUMBER(D155),ISNUMBER(E155),ISNUMBER(F155),$B$59=1),IF($G$59="discontinua",(E155+($H$136/2)-F155-D155),(E155-F155-D155)),"")</f>
        <v/>
      </c>
      <c r="M155" s="655">
        <f>IF(AND(ISNUMBER(B155),ISNUMBER(D155),ISNUMBER(G155),ISNUMBER(H155),$B$59=1),IF($G$59="discontinua",(G155+($H$136/2)-H155-D155),(G155-H155-D155)),"")</f>
        <v/>
      </c>
      <c r="N155" s="184" t="n"/>
      <c r="O155" s="248" t="n"/>
      <c r="P155" s="38" t="n"/>
      <c r="Q155" s="38" t="n"/>
      <c r="R155" s="38" t="n"/>
      <c r="S155" s="185" t="n"/>
      <c r="T155" s="38" t="n"/>
      <c r="U155" s="342" t="n"/>
      <c r="V155" s="343" t="n"/>
      <c r="W155" s="184" t="n"/>
      <c r="X155" s="184" t="n"/>
      <c r="Y155" s="184" t="n"/>
      <c r="Z155" s="184" t="n"/>
      <c r="AA155" s="184" t="n"/>
      <c r="AB155" s="184" t="n"/>
      <c r="AC155" s="61" t="n"/>
      <c r="AD155" s="1298" t="n"/>
      <c r="AE155" s="184" t="n"/>
      <c r="AF155" s="184" t="n"/>
      <c r="AG155" s="1298" t="n"/>
      <c r="AH155" s="184" t="n"/>
      <c r="AI155" s="60" t="n"/>
      <c r="AJ155" s="1298" t="n"/>
      <c r="AK155" s="1298" t="n"/>
      <c r="AL155" s="1298" t="n"/>
      <c r="AM155" s="1298" t="n"/>
      <c r="AN155" s="1298" t="n"/>
      <c r="AO155" s="184" t="n"/>
      <c r="AP155" s="184" t="n"/>
      <c r="AQ155" s="184" t="n"/>
      <c r="AR155" s="184" t="n"/>
      <c r="AS155" s="184" t="n"/>
      <c r="AT155" s="184" t="n"/>
      <c r="AU155" s="184" t="n"/>
      <c r="AV155" s="184" t="n"/>
      <c r="AW155" s="184" t="n"/>
      <c r="AX155" s="184" t="n"/>
      <c r="AY155" s="184" t="n"/>
      <c r="AZ155" s="184" t="n"/>
      <c r="BA155" s="184" t="n"/>
      <c r="BB155" s="184" t="n"/>
      <c r="BC155" s="184" t="n"/>
      <c r="BD155" s="184" t="n"/>
      <c r="BE155" s="184" t="n"/>
      <c r="BF155" s="184" t="n"/>
      <c r="BG155" s="184" t="n"/>
      <c r="BH155" s="184" t="n"/>
      <c r="BI155" s="184" t="n"/>
      <c r="BJ155" s="184" t="n"/>
      <c r="BK155" s="184" t="n"/>
      <c r="BL155" s="184" t="n"/>
      <c r="BM155" s="184" t="n"/>
      <c r="BN155" s="184" t="n"/>
      <c r="BO155" s="184" t="n"/>
      <c r="BP155" s="184" t="n"/>
      <c r="BQ155" s="184" t="n"/>
      <c r="BR155" s="184" t="n"/>
      <c r="BS155" s="184" t="n"/>
      <c r="BT155" s="184" t="n"/>
      <c r="BU155" s="184" t="n"/>
      <c r="BV155" s="184" t="n"/>
      <c r="BW155" s="184" t="n"/>
      <c r="BX155" s="184" t="n"/>
      <c r="BY155" s="184" t="n"/>
      <c r="BZ155" s="184" t="n"/>
      <c r="CA155" s="184" t="n"/>
      <c r="CB155" s="184" t="n"/>
      <c r="CC155" s="184" t="n"/>
      <c r="CD155" s="184" t="n"/>
      <c r="CE155" s="184" t="n"/>
      <c r="CF155" s="184" t="n"/>
      <c r="CG155" s="184" t="n"/>
      <c r="CH155" s="184" t="n"/>
      <c r="CI155" s="184" t="n"/>
      <c r="CJ155" s="184" t="n"/>
      <c r="CK155" s="184" t="n"/>
      <c r="CL155" s="184" t="n"/>
      <c r="CM155" s="184" t="n"/>
      <c r="CN155" s="184" t="n"/>
      <c r="CO155" s="184" t="n"/>
      <c r="CP155" s="184" t="n"/>
      <c r="CQ155" s="184" t="n"/>
      <c r="CR155" s="184" t="n"/>
      <c r="CS155" s="184" t="n"/>
      <c r="CT155" s="184" t="n"/>
      <c r="CU155" s="184" t="n"/>
      <c r="CV155" s="184" t="n"/>
      <c r="CW155" s="184" t="n"/>
      <c r="CX155" s="184" t="n"/>
      <c r="CY155" s="184" t="n"/>
      <c r="CZ155" s="184" t="n"/>
      <c r="DA155" s="184" t="n"/>
      <c r="DB155" s="184" t="n"/>
      <c r="DC155" s="184" t="n"/>
      <c r="DD155" s="184" t="n"/>
      <c r="DE155" s="184" t="n"/>
      <c r="DF155" s="184" t="n"/>
      <c r="DG155" s="184" t="n"/>
      <c r="DH155" s="184" t="n"/>
      <c r="DI155" s="184" t="n"/>
      <c r="DJ155" s="184" t="n"/>
      <c r="DK155" s="184" t="n"/>
      <c r="DL155" s="184" t="n"/>
      <c r="DM155" s="184" t="n"/>
      <c r="DN155" s="184" t="n"/>
      <c r="DO155" s="184" t="n"/>
      <c r="DP155" s="184" t="n"/>
      <c r="DQ155" s="184" t="n"/>
      <c r="DR155" s="184" t="n"/>
      <c r="DS155" s="184" t="n"/>
      <c r="DT155" s="184" t="n"/>
      <c r="DU155" s="184" t="n"/>
      <c r="DV155" s="184" t="n"/>
      <c r="DW155" s="184" t="n"/>
      <c r="DX155" s="184" t="n"/>
      <c r="DY155" s="184" t="n"/>
      <c r="DZ155" s="184" t="n"/>
      <c r="EA155" s="184" t="n"/>
      <c r="EB155" s="184" t="n"/>
      <c r="EC155" s="184" t="n"/>
      <c r="ED155" s="184" t="n"/>
      <c r="EE155" s="184" t="n"/>
      <c r="EF155" s="184" t="n"/>
      <c r="EG155" s="184" t="n"/>
      <c r="EH155" s="184" t="n"/>
      <c r="EI155" s="184" t="n"/>
      <c r="EJ155" s="184" t="n"/>
      <c r="EK155" s="184" t="n"/>
      <c r="EL155" s="184" t="n"/>
      <c r="EM155" s="184" t="n"/>
      <c r="EN155" s="184" t="n"/>
      <c r="EO155" s="184" t="n"/>
      <c r="EP155" s="184" t="n"/>
    </row>
    <row r="156" ht="20.25" customFormat="1" customHeight="1" s="189" thickBot="1">
      <c r="A156" s="184" t="n"/>
      <c r="B156" s="184" t="n">
        <v>13</v>
      </c>
      <c r="C156" s="184" t="n"/>
      <c r="D156" s="501" t="n"/>
      <c r="E156" s="501" t="n"/>
      <c r="F156" s="702">
        <f>IF(ISNUMBER(E156),IF('Identificación del Instrumento'!$F$17="PRIMITIVA","",IF($G$59="DISCONTINUA",$E$84/2,0)),"")</f>
        <v/>
      </c>
      <c r="G156" s="501" t="n"/>
      <c r="H156" s="702">
        <f>IF(ISNUMBER(G156),IF('Identificación del Instrumento'!$F$17="PRIMITIVA","",IF($G$59="DISCONTINUA",$E$84/2,0)),"")</f>
        <v/>
      </c>
      <c r="I156" s="655">
        <f>IF(AND(ISNUMBER(B156),ISNUMBER(D156),ISNUMBER(E156),$B$59=1),IF($G$59="discontinua",(E156-D156),(E156-D156)),"")</f>
        <v/>
      </c>
      <c r="J156" s="655">
        <f>IF(AND(ISNUMBER(B156),ISNUMBER(D156),ISNUMBER(G156),$B$59=1),IF($G$59="discontinua",(G156-D156),(G156-D156)),"")</f>
        <v/>
      </c>
      <c r="K156" s="655">
        <f>IF(AND(ISNUMBER(I156),ISNUMBER(J156)),ABS(J156-I156),"")</f>
        <v/>
      </c>
      <c r="L156" s="655">
        <f>IF(AND(ISNUMBER(B156),ISNUMBER(D156),ISNUMBER(E156),ISNUMBER(F156),$B$59=1),IF($G$59="discontinua",(E156+($H$136/2)-F156-D156),(E156-F156-D156)),"")</f>
        <v/>
      </c>
      <c r="M156" s="655">
        <f>IF(AND(ISNUMBER(B156),ISNUMBER(D156),ISNUMBER(G156),ISNUMBER(H156),$B$59=1),IF($G$59="discontinua",(G156+($H$136/2)-H156-D156),(G156-H156-D156)),"")</f>
        <v/>
      </c>
      <c r="N156" s="184" t="n"/>
      <c r="O156" s="248" t="n"/>
      <c r="P156" s="38" t="n"/>
      <c r="Q156" s="38" t="n"/>
      <c r="R156" s="38" t="n"/>
      <c r="S156" s="185" t="n"/>
      <c r="T156" s="38" t="n"/>
      <c r="U156" s="342" t="n"/>
      <c r="V156" s="343" t="n"/>
      <c r="W156" s="184" t="n"/>
      <c r="X156" s="184" t="n"/>
      <c r="Y156" s="184" t="n"/>
      <c r="Z156" s="184" t="n"/>
      <c r="AA156" s="184" t="n"/>
      <c r="AB156" s="184" t="n"/>
      <c r="AC156" s="61" t="n"/>
      <c r="AD156" s="1298" t="n"/>
      <c r="AE156" s="184" t="n"/>
      <c r="AF156" s="184" t="n"/>
      <c r="AG156" s="1298" t="n"/>
      <c r="AH156" s="184" t="n"/>
      <c r="AI156" s="60" t="n"/>
      <c r="AJ156" s="1298" t="n"/>
      <c r="AK156" s="1298" t="n"/>
      <c r="AL156" s="1298" t="n"/>
      <c r="AM156" s="1298" t="n"/>
      <c r="AN156" s="1298" t="n"/>
      <c r="AO156" s="184" t="n"/>
      <c r="AP156" s="184" t="n"/>
      <c r="AQ156" s="184" t="n"/>
      <c r="AR156" s="184" t="n"/>
      <c r="AS156" s="184" t="n"/>
      <c r="AT156" s="184" t="n"/>
      <c r="AU156" s="184" t="n"/>
      <c r="AV156" s="184" t="n"/>
      <c r="AW156" s="184" t="n"/>
      <c r="AX156" s="184" t="n"/>
      <c r="AY156" s="184" t="n"/>
      <c r="AZ156" s="184" t="n"/>
      <c r="BA156" s="184" t="n"/>
      <c r="BB156" s="184" t="n"/>
      <c r="BC156" s="184" t="n"/>
      <c r="BD156" s="184" t="n"/>
      <c r="BE156" s="184" t="n"/>
      <c r="BF156" s="184" t="n"/>
      <c r="BG156" s="184" t="n"/>
      <c r="BH156" s="184" t="n"/>
      <c r="BI156" s="184" t="n"/>
      <c r="BJ156" s="184" t="n"/>
      <c r="BK156" s="184" t="n"/>
      <c r="BL156" s="184" t="n"/>
      <c r="BM156" s="184" t="n"/>
      <c r="BN156" s="184" t="n"/>
      <c r="BO156" s="184" t="n"/>
      <c r="BP156" s="184" t="n"/>
      <c r="BQ156" s="184" t="n"/>
      <c r="BR156" s="184" t="n"/>
      <c r="BS156" s="184" t="n"/>
      <c r="BT156" s="184" t="n"/>
      <c r="BU156" s="184" t="n"/>
      <c r="BV156" s="184" t="n"/>
      <c r="BW156" s="184" t="n"/>
      <c r="BX156" s="184" t="n"/>
      <c r="BY156" s="184" t="n"/>
      <c r="BZ156" s="184" t="n"/>
      <c r="CA156" s="184" t="n"/>
      <c r="CB156" s="184" t="n"/>
      <c r="CC156" s="184" t="n"/>
      <c r="CD156" s="184" t="n"/>
      <c r="CE156" s="184" t="n"/>
      <c r="CF156" s="184" t="n"/>
      <c r="CG156" s="184" t="n"/>
      <c r="CH156" s="184" t="n"/>
      <c r="CI156" s="184" t="n"/>
      <c r="CJ156" s="184" t="n"/>
      <c r="CK156" s="184" t="n"/>
      <c r="CL156" s="184" t="n"/>
      <c r="CM156" s="184" t="n"/>
      <c r="CN156" s="184" t="n"/>
      <c r="CO156" s="184" t="n"/>
      <c r="CP156" s="184" t="n"/>
      <c r="CQ156" s="184" t="n"/>
      <c r="CR156" s="184" t="n"/>
      <c r="CS156" s="184" t="n"/>
      <c r="CT156" s="184" t="n"/>
      <c r="CU156" s="184" t="n"/>
      <c r="CV156" s="184" t="n"/>
      <c r="CW156" s="184" t="n"/>
      <c r="CX156" s="184" t="n"/>
      <c r="CY156" s="184" t="n"/>
      <c r="CZ156" s="184" t="n"/>
      <c r="DA156" s="184" t="n"/>
      <c r="DB156" s="184" t="n"/>
      <c r="DC156" s="184" t="n"/>
      <c r="DD156" s="184" t="n"/>
      <c r="DE156" s="184" t="n"/>
      <c r="DF156" s="184" t="n"/>
      <c r="DG156" s="184" t="n"/>
      <c r="DH156" s="184" t="n"/>
      <c r="DI156" s="184" t="n"/>
      <c r="DJ156" s="184" t="n"/>
      <c r="DK156" s="184" t="n"/>
      <c r="DL156" s="184" t="n"/>
      <c r="DM156" s="184" t="n"/>
      <c r="DN156" s="184" t="n"/>
      <c r="DO156" s="184" t="n"/>
      <c r="DP156" s="184" t="n"/>
      <c r="DQ156" s="184" t="n"/>
      <c r="DR156" s="184" t="n"/>
      <c r="DS156" s="184" t="n"/>
      <c r="DT156" s="184" t="n"/>
      <c r="DU156" s="184" t="n"/>
      <c r="DV156" s="184" t="n"/>
      <c r="DW156" s="184" t="n"/>
      <c r="DX156" s="184" t="n"/>
      <c r="DY156" s="184" t="n"/>
      <c r="DZ156" s="184" t="n"/>
      <c r="EA156" s="184" t="n"/>
      <c r="EB156" s="184" t="n"/>
      <c r="EC156" s="184" t="n"/>
      <c r="ED156" s="184" t="n"/>
      <c r="EE156" s="184" t="n"/>
      <c r="EF156" s="184" t="n"/>
      <c r="EG156" s="184" t="n"/>
      <c r="EH156" s="184" t="n"/>
      <c r="EI156" s="184" t="n"/>
      <c r="EJ156" s="184" t="n"/>
      <c r="EK156" s="184" t="n"/>
      <c r="EL156" s="184" t="n"/>
      <c r="EM156" s="184" t="n"/>
      <c r="EN156" s="184" t="n"/>
      <c r="EO156" s="184" t="n"/>
      <c r="EP156" s="184" t="n"/>
    </row>
    <row r="157" ht="20.25" customFormat="1" customHeight="1" s="189" thickBot="1">
      <c r="A157" s="184" t="n"/>
      <c r="B157" s="184" t="n">
        <v>14</v>
      </c>
      <c r="C157" s="184" t="n"/>
      <c r="D157" s="501" t="n"/>
      <c r="E157" s="501" t="n"/>
      <c r="F157" s="702">
        <f>IF(ISNUMBER(E157),IF('Identificación del Instrumento'!$F$17="PRIMITIVA","",IF($G$59="DISCONTINUA",$E$84/2,0)),"")</f>
        <v/>
      </c>
      <c r="G157" s="501" t="n"/>
      <c r="H157" s="702">
        <f>IF(ISNUMBER(G157),IF('Identificación del Instrumento'!$F$17="PRIMITIVA","",IF($G$59="DISCONTINUA",$E$84/2,0)),"")</f>
        <v/>
      </c>
      <c r="I157" s="655">
        <f>IF(AND(ISNUMBER(B157),ISNUMBER(D157),ISNUMBER(E157),$B$59=1),IF($G$59="discontinua",(E157-D157),(E157-D157)),"")</f>
        <v/>
      </c>
      <c r="J157" s="655">
        <f>IF(AND(ISNUMBER(B157),ISNUMBER(D157),ISNUMBER(G157),$B$59=1),IF($G$59="discontinua",(G157-D157),(G157-D157)),"")</f>
        <v/>
      </c>
      <c r="K157" s="655">
        <f>IF(AND(ISNUMBER(I157),ISNUMBER(J157)),ABS(J157-I157),"")</f>
        <v/>
      </c>
      <c r="L157" s="655">
        <f>IF(AND(ISNUMBER(B157),ISNUMBER(D157),ISNUMBER(E157),ISNUMBER(F157),$B$59=1),IF($G$59="discontinua",(E157+($H$136/2)-F157-D157),(E157-F157-D157)),"")</f>
        <v/>
      </c>
      <c r="M157" s="655">
        <f>IF(AND(ISNUMBER(B157),ISNUMBER(D157),ISNUMBER(G157),ISNUMBER(H157),$B$59=1),IF($G$59="discontinua",(G157+($H$136/2)-H157-D157),(G157-H157-D157)),"")</f>
        <v/>
      </c>
      <c r="N157" s="184" t="n"/>
      <c r="O157" s="248" t="n"/>
      <c r="P157" s="38" t="n"/>
      <c r="Q157" s="38" t="n"/>
      <c r="R157" s="38" t="n"/>
      <c r="S157" s="185" t="n"/>
      <c r="T157" s="38" t="n"/>
      <c r="U157" s="342" t="n"/>
      <c r="V157" s="343" t="n"/>
      <c r="W157" s="184" t="n"/>
      <c r="X157" s="184" t="n"/>
      <c r="Y157" s="184" t="n"/>
      <c r="Z157" s="184" t="n"/>
      <c r="AA157" s="184" t="n"/>
      <c r="AB157" s="184" t="n"/>
      <c r="AC157" s="61" t="n"/>
      <c r="AD157" s="1298" t="n"/>
      <c r="AE157" s="184" t="n"/>
      <c r="AF157" s="184" t="n"/>
      <c r="AG157" s="1298" t="n"/>
      <c r="AH157" s="184" t="n"/>
      <c r="AI157" s="60" t="n"/>
      <c r="AJ157" s="1298" t="n"/>
      <c r="AK157" s="1298" t="n"/>
      <c r="AL157" s="1298" t="n"/>
      <c r="AM157" s="1298" t="n"/>
      <c r="AN157" s="1298" t="n"/>
      <c r="AO157" s="184" t="n"/>
      <c r="AP157" s="184" t="n"/>
      <c r="AQ157" s="184" t="n"/>
      <c r="AR157" s="184" t="n"/>
      <c r="AS157" s="184" t="n"/>
      <c r="AT157" s="184" t="n"/>
      <c r="AU157" s="184" t="n"/>
      <c r="AV157" s="184" t="n"/>
      <c r="AW157" s="184" t="n"/>
      <c r="AX157" s="184" t="n"/>
      <c r="AY157" s="184" t="n"/>
      <c r="AZ157" s="184" t="n"/>
      <c r="BA157" s="184" t="n"/>
      <c r="BB157" s="184" t="n"/>
      <c r="BC157" s="184" t="n"/>
      <c r="BD157" s="184" t="n"/>
      <c r="BE157" s="184" t="n"/>
      <c r="BF157" s="184" t="n"/>
      <c r="BG157" s="184" t="n"/>
      <c r="BH157" s="184" t="n"/>
      <c r="BI157" s="184" t="n"/>
      <c r="BJ157" s="184" t="n"/>
      <c r="BK157" s="184" t="n"/>
      <c r="BL157" s="184" t="n"/>
      <c r="BM157" s="184" t="n"/>
      <c r="BN157" s="184" t="n"/>
      <c r="BO157" s="184" t="n"/>
      <c r="BP157" s="184" t="n"/>
      <c r="BQ157" s="184" t="n"/>
      <c r="BR157" s="184" t="n"/>
      <c r="BS157" s="184" t="n"/>
      <c r="BT157" s="184" t="n"/>
      <c r="BU157" s="184" t="n"/>
      <c r="BV157" s="184" t="n"/>
      <c r="BW157" s="184" t="n"/>
      <c r="BX157" s="184" t="n"/>
      <c r="BY157" s="184" t="n"/>
      <c r="BZ157" s="184" t="n"/>
      <c r="CA157" s="184" t="n"/>
      <c r="CB157" s="184" t="n"/>
      <c r="CC157" s="184" t="n"/>
      <c r="CD157" s="184" t="n"/>
      <c r="CE157" s="184" t="n"/>
      <c r="CF157" s="184" t="n"/>
      <c r="CG157" s="184" t="n"/>
      <c r="CH157" s="184" t="n"/>
      <c r="CI157" s="184" t="n"/>
      <c r="CJ157" s="184" t="n"/>
      <c r="CK157" s="184" t="n"/>
      <c r="CL157" s="184" t="n"/>
      <c r="CM157" s="184" t="n"/>
      <c r="CN157" s="184" t="n"/>
      <c r="CO157" s="184" t="n"/>
      <c r="CP157" s="184" t="n"/>
      <c r="CQ157" s="184" t="n"/>
      <c r="CR157" s="184" t="n"/>
      <c r="CS157" s="184" t="n"/>
      <c r="CT157" s="184" t="n"/>
      <c r="CU157" s="184" t="n"/>
      <c r="CV157" s="184" t="n"/>
      <c r="CW157" s="184" t="n"/>
      <c r="CX157" s="184" t="n"/>
      <c r="CY157" s="184" t="n"/>
      <c r="CZ157" s="184" t="n"/>
      <c r="DA157" s="184" t="n"/>
      <c r="DB157" s="184" t="n"/>
      <c r="DC157" s="184" t="n"/>
      <c r="DD157" s="184" t="n"/>
      <c r="DE157" s="184" t="n"/>
      <c r="DF157" s="184" t="n"/>
      <c r="DG157" s="184" t="n"/>
      <c r="DH157" s="184" t="n"/>
      <c r="DI157" s="184" t="n"/>
      <c r="DJ157" s="184" t="n"/>
      <c r="DK157" s="184" t="n"/>
      <c r="DL157" s="184" t="n"/>
      <c r="DM157" s="184" t="n"/>
      <c r="DN157" s="184" t="n"/>
      <c r="DO157" s="184" t="n"/>
      <c r="DP157" s="184" t="n"/>
      <c r="DQ157" s="184" t="n"/>
      <c r="DR157" s="184" t="n"/>
      <c r="DS157" s="184" t="n"/>
      <c r="DT157" s="184" t="n"/>
      <c r="DU157" s="184" t="n"/>
      <c r="DV157" s="184" t="n"/>
      <c r="DW157" s="184" t="n"/>
      <c r="DX157" s="184" t="n"/>
      <c r="DY157" s="184" t="n"/>
      <c r="DZ157" s="184" t="n"/>
      <c r="EA157" s="184" t="n"/>
      <c r="EB157" s="184" t="n"/>
      <c r="EC157" s="184" t="n"/>
      <c r="ED157" s="184" t="n"/>
      <c r="EE157" s="184" t="n"/>
      <c r="EF157" s="184" t="n"/>
      <c r="EG157" s="184" t="n"/>
      <c r="EH157" s="184" t="n"/>
      <c r="EI157" s="184" t="n"/>
      <c r="EJ157" s="184" t="n"/>
      <c r="EK157" s="184" t="n"/>
      <c r="EL157" s="184" t="n"/>
      <c r="EM157" s="184" t="n"/>
      <c r="EN157" s="184" t="n"/>
      <c r="EO157" s="184" t="n"/>
      <c r="EP157" s="184" t="n"/>
    </row>
    <row r="158" ht="16.5" customFormat="1" customHeight="1" s="189" thickBot="1">
      <c r="A158" s="184" t="n"/>
      <c r="B158" s="184" t="n">
        <v>15</v>
      </c>
      <c r="C158" s="184" t="n"/>
      <c r="D158" s="501" t="n"/>
      <c r="E158" s="501" t="n"/>
      <c r="F158" s="702">
        <f>IF(ISNUMBER(E158),IF('Identificación del Instrumento'!$F$17="PRIMITIVA","",IF($G$59="DISCONTINUA",$E$84/2,0)),"")</f>
        <v/>
      </c>
      <c r="G158" s="501" t="n"/>
      <c r="H158" s="702">
        <f>IF(ISNUMBER(G158),IF('Identificación del Instrumento'!$F$17="PRIMITIVA","",IF($G$59="DISCONTINUA",$E$84/2,0)),"")</f>
        <v/>
      </c>
      <c r="I158" s="655">
        <f>IF(AND(ISNUMBER(B158),ISNUMBER(D158),ISNUMBER(E158),$B$59=1),IF($G$59="discontinua",(E158-D158),(E158-D158)),"")</f>
        <v/>
      </c>
      <c r="J158" s="655">
        <f>IF(AND(ISNUMBER(B158),ISNUMBER(D158),ISNUMBER(G158),$B$59=1),IF($G$59="discontinua",(G158-D158),(G158-D158)),"")</f>
        <v/>
      </c>
      <c r="K158" s="655">
        <f>IF(AND(ISNUMBER(I158),ISNUMBER(J158)),ABS(J158-I158),"")</f>
        <v/>
      </c>
      <c r="L158" s="655">
        <f>IF(AND(ISNUMBER(B158),ISNUMBER(D158),ISNUMBER(E158),ISNUMBER(F158),$B$59=1),IF($G$59="discontinua",(E158+($H$136/2)-F158-D158),(E158-F158-D158)),"")</f>
        <v/>
      </c>
      <c r="M158" s="655">
        <f>IF(AND(ISNUMBER(B158),ISNUMBER(D158),ISNUMBER(G158),ISNUMBER(H158),$B$59=1),IF($G$59="discontinua",(G158+($H$136/2)-H158-D158),(G158-H158-D158)),"")</f>
        <v/>
      </c>
      <c r="N158" s="184" t="n"/>
      <c r="O158" s="248" t="n"/>
      <c r="P158" s="38" t="n"/>
      <c r="Q158" s="38" t="n"/>
      <c r="R158" s="38" t="n"/>
      <c r="S158" s="185" t="n"/>
      <c r="T158" s="38" t="n"/>
      <c r="U158" s="342" t="n"/>
      <c r="V158" s="343" t="n"/>
      <c r="W158" s="184" t="n"/>
      <c r="X158" s="184" t="n"/>
      <c r="Y158" s="184" t="n"/>
      <c r="Z158" s="184" t="n"/>
      <c r="AA158" s="184" t="n"/>
      <c r="AB158" s="184" t="n"/>
      <c r="AC158" s="61" t="n"/>
      <c r="AD158" s="1298" t="n"/>
      <c r="AE158" s="184" t="n"/>
      <c r="AF158" s="184" t="n"/>
      <c r="AG158" s="1298" t="n"/>
      <c r="AH158" s="184" t="n"/>
      <c r="AI158" s="60" t="n"/>
      <c r="AJ158" s="1298" t="n"/>
      <c r="AK158" s="1298" t="n"/>
      <c r="AL158" s="1298" t="n"/>
      <c r="AM158" s="1298" t="n"/>
      <c r="AN158" s="1298" t="n"/>
      <c r="AO158" s="184" t="n"/>
      <c r="AP158" s="184" t="n"/>
      <c r="AQ158" s="184" t="n"/>
      <c r="AR158" s="184" t="n"/>
      <c r="AS158" s="184" t="n"/>
      <c r="AT158" s="184" t="n"/>
      <c r="AU158" s="184" t="n"/>
      <c r="AV158" s="184" t="n"/>
      <c r="AW158" s="184" t="n"/>
      <c r="AX158" s="184" t="n"/>
      <c r="AY158" s="184" t="n"/>
      <c r="AZ158" s="184" t="n"/>
      <c r="BA158" s="184" t="n"/>
      <c r="BB158" s="184" t="n"/>
      <c r="BC158" s="184" t="n"/>
      <c r="BD158" s="184" t="n"/>
      <c r="BE158" s="184" t="n"/>
      <c r="BF158" s="184" t="n"/>
      <c r="BG158" s="184" t="n"/>
      <c r="BH158" s="184" t="n"/>
      <c r="BI158" s="184" t="n"/>
      <c r="BJ158" s="184" t="n"/>
      <c r="BK158" s="184" t="n"/>
      <c r="BL158" s="184" t="n"/>
      <c r="BM158" s="184" t="n"/>
      <c r="BN158" s="184" t="n"/>
      <c r="BO158" s="184" t="n"/>
      <c r="BP158" s="184" t="n"/>
      <c r="BQ158" s="184" t="n"/>
      <c r="BR158" s="184" t="n"/>
      <c r="BS158" s="184" t="n"/>
      <c r="BT158" s="184" t="n"/>
      <c r="BU158" s="184" t="n"/>
      <c r="BV158" s="184" t="n"/>
      <c r="BW158" s="184" t="n"/>
      <c r="BX158" s="184" t="n"/>
      <c r="BY158" s="184" t="n"/>
      <c r="BZ158" s="184" t="n"/>
      <c r="CA158" s="184" t="n"/>
      <c r="CB158" s="184" t="n"/>
      <c r="CC158" s="184" t="n"/>
      <c r="CD158" s="184" t="n"/>
      <c r="CE158" s="184" t="n"/>
      <c r="CF158" s="184" t="n"/>
      <c r="CG158" s="184" t="n"/>
      <c r="CH158" s="184" t="n"/>
      <c r="CI158" s="184" t="n"/>
      <c r="CJ158" s="184" t="n"/>
      <c r="CK158" s="184" t="n"/>
      <c r="CL158" s="184" t="n"/>
      <c r="CM158" s="184" t="n"/>
      <c r="CN158" s="184" t="n"/>
      <c r="CO158" s="184" t="n"/>
      <c r="CP158" s="184" t="n"/>
      <c r="CQ158" s="184" t="n"/>
      <c r="CR158" s="184" t="n"/>
      <c r="CS158" s="184" t="n"/>
      <c r="CT158" s="184" t="n"/>
      <c r="CU158" s="184" t="n"/>
      <c r="CV158" s="184" t="n"/>
      <c r="CW158" s="184" t="n"/>
      <c r="CX158" s="184" t="n"/>
      <c r="CY158" s="184" t="n"/>
      <c r="CZ158" s="184" t="n"/>
      <c r="DA158" s="184" t="n"/>
      <c r="DB158" s="184" t="n"/>
      <c r="DC158" s="184" t="n"/>
      <c r="DD158" s="184" t="n"/>
      <c r="DE158" s="184" t="n"/>
      <c r="DF158" s="184" t="n"/>
      <c r="DG158" s="184" t="n"/>
      <c r="DH158" s="184" t="n"/>
      <c r="DI158" s="184" t="n"/>
      <c r="DJ158" s="184" t="n"/>
      <c r="DK158" s="184" t="n"/>
      <c r="DL158" s="184" t="n"/>
      <c r="DM158" s="184" t="n"/>
      <c r="DN158" s="184" t="n"/>
      <c r="DO158" s="184" t="n"/>
      <c r="DP158" s="184" t="n"/>
      <c r="DQ158" s="184" t="n"/>
      <c r="DR158" s="184" t="n"/>
      <c r="DS158" s="184" t="n"/>
      <c r="DT158" s="184" t="n"/>
      <c r="DU158" s="184" t="n"/>
      <c r="DV158" s="184" t="n"/>
      <c r="DW158" s="184" t="n"/>
      <c r="DX158" s="184" t="n"/>
      <c r="DY158" s="184" t="n"/>
      <c r="DZ158" s="184" t="n"/>
      <c r="EA158" s="184" t="n"/>
      <c r="EB158" s="184" t="n"/>
      <c r="EC158" s="184" t="n"/>
      <c r="ED158" s="184" t="n"/>
      <c r="EE158" s="184" t="n"/>
      <c r="EF158" s="184" t="n"/>
      <c r="EG158" s="184" t="n"/>
      <c r="EH158" s="184" t="n"/>
      <c r="EI158" s="184" t="n"/>
      <c r="EJ158" s="184" t="n"/>
      <c r="EK158" s="184" t="n"/>
      <c r="EL158" s="184" t="n"/>
      <c r="EM158" s="184" t="n"/>
      <c r="EN158" s="184" t="n"/>
      <c r="EO158" s="184" t="n"/>
      <c r="EP158" s="184" t="n"/>
    </row>
    <row r="159" ht="16.5" customFormat="1" customHeight="1" s="189" thickBot="1">
      <c r="A159" s="184" t="n"/>
      <c r="B159" s="184" t="n">
        <v>16</v>
      </c>
      <c r="C159" s="184" t="n"/>
      <c r="D159" s="501" t="n"/>
      <c r="E159" s="501" t="n"/>
      <c r="F159" s="702">
        <f>IF(ISNUMBER(E159),IF('Identificación del Instrumento'!$F$17="PRIMITIVA","",IF($G$59="DISCONTINUA",$E$84/2,0)),"")</f>
        <v/>
      </c>
      <c r="G159" s="501" t="n"/>
      <c r="H159" s="702">
        <f>IF(ISNUMBER(G159),IF('Identificación del Instrumento'!$F$17="PRIMITIVA","",IF($G$59="DISCONTINUA",$E$84/2,0)),"")</f>
        <v/>
      </c>
      <c r="I159" s="655">
        <f>IF(AND(ISNUMBER(B159),ISNUMBER(D159),ISNUMBER(E159),$B$59=1),IF($G$59="discontinua",(E159-D159),(E159-D159)),"")</f>
        <v/>
      </c>
      <c r="J159" s="655">
        <f>IF(AND(ISNUMBER(B159),ISNUMBER(D159),ISNUMBER(G159),$B$59=1),IF($G$59="discontinua",(G159-D159),(G159-D159)),"")</f>
        <v/>
      </c>
      <c r="K159" s="655">
        <f>IF(AND(ISNUMBER(I159),ISNUMBER(J159)),ABS(J159-I159),"")</f>
        <v/>
      </c>
      <c r="L159" s="655">
        <f>IF(AND(ISNUMBER(B159),ISNUMBER(D159),ISNUMBER(E159),ISNUMBER(F159),$B$59=1),IF($G$59="discontinua",(E159+($H$136/2)-F159-D159),(E159-F159-D159)),"")</f>
        <v/>
      </c>
      <c r="M159" s="655">
        <f>IF(AND(ISNUMBER(B159),ISNUMBER(D159),ISNUMBER(G159),ISNUMBER(H159),$B$59=1),IF($G$59="discontinua",(G159+($H$136/2)-H159-D159),(G159-H159-D159)),"")</f>
        <v/>
      </c>
      <c r="N159" s="184" t="n"/>
      <c r="O159" s="248" t="n"/>
      <c r="P159" s="38" t="n"/>
      <c r="Q159" s="38" t="n"/>
      <c r="R159" s="38" t="n"/>
      <c r="S159" s="185" t="n"/>
      <c r="T159" s="38" t="n"/>
      <c r="U159" s="342" t="n"/>
      <c r="V159" s="343" t="n"/>
      <c r="W159" s="184" t="n"/>
      <c r="X159" s="184" t="n"/>
      <c r="Y159" s="184" t="n"/>
      <c r="Z159" s="184" t="n"/>
      <c r="AA159" s="184" t="n"/>
      <c r="AB159" s="184" t="n"/>
      <c r="AC159" s="61" t="n"/>
      <c r="AD159" s="1298" t="n"/>
      <c r="AE159" s="184" t="n"/>
      <c r="AF159" s="184" t="n"/>
      <c r="AG159" s="1298" t="n"/>
      <c r="AH159" s="184" t="n"/>
      <c r="AI159" s="60" t="n"/>
      <c r="AJ159" s="1298" t="n"/>
      <c r="AK159" s="1298" t="n"/>
      <c r="AL159" s="1298" t="n"/>
      <c r="AM159" s="1298" t="n"/>
      <c r="AN159" s="1298" t="n"/>
      <c r="AO159" s="184" t="n"/>
      <c r="AP159" s="184" t="n"/>
      <c r="AQ159" s="184" t="n"/>
      <c r="AR159" s="184" t="n"/>
      <c r="AS159" s="184" t="n"/>
      <c r="AT159" s="184" t="n"/>
      <c r="AU159" s="184" t="n"/>
      <c r="AV159" s="184" t="n"/>
      <c r="AW159" s="184" t="n"/>
      <c r="AX159" s="184" t="n"/>
      <c r="AY159" s="184" t="n"/>
      <c r="AZ159" s="184" t="n"/>
      <c r="BA159" s="184" t="n"/>
      <c r="BB159" s="184" t="n"/>
      <c r="BC159" s="184" t="n"/>
      <c r="BD159" s="184" t="n"/>
      <c r="BE159" s="184" t="n"/>
      <c r="BF159" s="184" t="n"/>
      <c r="BG159" s="184" t="n"/>
      <c r="BH159" s="184" t="n"/>
      <c r="BI159" s="184" t="n"/>
      <c r="BJ159" s="184" t="n"/>
      <c r="BK159" s="184" t="n"/>
      <c r="BL159" s="184" t="n"/>
      <c r="BM159" s="184" t="n"/>
      <c r="BN159" s="184" t="n"/>
      <c r="BO159" s="184" t="n"/>
      <c r="BP159" s="184" t="n"/>
      <c r="BQ159" s="184" t="n"/>
      <c r="BR159" s="184" t="n"/>
      <c r="BS159" s="184" t="n"/>
      <c r="BT159" s="184" t="n"/>
      <c r="BU159" s="184" t="n"/>
      <c r="BV159" s="184" t="n"/>
      <c r="BW159" s="184" t="n"/>
      <c r="BX159" s="184" t="n"/>
      <c r="BY159" s="184" t="n"/>
      <c r="BZ159" s="184" t="n"/>
      <c r="CA159" s="184" t="n"/>
      <c r="CB159" s="184" t="n"/>
      <c r="CC159" s="184" t="n"/>
      <c r="CD159" s="184" t="n"/>
      <c r="CE159" s="184" t="n"/>
      <c r="CF159" s="184" t="n"/>
      <c r="CG159" s="184" t="n"/>
      <c r="CH159" s="184" t="n"/>
      <c r="CI159" s="184" t="n"/>
      <c r="CJ159" s="184" t="n"/>
      <c r="CK159" s="184" t="n"/>
      <c r="CL159" s="184" t="n"/>
      <c r="CM159" s="184" t="n"/>
      <c r="CN159" s="184" t="n"/>
      <c r="CO159" s="184" t="n"/>
      <c r="CP159" s="184" t="n"/>
      <c r="CQ159" s="184" t="n"/>
      <c r="CR159" s="184" t="n"/>
      <c r="CS159" s="184" t="n"/>
      <c r="CT159" s="184" t="n"/>
      <c r="CU159" s="184" t="n"/>
      <c r="CV159" s="184" t="n"/>
      <c r="CW159" s="184" t="n"/>
      <c r="CX159" s="184" t="n"/>
      <c r="CY159" s="184" t="n"/>
      <c r="CZ159" s="184" t="n"/>
      <c r="DA159" s="184" t="n"/>
      <c r="DB159" s="184" t="n"/>
      <c r="DC159" s="184" t="n"/>
      <c r="DD159" s="184" t="n"/>
      <c r="DE159" s="184" t="n"/>
      <c r="DF159" s="184" t="n"/>
      <c r="DG159" s="184" t="n"/>
      <c r="DH159" s="184" t="n"/>
      <c r="DI159" s="184" t="n"/>
      <c r="DJ159" s="184" t="n"/>
      <c r="DK159" s="184" t="n"/>
      <c r="DL159" s="184" t="n"/>
      <c r="DM159" s="184" t="n"/>
      <c r="DN159" s="184" t="n"/>
      <c r="DO159" s="184" t="n"/>
      <c r="DP159" s="184" t="n"/>
      <c r="DQ159" s="184" t="n"/>
      <c r="DR159" s="184" t="n"/>
      <c r="DS159" s="184" t="n"/>
      <c r="DT159" s="184" t="n"/>
      <c r="DU159" s="184" t="n"/>
      <c r="DV159" s="184" t="n"/>
      <c r="DW159" s="184" t="n"/>
      <c r="DX159" s="184" t="n"/>
      <c r="DY159" s="184" t="n"/>
      <c r="DZ159" s="184" t="n"/>
      <c r="EA159" s="184" t="n"/>
      <c r="EB159" s="184" t="n"/>
      <c r="EC159" s="184" t="n"/>
      <c r="ED159" s="184" t="n"/>
      <c r="EE159" s="184" t="n"/>
      <c r="EF159" s="184" t="n"/>
      <c r="EG159" s="184" t="n"/>
      <c r="EH159" s="184" t="n"/>
      <c r="EI159" s="184" t="n"/>
      <c r="EJ159" s="184" t="n"/>
      <c r="EK159" s="184" t="n"/>
      <c r="EL159" s="184" t="n"/>
      <c r="EM159" s="184" t="n"/>
      <c r="EN159" s="184" t="n"/>
      <c r="EO159" s="184" t="n"/>
      <c r="EP159" s="184" t="n"/>
    </row>
    <row r="160" ht="16.5" customFormat="1" customHeight="1" s="189" thickBot="1">
      <c r="A160" s="184" t="n"/>
      <c r="B160" s="184" t="n">
        <v>17</v>
      </c>
      <c r="C160" s="184" t="n"/>
      <c r="D160" s="501" t="n"/>
      <c r="E160" s="501" t="n"/>
      <c r="F160" s="702">
        <f>IF(ISNUMBER(E160),IF('Identificación del Instrumento'!$F$17="PRIMITIVA","",IF($G$59="DISCONTINUA",$E$84/2,0)),"")</f>
        <v/>
      </c>
      <c r="G160" s="501" t="n"/>
      <c r="H160" s="702">
        <f>IF(ISNUMBER(G160),IF('Identificación del Instrumento'!$F$17="PRIMITIVA","",IF($G$59="DISCONTINUA",$E$84/2,0)),"")</f>
        <v/>
      </c>
      <c r="I160" s="655">
        <f>IF(AND(ISNUMBER(B160),ISNUMBER(D160),ISNUMBER(E160),$B$59=1),IF($G$59="discontinua",(E160-D160),(E160-D160)),"")</f>
        <v/>
      </c>
      <c r="J160" s="655">
        <f>IF(AND(ISNUMBER(B160),ISNUMBER(D160),ISNUMBER(G160),$B$59=1),IF($G$59="discontinua",(G160-D160),(G160-D160)),"")</f>
        <v/>
      </c>
      <c r="K160" s="655">
        <f>IF(AND(ISNUMBER(I160),ISNUMBER(J160)),ABS(J160-I160),"")</f>
        <v/>
      </c>
      <c r="L160" s="655">
        <f>IF(AND(ISNUMBER(B160),ISNUMBER(D160),ISNUMBER(E160),ISNUMBER(F160),$B$59=1),IF($G$59="discontinua",(E160+($H$136/2)-F160-D160),(E160-F160-D160)),"")</f>
        <v/>
      </c>
      <c r="M160" s="655">
        <f>IF(AND(ISNUMBER(B160),ISNUMBER(D160),ISNUMBER(G160),ISNUMBER(H160),$B$59=1),IF($G$59="discontinua",(G160+($H$136/2)-H160-D160),(G160-H160-D160)),"")</f>
        <v/>
      </c>
      <c r="N160" s="184" t="n"/>
      <c r="O160" s="248" t="n"/>
      <c r="P160" s="38">
        <f>IF(ISNUMBER(E160),$E$18/SQRT(12),"")</f>
        <v/>
      </c>
      <c r="Q160" s="38">
        <f>IF(ISNUMBER(E160),MAX(K$96,K$120,K$108,K$132)/SQRT(12),"")</f>
        <v/>
      </c>
      <c r="R160" s="38">
        <f>B160*0.05/2</f>
        <v/>
      </c>
      <c r="S160" s="185" t="n">
        <v>0</v>
      </c>
      <c r="T160" s="38">
        <f>IF(ISNUMBER(E160),2*SQRT(SUMSQ(P160,Q160,R160,S160)),"")</f>
        <v/>
      </c>
      <c r="U160" s="342">
        <f>IF(ISNUMBER(E160),IF(D160&lt;=$F$49,I$49,IF(D160&lt;=$F$50,$I$50,$I$51)),"")</f>
        <v/>
      </c>
      <c r="V160" s="343">
        <f>IF(ISNUMBER(I160),IF('Identificación del Instrumento'!$B$17="periódica",IF(ABS(I160)&lt;=U160,0,1),IF(ABS(L160)&lt;=U160,0,1)),"")</f>
        <v/>
      </c>
      <c r="W160" s="184" t="n"/>
      <c r="X160" s="184" t="n"/>
      <c r="Y160" s="184" t="n"/>
      <c r="Z160" s="184" t="n"/>
      <c r="AA160" s="184" t="n"/>
      <c r="AB160" s="184" t="n"/>
      <c r="AC160" s="61" t="n"/>
      <c r="AD160" s="1298" t="n"/>
      <c r="AE160" s="184" t="n"/>
      <c r="AF160" s="184" t="n"/>
      <c r="AG160" s="1298" t="n"/>
      <c r="AH160" s="184" t="n"/>
      <c r="AI160" s="60" t="n"/>
      <c r="AJ160" s="1298" t="n"/>
      <c r="AK160" s="1298" t="n"/>
      <c r="AL160" s="1298" t="n"/>
      <c r="AM160" s="1298" t="n"/>
      <c r="AN160" s="1298" t="n"/>
      <c r="AO160" s="184" t="n"/>
      <c r="AP160" s="184" t="n"/>
      <c r="AQ160" s="184" t="n"/>
      <c r="AR160" s="184" t="n"/>
      <c r="AS160" s="184" t="n"/>
      <c r="AT160" s="184" t="n"/>
      <c r="AU160" s="184" t="n"/>
      <c r="AV160" s="184" t="n"/>
      <c r="AW160" s="184" t="n"/>
      <c r="AX160" s="184" t="n"/>
      <c r="AY160" s="184" t="n"/>
      <c r="AZ160" s="184" t="n"/>
      <c r="BA160" s="184" t="n"/>
      <c r="BB160" s="184" t="n"/>
      <c r="BC160" s="184" t="n"/>
      <c r="BD160" s="184" t="n"/>
      <c r="BE160" s="184" t="n"/>
      <c r="BF160" s="184" t="n"/>
      <c r="BG160" s="184" t="n"/>
      <c r="BH160" s="184" t="n"/>
      <c r="BI160" s="184" t="n"/>
      <c r="BJ160" s="184" t="n"/>
      <c r="BK160" s="184" t="n"/>
      <c r="BL160" s="184" t="n"/>
      <c r="BM160" s="184" t="n"/>
      <c r="BN160" s="184" t="n"/>
      <c r="BO160" s="184" t="n"/>
      <c r="BP160" s="184" t="n"/>
      <c r="BQ160" s="184" t="n"/>
      <c r="BR160" s="184" t="n"/>
      <c r="BS160" s="184" t="n"/>
      <c r="BT160" s="184" t="n"/>
      <c r="BU160" s="184" t="n"/>
      <c r="BV160" s="184" t="n"/>
      <c r="BW160" s="184" t="n"/>
      <c r="BX160" s="184" t="n"/>
      <c r="BY160" s="184" t="n"/>
      <c r="BZ160" s="184" t="n"/>
      <c r="CA160" s="184" t="n"/>
      <c r="CB160" s="184" t="n"/>
      <c r="CC160" s="184" t="n"/>
      <c r="CD160" s="184" t="n"/>
      <c r="CE160" s="184" t="n"/>
      <c r="CF160" s="184" t="n"/>
      <c r="CG160" s="184" t="n"/>
      <c r="CH160" s="184" t="n"/>
      <c r="CI160" s="184" t="n"/>
      <c r="CJ160" s="184" t="n"/>
      <c r="CK160" s="184" t="n"/>
      <c r="CL160" s="184" t="n"/>
      <c r="CM160" s="184" t="n"/>
      <c r="CN160" s="184" t="n"/>
      <c r="CO160" s="184" t="n"/>
      <c r="CP160" s="184" t="n"/>
      <c r="CQ160" s="184" t="n"/>
      <c r="CR160" s="184" t="n"/>
      <c r="CS160" s="184" t="n"/>
      <c r="CT160" s="184" t="n"/>
      <c r="CU160" s="184" t="n"/>
      <c r="CV160" s="184" t="n"/>
      <c r="CW160" s="184" t="n"/>
      <c r="CX160" s="184" t="n"/>
      <c r="CY160" s="184" t="n"/>
      <c r="CZ160" s="184" t="n"/>
      <c r="DA160" s="184" t="n"/>
      <c r="DB160" s="184" t="n"/>
      <c r="DC160" s="184" t="n"/>
      <c r="DD160" s="184" t="n"/>
      <c r="DE160" s="184" t="n"/>
      <c r="DF160" s="184" t="n"/>
      <c r="DG160" s="184" t="n"/>
      <c r="DH160" s="184" t="n"/>
      <c r="DI160" s="184" t="n"/>
      <c r="DJ160" s="184" t="n"/>
      <c r="DK160" s="184" t="n"/>
      <c r="DL160" s="184" t="n"/>
      <c r="DM160" s="184" t="n"/>
      <c r="DN160" s="184" t="n"/>
      <c r="DO160" s="184" t="n"/>
      <c r="DP160" s="184" t="n"/>
      <c r="DQ160" s="184" t="n"/>
      <c r="DR160" s="184" t="n"/>
      <c r="DS160" s="184" t="n"/>
      <c r="DT160" s="184" t="n"/>
      <c r="DU160" s="184" t="n"/>
      <c r="DV160" s="184" t="n"/>
      <c r="DW160" s="184" t="n"/>
      <c r="DX160" s="184" t="n"/>
      <c r="DY160" s="184" t="n"/>
      <c r="DZ160" s="184" t="n"/>
      <c r="EA160" s="184" t="n"/>
      <c r="EB160" s="184" t="n"/>
      <c r="EC160" s="184" t="n"/>
      <c r="ED160" s="184" t="n"/>
      <c r="EE160" s="184" t="n"/>
      <c r="EF160" s="184" t="n"/>
      <c r="EG160" s="184" t="n"/>
      <c r="EH160" s="184" t="n"/>
      <c r="EI160" s="184" t="n"/>
      <c r="EJ160" s="184" t="n"/>
      <c r="EK160" s="184" t="n"/>
      <c r="EL160" s="184" t="n"/>
      <c r="EM160" s="184" t="n"/>
      <c r="EN160" s="184" t="n"/>
      <c r="EO160" s="184" t="n"/>
      <c r="EP160" s="184" t="n"/>
    </row>
    <row r="161" ht="16.5" customFormat="1" customHeight="1" s="189" thickBot="1">
      <c r="A161" s="184" t="n"/>
      <c r="B161" s="184" t="n">
        <v>18</v>
      </c>
      <c r="C161" s="184" t="n"/>
      <c r="D161" s="501" t="n"/>
      <c r="E161" s="501" t="n"/>
      <c r="F161" s="702">
        <f>IF(ISNUMBER(E161),IF('Identificación del Instrumento'!$F$17="PRIMITIVA","",IF($G$59="DISCONTINUA",$E$84/2,0)),"")</f>
        <v/>
      </c>
      <c r="G161" s="501" t="n"/>
      <c r="H161" s="702">
        <f>IF(ISNUMBER(G161),IF('Identificación del Instrumento'!$F$17="PRIMITIVA","",IF($G$59="DISCONTINUA",$E$84/2,0)),"")</f>
        <v/>
      </c>
      <c r="I161" s="655">
        <f>IF(AND(ISNUMBER(B161),ISNUMBER(D161),ISNUMBER(E161),$B$59=1),IF($G$59="discontinua",(E161-D161),(E161-D161)),"")</f>
        <v/>
      </c>
      <c r="J161" s="655">
        <f>IF(AND(ISNUMBER(B161),ISNUMBER(D161),ISNUMBER(G161),$B$59=1),IF($G$59="discontinua",(G161-D161),(G161-D161)),"")</f>
        <v/>
      </c>
      <c r="K161" s="655">
        <f>IF(AND(ISNUMBER(I161),ISNUMBER(J161)),ABS(J161-I161),"")</f>
        <v/>
      </c>
      <c r="L161" s="655">
        <f>IF(AND(ISNUMBER(B161),ISNUMBER(D161),ISNUMBER(E161),ISNUMBER(F161),$B$59=1),IF($G$59="discontinua",(E161+($H$136/2)-F161-D161),(E161-F161-D161)),"")</f>
        <v/>
      </c>
      <c r="M161" s="655">
        <f>IF(AND(ISNUMBER(B161),ISNUMBER(D161),ISNUMBER(G161),ISNUMBER(H161),$B$59=1),IF($G$59="discontinua",(G161+($H$136/2)-H161-D161),(G161-H161-D161)),"")</f>
        <v/>
      </c>
      <c r="N161" s="184" t="n"/>
      <c r="O161" s="248" t="n"/>
      <c r="P161" s="38">
        <f>IF(ISNUMBER(E161),$E$18/SQRT(12),"")</f>
        <v/>
      </c>
      <c r="Q161" s="38">
        <f>IF(ISNUMBER(E161),MAX(K$96,K$120,K$108,K$132)/SQRT(12),"")</f>
        <v/>
      </c>
      <c r="R161" s="38">
        <f>B161*0.05/2</f>
        <v/>
      </c>
      <c r="S161" s="185" t="n">
        <v>0</v>
      </c>
      <c r="T161" s="38">
        <f>IF(ISNUMBER(E161),2*SQRT(SUMSQ(P161,Q161,R161,S161)),"")</f>
        <v/>
      </c>
      <c r="U161" s="342">
        <f>IF(ISNUMBER(E161),IF(D161&lt;=$F$49,I$49,IF(D161&lt;=$F$50,$I$50,$I$51)),"")</f>
        <v/>
      </c>
      <c r="V161" s="343">
        <f>IF(ISNUMBER(I161),IF('Identificación del Instrumento'!$B$17="periódica",IF(ABS(I161)&lt;=U161,0,1),IF(ABS(L161)&lt;=U161,0,1)),"")</f>
        <v/>
      </c>
      <c r="W161" s="184" t="n"/>
      <c r="X161" s="184" t="n"/>
      <c r="Y161" s="184" t="n"/>
      <c r="Z161" s="184" t="n"/>
      <c r="AA161" s="184" t="n"/>
      <c r="AB161" s="184" t="n"/>
      <c r="AC161" s="61" t="n"/>
      <c r="AD161" s="1298" t="n"/>
      <c r="AE161" s="184" t="n"/>
      <c r="AF161" s="184" t="n"/>
      <c r="AG161" s="1298" t="n"/>
      <c r="AH161" s="184" t="n"/>
      <c r="AI161" s="60" t="n"/>
      <c r="AJ161" s="1298" t="n"/>
      <c r="AK161" s="1298" t="n"/>
      <c r="AL161" s="1298" t="n"/>
      <c r="AM161" s="1298" t="n"/>
      <c r="AN161" s="1298" t="n"/>
      <c r="AO161" s="184" t="n"/>
      <c r="AP161" s="184" t="n"/>
      <c r="AQ161" s="184" t="n"/>
      <c r="AR161" s="184" t="n"/>
      <c r="AS161" s="184" t="n"/>
      <c r="AT161" s="184" t="n"/>
      <c r="AU161" s="184" t="n"/>
      <c r="AV161" s="184" t="n"/>
      <c r="AW161" s="184" t="n"/>
      <c r="AX161" s="184" t="n"/>
      <c r="AY161" s="184" t="n"/>
      <c r="AZ161" s="184" t="n"/>
      <c r="BA161" s="184" t="n"/>
      <c r="BB161" s="184" t="n"/>
      <c r="BC161" s="184" t="n"/>
      <c r="BD161" s="184" t="n"/>
      <c r="BE161" s="184" t="n"/>
      <c r="BF161" s="184" t="n"/>
      <c r="BG161" s="184" t="n"/>
      <c r="BH161" s="184" t="n"/>
      <c r="BI161" s="184" t="n"/>
      <c r="BJ161" s="184" t="n"/>
      <c r="BK161" s="184" t="n"/>
      <c r="BL161" s="184" t="n"/>
      <c r="BM161" s="184" t="n"/>
      <c r="BN161" s="184" t="n"/>
      <c r="BO161" s="184" t="n"/>
      <c r="BP161" s="184" t="n"/>
      <c r="BQ161" s="184" t="n"/>
      <c r="BR161" s="184" t="n"/>
      <c r="BS161" s="184" t="n"/>
      <c r="BT161" s="184" t="n"/>
      <c r="BU161" s="184" t="n"/>
      <c r="BV161" s="184" t="n"/>
      <c r="BW161" s="184" t="n"/>
      <c r="BX161" s="184" t="n"/>
      <c r="BY161" s="184" t="n"/>
      <c r="BZ161" s="184" t="n"/>
      <c r="CA161" s="184" t="n"/>
      <c r="CB161" s="184" t="n"/>
      <c r="CC161" s="184" t="n"/>
      <c r="CD161" s="184" t="n"/>
      <c r="CE161" s="184" t="n"/>
      <c r="CF161" s="184" t="n"/>
      <c r="CG161" s="184" t="n"/>
      <c r="CH161" s="184" t="n"/>
      <c r="CI161" s="184" t="n"/>
      <c r="CJ161" s="184" t="n"/>
      <c r="CK161" s="184" t="n"/>
      <c r="CL161" s="184" t="n"/>
      <c r="CM161" s="184" t="n"/>
      <c r="CN161" s="184" t="n"/>
      <c r="CO161" s="184" t="n"/>
      <c r="CP161" s="184" t="n"/>
      <c r="CQ161" s="184" t="n"/>
      <c r="CR161" s="184" t="n"/>
      <c r="CS161" s="184" t="n"/>
      <c r="CT161" s="184" t="n"/>
      <c r="CU161" s="184" t="n"/>
      <c r="CV161" s="184" t="n"/>
      <c r="CW161" s="184" t="n"/>
      <c r="CX161" s="184" t="n"/>
      <c r="CY161" s="184" t="n"/>
      <c r="CZ161" s="184" t="n"/>
      <c r="DA161" s="184" t="n"/>
      <c r="DB161" s="184" t="n"/>
      <c r="DC161" s="184" t="n"/>
      <c r="DD161" s="184" t="n"/>
      <c r="DE161" s="184" t="n"/>
      <c r="DF161" s="184" t="n"/>
      <c r="DG161" s="184" t="n"/>
      <c r="DH161" s="184" t="n"/>
      <c r="DI161" s="184" t="n"/>
      <c r="DJ161" s="184" t="n"/>
      <c r="DK161" s="184" t="n"/>
      <c r="DL161" s="184" t="n"/>
      <c r="DM161" s="184" t="n"/>
      <c r="DN161" s="184" t="n"/>
      <c r="DO161" s="184" t="n"/>
      <c r="DP161" s="184" t="n"/>
      <c r="DQ161" s="184" t="n"/>
      <c r="DR161" s="184" t="n"/>
      <c r="DS161" s="184" t="n"/>
      <c r="DT161" s="184" t="n"/>
      <c r="DU161" s="184" t="n"/>
      <c r="DV161" s="184" t="n"/>
      <c r="DW161" s="184" t="n"/>
      <c r="DX161" s="184" t="n"/>
      <c r="DY161" s="184" t="n"/>
      <c r="DZ161" s="184" t="n"/>
      <c r="EA161" s="184" t="n"/>
      <c r="EB161" s="184" t="n"/>
      <c r="EC161" s="184" t="n"/>
      <c r="ED161" s="184" t="n"/>
      <c r="EE161" s="184" t="n"/>
      <c r="EF161" s="184" t="n"/>
      <c r="EG161" s="184" t="n"/>
      <c r="EH161" s="184" t="n"/>
      <c r="EI161" s="184" t="n"/>
      <c r="EJ161" s="184" t="n"/>
      <c r="EK161" s="184" t="n"/>
      <c r="EL161" s="184" t="n"/>
      <c r="EM161" s="184" t="n"/>
      <c r="EN161" s="184" t="n"/>
      <c r="EO161" s="184" t="n"/>
      <c r="EP161" s="184" t="n"/>
    </row>
    <row r="162" ht="16.5" customFormat="1" customHeight="1" s="189" thickBot="1">
      <c r="A162" s="184" t="n"/>
      <c r="B162" s="184" t="n">
        <v>19</v>
      </c>
      <c r="C162" s="184" t="n"/>
      <c r="D162" s="501" t="n"/>
      <c r="E162" s="501" t="n"/>
      <c r="F162" s="702">
        <f>IF(ISNUMBER(E162),IF('Identificación del Instrumento'!$F$17="PRIMITIVA","",IF($G$59="DISCONTINUA",$E$84/2,0)),"")</f>
        <v/>
      </c>
      <c r="G162" s="501" t="n"/>
      <c r="H162" s="702">
        <f>IF(ISNUMBER(G162),IF('Identificación del Instrumento'!$F$17="PRIMITIVA","",IF($G$59="DISCONTINUA",$E$84/2,0)),"")</f>
        <v/>
      </c>
      <c r="I162" s="655">
        <f>IF(AND(ISNUMBER(B162),ISNUMBER(D162),ISNUMBER(E162),$B$59=1),IF($G$59="discontinua",(E162-D162),(E162-D162)),"")</f>
        <v/>
      </c>
      <c r="J162" s="655">
        <f>IF(AND(ISNUMBER(B162),ISNUMBER(D162),ISNUMBER(G162),$B$59=1),IF($G$59="discontinua",(G162-D162),(G162-D162)),"")</f>
        <v/>
      </c>
      <c r="K162" s="655">
        <f>IF(AND(ISNUMBER(I162),ISNUMBER(J162)),ABS(J162-I162),"")</f>
        <v/>
      </c>
      <c r="L162" s="655">
        <f>IF(AND(ISNUMBER(B162),ISNUMBER(D162),ISNUMBER(E162),ISNUMBER(F162),$B$59=1),IF($G$59="discontinua",(E162+($H$136/2)-F162-D162),(E162-F162-D162)),"")</f>
        <v/>
      </c>
      <c r="M162" s="655">
        <f>IF(AND(ISNUMBER(B162),ISNUMBER(D162),ISNUMBER(G162),ISNUMBER(H162),$B$59=1),IF($G$59="discontinua",(G162+($H$136/2)-H162-D162),(G162-H162-D162)),"")</f>
        <v/>
      </c>
      <c r="N162" s="184" t="n"/>
      <c r="O162" s="248" t="n"/>
      <c r="P162" s="38">
        <f>IF(ISNUMBER(E162),$E$18/SQRT(12),"")</f>
        <v/>
      </c>
      <c r="Q162" s="38">
        <f>IF(ISNUMBER(E162),MAX(K$96,K$120,K$108,K$132)/SQRT(12),"")</f>
        <v/>
      </c>
      <c r="R162" s="38">
        <f>B162*0.05/2</f>
        <v/>
      </c>
      <c r="S162" s="185" t="n">
        <v>0</v>
      </c>
      <c r="T162" s="38">
        <f>IF(ISNUMBER(E162),2*SQRT(SUMSQ(P162,Q162,R162,S162)),"")</f>
        <v/>
      </c>
      <c r="U162" s="342">
        <f>IF(ISNUMBER(E162),IF(D162&lt;=$F$49,I$49,IF(D162&lt;=$F$50,$I$50,$I$51)),"")</f>
        <v/>
      </c>
      <c r="V162" s="343">
        <f>IF(ISNUMBER(I162),IF('Identificación del Instrumento'!$B$17="periódica",IF(ABS(I162)&lt;=U162,0,1),IF(ABS(L162)&lt;=U162,0,1)),"")</f>
        <v/>
      </c>
      <c r="W162" s="184" t="n"/>
      <c r="X162" s="184" t="n"/>
      <c r="Y162" s="184" t="n"/>
      <c r="Z162" s="184" t="n"/>
      <c r="AA162" s="184" t="n"/>
      <c r="AB162" s="184" t="n"/>
      <c r="AC162" s="61" t="n"/>
      <c r="AD162" s="1298" t="n"/>
      <c r="AE162" s="184" t="n"/>
      <c r="AF162" s="184" t="n"/>
      <c r="AG162" s="1298" t="n"/>
      <c r="AH162" s="184" t="n"/>
      <c r="AI162" s="60" t="n"/>
      <c r="AJ162" s="1298" t="n"/>
      <c r="AK162" s="1298" t="n"/>
      <c r="AL162" s="1298" t="n"/>
      <c r="AM162" s="1298" t="n"/>
      <c r="AN162" s="1298" t="n"/>
      <c r="AO162" s="184" t="n"/>
      <c r="AP162" s="184" t="n"/>
      <c r="AQ162" s="184" t="n"/>
      <c r="AR162" s="184" t="n"/>
      <c r="AS162" s="184" t="n"/>
      <c r="AT162" s="184" t="n"/>
      <c r="AU162" s="184" t="n"/>
      <c r="AV162" s="184" t="n"/>
      <c r="AW162" s="184" t="n"/>
      <c r="AX162" s="184" t="n"/>
      <c r="AY162" s="184" t="n"/>
      <c r="AZ162" s="184" t="n"/>
      <c r="BA162" s="184" t="n"/>
      <c r="BB162" s="184" t="n"/>
      <c r="BC162" s="184" t="n"/>
      <c r="BD162" s="184" t="n"/>
      <c r="BE162" s="184" t="n"/>
      <c r="BF162" s="184" t="n"/>
      <c r="BG162" s="184" t="n"/>
      <c r="BH162" s="184" t="n"/>
      <c r="BI162" s="184" t="n"/>
      <c r="BJ162" s="184" t="n"/>
      <c r="BK162" s="184" t="n"/>
      <c r="BL162" s="184" t="n"/>
      <c r="BM162" s="184" t="n"/>
      <c r="BN162" s="184" t="n"/>
      <c r="BO162" s="184" t="n"/>
      <c r="BP162" s="184" t="n"/>
      <c r="BQ162" s="184" t="n"/>
      <c r="BR162" s="184" t="n"/>
      <c r="BS162" s="184" t="n"/>
      <c r="BT162" s="184" t="n"/>
      <c r="BU162" s="184" t="n"/>
      <c r="BV162" s="184" t="n"/>
      <c r="BW162" s="184" t="n"/>
      <c r="BX162" s="184" t="n"/>
      <c r="BY162" s="184" t="n"/>
      <c r="BZ162" s="184" t="n"/>
      <c r="CA162" s="184" t="n"/>
      <c r="CB162" s="184" t="n"/>
      <c r="CC162" s="184" t="n"/>
      <c r="CD162" s="184" t="n"/>
      <c r="CE162" s="184" t="n"/>
      <c r="CF162" s="184" t="n"/>
      <c r="CG162" s="184" t="n"/>
      <c r="CH162" s="184" t="n"/>
      <c r="CI162" s="184" t="n"/>
      <c r="CJ162" s="184" t="n"/>
      <c r="CK162" s="184" t="n"/>
      <c r="CL162" s="184" t="n"/>
      <c r="CM162" s="184" t="n"/>
      <c r="CN162" s="184" t="n"/>
      <c r="CO162" s="184" t="n"/>
      <c r="CP162" s="184" t="n"/>
      <c r="CQ162" s="184" t="n"/>
      <c r="CR162" s="184" t="n"/>
      <c r="CS162" s="184" t="n"/>
      <c r="CT162" s="184" t="n"/>
      <c r="CU162" s="184" t="n"/>
      <c r="CV162" s="184" t="n"/>
      <c r="CW162" s="184" t="n"/>
      <c r="CX162" s="184" t="n"/>
      <c r="CY162" s="184" t="n"/>
      <c r="CZ162" s="184" t="n"/>
      <c r="DA162" s="184" t="n"/>
      <c r="DB162" s="184" t="n"/>
      <c r="DC162" s="184" t="n"/>
      <c r="DD162" s="184" t="n"/>
      <c r="DE162" s="184" t="n"/>
      <c r="DF162" s="184" t="n"/>
      <c r="DG162" s="184" t="n"/>
      <c r="DH162" s="184" t="n"/>
      <c r="DI162" s="184" t="n"/>
      <c r="DJ162" s="184" t="n"/>
      <c r="DK162" s="184" t="n"/>
      <c r="DL162" s="184" t="n"/>
      <c r="DM162" s="184" t="n"/>
      <c r="DN162" s="184" t="n"/>
      <c r="DO162" s="184" t="n"/>
      <c r="DP162" s="184" t="n"/>
      <c r="DQ162" s="184" t="n"/>
      <c r="DR162" s="184" t="n"/>
      <c r="DS162" s="184" t="n"/>
      <c r="DT162" s="184" t="n"/>
      <c r="DU162" s="184" t="n"/>
      <c r="DV162" s="184" t="n"/>
      <c r="DW162" s="184" t="n"/>
      <c r="DX162" s="184" t="n"/>
      <c r="DY162" s="184" t="n"/>
      <c r="DZ162" s="184" t="n"/>
      <c r="EA162" s="184" t="n"/>
      <c r="EB162" s="184" t="n"/>
      <c r="EC162" s="184" t="n"/>
      <c r="ED162" s="184" t="n"/>
      <c r="EE162" s="184" t="n"/>
      <c r="EF162" s="184" t="n"/>
      <c r="EG162" s="184" t="n"/>
      <c r="EH162" s="184" t="n"/>
      <c r="EI162" s="184" t="n"/>
      <c r="EJ162" s="184" t="n"/>
      <c r="EK162" s="184" t="n"/>
      <c r="EL162" s="184" t="n"/>
      <c r="EM162" s="184" t="n"/>
      <c r="EN162" s="184" t="n"/>
      <c r="EO162" s="184" t="n"/>
      <c r="EP162" s="184" t="n"/>
    </row>
    <row r="163" ht="16.5" customFormat="1" customHeight="1" s="189" thickBot="1">
      <c r="A163" s="184" t="n"/>
      <c r="B163" s="184" t="n">
        <v>20</v>
      </c>
      <c r="C163" s="184" t="n"/>
      <c r="D163" s="501" t="n"/>
      <c r="E163" s="501" t="n"/>
      <c r="F163" s="702">
        <f>IF(ISNUMBER(E163),IF('Identificación del Instrumento'!$F$17="PRIMITIVA","",IF($G$59="DISCONTINUA",$E$84/2,0)),"")</f>
        <v/>
      </c>
      <c r="G163" s="501" t="n"/>
      <c r="H163" s="702">
        <f>IF(ISNUMBER(G163),IF('Identificación del Instrumento'!$F$17="PRIMITIVA","",IF($G$59="DISCONTINUA",$E$84/2,0)),"")</f>
        <v/>
      </c>
      <c r="I163" s="655">
        <f>IF(AND(ISNUMBER(B163),ISNUMBER(D163),ISNUMBER(E163),$B$59=1),IF($G$59="discontinua",(E163-D163),(E163-D163)),"")</f>
        <v/>
      </c>
      <c r="J163" s="655">
        <f>IF(AND(ISNUMBER(B163),ISNUMBER(D163),ISNUMBER(G163),$B$59=1),IF($G$59="discontinua",(G163-D163),(G163-D163)),"")</f>
        <v/>
      </c>
      <c r="K163" s="655">
        <f>IF(AND(ISNUMBER(I163),ISNUMBER(J163)),ABS(J163-I163),"")</f>
        <v/>
      </c>
      <c r="L163" s="655">
        <f>IF(AND(ISNUMBER(B163),ISNUMBER(D163),ISNUMBER(E163),ISNUMBER(F163),$B$59=1),IF($G$59="discontinua",(E163+($H$136/2)-F163-D163),(E163-F163-D163)),"")</f>
        <v/>
      </c>
      <c r="M163" s="655">
        <f>IF(AND(ISNUMBER(B163),ISNUMBER(D163),ISNUMBER(G163),ISNUMBER(H163),$B$59=1),IF($G$59="discontinua",(G163+($H$136/2)-H163-D163),(G163-H163-D163)),"")</f>
        <v/>
      </c>
      <c r="N163" s="184" t="n"/>
      <c r="O163" s="248" t="n"/>
      <c r="P163" s="38">
        <f>IF(ISNUMBER(E163),$E$18/SQRT(12),"")</f>
        <v/>
      </c>
      <c r="Q163" s="38">
        <f>IF(ISNUMBER(E163),MAX(K$96,K$120,K$108,K$132)/SQRT(12),"")</f>
        <v/>
      </c>
      <c r="R163" s="38">
        <f>B163*0.05/2</f>
        <v/>
      </c>
      <c r="S163" s="185" t="n">
        <v>0</v>
      </c>
      <c r="T163" s="38">
        <f>IF(ISNUMBER(E163),2*SQRT(SUMSQ(P163,Q163,R163,S163)),"")</f>
        <v/>
      </c>
      <c r="U163" s="342">
        <f>IF(ISNUMBER(E163),IF(D163&lt;=$F$49,I$49,IF(D163&lt;=$F$50,$I$50,$I$51)),"")</f>
        <v/>
      </c>
      <c r="V163" s="343">
        <f>IF(ISNUMBER(I163),IF('Identificación del Instrumento'!$B$17="periódica",IF(ABS(I163)&lt;=U163,0,1),IF(ABS(L163)&lt;=U163,0,1)),"")</f>
        <v/>
      </c>
      <c r="W163" s="184" t="n"/>
      <c r="X163" s="184" t="n"/>
      <c r="Y163" s="184" t="n"/>
      <c r="Z163" s="184" t="n"/>
      <c r="AA163" s="184" t="n"/>
      <c r="AB163" s="184" t="n"/>
      <c r="AC163" s="61" t="n"/>
      <c r="AD163" s="1298" t="n"/>
      <c r="AE163" s="184" t="n"/>
      <c r="AF163" s="184" t="n"/>
      <c r="AG163" s="1298" t="n"/>
      <c r="AH163" s="184" t="n"/>
      <c r="AI163" s="60" t="n"/>
      <c r="AJ163" s="1298" t="n"/>
      <c r="AK163" s="1298" t="n"/>
      <c r="AL163" s="1298" t="n"/>
      <c r="AM163" s="1298" t="n"/>
      <c r="AN163" s="1298" t="n"/>
      <c r="AO163" s="184" t="n"/>
      <c r="AP163" s="184" t="n"/>
      <c r="AQ163" s="184" t="n"/>
      <c r="AR163" s="184" t="n"/>
      <c r="AS163" s="184" t="n"/>
      <c r="AT163" s="184" t="n"/>
      <c r="AU163" s="184" t="n"/>
      <c r="AV163" s="184" t="n"/>
      <c r="AW163" s="184" t="n"/>
      <c r="AX163" s="184" t="n"/>
      <c r="AY163" s="184" t="n"/>
      <c r="AZ163" s="184" t="n"/>
      <c r="BA163" s="184" t="n"/>
      <c r="BB163" s="184" t="n"/>
      <c r="BC163" s="184" t="n"/>
      <c r="BD163" s="184" t="n"/>
      <c r="BE163" s="184" t="n"/>
      <c r="BF163" s="184" t="n"/>
      <c r="BG163" s="184" t="n"/>
      <c r="BH163" s="184" t="n"/>
      <c r="BI163" s="184" t="n"/>
      <c r="BJ163" s="184" t="n"/>
      <c r="BK163" s="184" t="n"/>
      <c r="BL163" s="184" t="n"/>
      <c r="BM163" s="184" t="n"/>
      <c r="BN163" s="184" t="n"/>
      <c r="BO163" s="184" t="n"/>
      <c r="BP163" s="184" t="n"/>
      <c r="BQ163" s="184" t="n"/>
      <c r="BR163" s="184" t="n"/>
      <c r="BS163" s="184" t="n"/>
      <c r="BT163" s="184" t="n"/>
      <c r="BU163" s="184" t="n"/>
      <c r="BV163" s="184" t="n"/>
      <c r="BW163" s="184" t="n"/>
      <c r="BX163" s="184" t="n"/>
      <c r="BY163" s="184" t="n"/>
      <c r="BZ163" s="184" t="n"/>
      <c r="CA163" s="184" t="n"/>
      <c r="CB163" s="184" t="n"/>
      <c r="CC163" s="184" t="n"/>
      <c r="CD163" s="184" t="n"/>
      <c r="CE163" s="184" t="n"/>
      <c r="CF163" s="184" t="n"/>
      <c r="CG163" s="184" t="n"/>
      <c r="CH163" s="184" t="n"/>
      <c r="CI163" s="184" t="n"/>
      <c r="CJ163" s="184" t="n"/>
      <c r="CK163" s="184" t="n"/>
      <c r="CL163" s="184" t="n"/>
      <c r="CM163" s="184" t="n"/>
      <c r="CN163" s="184" t="n"/>
      <c r="CO163" s="184" t="n"/>
      <c r="CP163" s="184" t="n"/>
      <c r="CQ163" s="184" t="n"/>
      <c r="CR163" s="184" t="n"/>
      <c r="CS163" s="184" t="n"/>
      <c r="CT163" s="184" t="n"/>
      <c r="CU163" s="184" t="n"/>
      <c r="CV163" s="184" t="n"/>
      <c r="CW163" s="184" t="n"/>
      <c r="CX163" s="184" t="n"/>
      <c r="CY163" s="184" t="n"/>
      <c r="CZ163" s="184" t="n"/>
      <c r="DA163" s="184" t="n"/>
      <c r="DB163" s="184" t="n"/>
      <c r="DC163" s="184" t="n"/>
      <c r="DD163" s="184" t="n"/>
      <c r="DE163" s="184" t="n"/>
      <c r="DF163" s="184" t="n"/>
      <c r="DG163" s="184" t="n"/>
      <c r="DH163" s="184" t="n"/>
      <c r="DI163" s="184" t="n"/>
      <c r="DJ163" s="184" t="n"/>
      <c r="DK163" s="184" t="n"/>
      <c r="DL163" s="184" t="n"/>
      <c r="DM163" s="184" t="n"/>
      <c r="DN163" s="184" t="n"/>
      <c r="DO163" s="184" t="n"/>
      <c r="DP163" s="184" t="n"/>
      <c r="DQ163" s="184" t="n"/>
      <c r="DR163" s="184" t="n"/>
      <c r="DS163" s="184" t="n"/>
      <c r="DT163" s="184" t="n"/>
      <c r="DU163" s="184" t="n"/>
      <c r="DV163" s="184" t="n"/>
      <c r="DW163" s="184" t="n"/>
      <c r="DX163" s="184" t="n"/>
      <c r="DY163" s="184" t="n"/>
      <c r="DZ163" s="184" t="n"/>
      <c r="EA163" s="184" t="n"/>
      <c r="EB163" s="184" t="n"/>
      <c r="EC163" s="184" t="n"/>
      <c r="ED163" s="184" t="n"/>
      <c r="EE163" s="184" t="n"/>
      <c r="EF163" s="184" t="n"/>
      <c r="EG163" s="184" t="n"/>
      <c r="EH163" s="184" t="n"/>
      <c r="EI163" s="184" t="n"/>
      <c r="EJ163" s="184" t="n"/>
      <c r="EK163" s="184" t="n"/>
      <c r="EL163" s="184" t="n"/>
      <c r="EM163" s="184" t="n"/>
      <c r="EN163" s="184" t="n"/>
      <c r="EO163" s="184" t="n"/>
      <c r="EP163" s="184" t="n"/>
    </row>
    <row r="164" ht="16.5" customFormat="1" customHeight="1" s="189" thickBot="1">
      <c r="A164" s="184" t="n"/>
      <c r="B164" s="184" t="n">
        <v>21</v>
      </c>
      <c r="C164" s="184" t="n"/>
      <c r="D164" s="501" t="n"/>
      <c r="E164" s="501" t="n"/>
      <c r="F164" s="702">
        <f>IF(ISNUMBER(E164),IF('Identificación del Instrumento'!$F$17="PRIMITIVA","",IF($G$59="DISCONTINUA",$E$84/2,0)),"")</f>
        <v/>
      </c>
      <c r="G164" s="501" t="n"/>
      <c r="H164" s="702">
        <f>IF(ISNUMBER(G164),IF('Identificación del Instrumento'!$F$17="PRIMITIVA","",IF($G$59="DISCONTINUA",$E$84/2,0)),"")</f>
        <v/>
      </c>
      <c r="I164" s="655">
        <f>IF(AND(ISNUMBER(B164),ISNUMBER(D164),ISNUMBER(E164),$B$59=1),IF($G$59="discontinua",(E164-D164),(E164-D164)),"")</f>
        <v/>
      </c>
      <c r="J164" s="655">
        <f>IF(AND(ISNUMBER(B164),ISNUMBER(D164),ISNUMBER(G164),$B$59=1),IF($G$59="discontinua",(G164-D164),(G164-D164)),"")</f>
        <v/>
      </c>
      <c r="K164" s="655">
        <f>IF(AND(ISNUMBER(I164),ISNUMBER(J164)),ABS(J164-I164),"")</f>
        <v/>
      </c>
      <c r="L164" s="655">
        <f>IF(AND(ISNUMBER(B164),ISNUMBER(D164),ISNUMBER(E164),ISNUMBER(F164),$B$59=1),IF($G$59="discontinua",(E164+($H$136/2)-F164-D164),(E164-F164-D164)),"")</f>
        <v/>
      </c>
      <c r="M164" s="655">
        <f>IF(AND(ISNUMBER(B164),ISNUMBER(D164),ISNUMBER(G164),ISNUMBER(H164),$B$59=1),IF($G$59="discontinua",(G164+($H$136/2)-H164-D164),(G164-H164-D164)),"")</f>
        <v/>
      </c>
      <c r="N164" s="184" t="n"/>
      <c r="O164" s="248" t="n"/>
      <c r="P164" s="38">
        <f>IF(ISNUMBER(E164),$E$18/SQRT(12),"")</f>
        <v/>
      </c>
      <c r="Q164" s="38">
        <f>IF(ISNUMBER(E164),MAX(K$96,K$120,K$108,K$132)/SQRT(12),"")</f>
        <v/>
      </c>
      <c r="R164" s="38">
        <f>B164*0.05/2</f>
        <v/>
      </c>
      <c r="S164" s="185" t="n">
        <v>0</v>
      </c>
      <c r="T164" s="38">
        <f>IF(ISNUMBER(E164),2*SQRT(SUMSQ(P164,Q164,R164,S164)),"")</f>
        <v/>
      </c>
      <c r="U164" s="342">
        <f>IF(ISNUMBER(E164),IF(D164&lt;=$F$49,I$49,IF(D164&lt;=$F$50,$I$50,$I$51)),"")</f>
        <v/>
      </c>
      <c r="V164" s="343">
        <f>IF(ISNUMBER(I164),IF('Identificación del Instrumento'!$B$17="periódica",IF(ABS(I164)&lt;=U164,0,1),IF(ABS(L164)&lt;=U164,0,1)),"")</f>
        <v/>
      </c>
      <c r="W164" s="184" t="n"/>
      <c r="X164" s="184" t="n"/>
      <c r="Y164" s="184" t="n"/>
      <c r="Z164" s="184" t="n"/>
      <c r="AA164" s="184" t="n"/>
      <c r="AB164" s="184" t="n"/>
      <c r="AC164" s="61" t="n"/>
      <c r="AD164" s="1298" t="n"/>
      <c r="AE164" s="184" t="n"/>
      <c r="AF164" s="184" t="n"/>
      <c r="AG164" s="1298" t="n"/>
      <c r="AH164" s="184" t="n"/>
      <c r="AI164" s="60" t="n"/>
      <c r="AJ164" s="1298" t="n"/>
      <c r="AK164" s="1298" t="n"/>
      <c r="AL164" s="1298" t="n"/>
      <c r="AM164" s="1298" t="n"/>
      <c r="AN164" s="1298" t="n"/>
      <c r="AO164" s="184" t="n"/>
      <c r="AP164" s="184" t="n"/>
      <c r="AQ164" s="184" t="n"/>
      <c r="AR164" s="184" t="n"/>
      <c r="AS164" s="184" t="n"/>
      <c r="AT164" s="184" t="n"/>
      <c r="AU164" s="184" t="n"/>
      <c r="AV164" s="184" t="n"/>
      <c r="AW164" s="184" t="n"/>
      <c r="AX164" s="184" t="n"/>
      <c r="AY164" s="184" t="n"/>
      <c r="AZ164" s="184" t="n"/>
      <c r="BA164" s="184" t="n"/>
      <c r="BB164" s="184" t="n"/>
      <c r="BC164" s="184" t="n"/>
      <c r="BD164" s="184" t="n"/>
      <c r="BE164" s="184" t="n"/>
      <c r="BF164" s="184" t="n"/>
      <c r="BG164" s="184" t="n"/>
      <c r="BH164" s="184" t="n"/>
      <c r="BI164" s="184" t="n"/>
      <c r="BJ164" s="184" t="n"/>
      <c r="BK164" s="184" t="n"/>
      <c r="BL164" s="184" t="n"/>
      <c r="BM164" s="184" t="n"/>
      <c r="BN164" s="184" t="n"/>
      <c r="BO164" s="184" t="n"/>
      <c r="BP164" s="184" t="n"/>
      <c r="BQ164" s="184" t="n"/>
      <c r="BR164" s="184" t="n"/>
      <c r="BS164" s="184" t="n"/>
      <c r="BT164" s="184" t="n"/>
      <c r="BU164" s="184" t="n"/>
      <c r="BV164" s="184" t="n"/>
      <c r="BW164" s="184" t="n"/>
      <c r="BX164" s="184" t="n"/>
      <c r="BY164" s="184" t="n"/>
      <c r="BZ164" s="184" t="n"/>
      <c r="CA164" s="184" t="n"/>
      <c r="CB164" s="184" t="n"/>
      <c r="CC164" s="184" t="n"/>
      <c r="CD164" s="184" t="n"/>
      <c r="CE164" s="184" t="n"/>
      <c r="CF164" s="184" t="n"/>
      <c r="CG164" s="184" t="n"/>
      <c r="CH164" s="184" t="n"/>
      <c r="CI164" s="184" t="n"/>
      <c r="CJ164" s="184" t="n"/>
      <c r="CK164" s="184" t="n"/>
      <c r="CL164" s="184" t="n"/>
      <c r="CM164" s="184" t="n"/>
      <c r="CN164" s="184" t="n"/>
      <c r="CO164" s="184" t="n"/>
      <c r="CP164" s="184" t="n"/>
      <c r="CQ164" s="184" t="n"/>
      <c r="CR164" s="184" t="n"/>
      <c r="CS164" s="184" t="n"/>
      <c r="CT164" s="184" t="n"/>
      <c r="CU164" s="184" t="n"/>
      <c r="CV164" s="184" t="n"/>
      <c r="CW164" s="184" t="n"/>
      <c r="CX164" s="184" t="n"/>
      <c r="CY164" s="184" t="n"/>
      <c r="CZ164" s="184" t="n"/>
      <c r="DA164" s="184" t="n"/>
      <c r="DB164" s="184" t="n"/>
      <c r="DC164" s="184" t="n"/>
      <c r="DD164" s="184" t="n"/>
      <c r="DE164" s="184" t="n"/>
      <c r="DF164" s="184" t="n"/>
      <c r="DG164" s="184" t="n"/>
      <c r="DH164" s="184" t="n"/>
      <c r="DI164" s="184" t="n"/>
      <c r="DJ164" s="184" t="n"/>
      <c r="DK164" s="184" t="n"/>
      <c r="DL164" s="184" t="n"/>
      <c r="DM164" s="184" t="n"/>
      <c r="DN164" s="184" t="n"/>
      <c r="DO164" s="184" t="n"/>
      <c r="DP164" s="184" t="n"/>
      <c r="DQ164" s="184" t="n"/>
      <c r="DR164" s="184" t="n"/>
      <c r="DS164" s="184" t="n"/>
      <c r="DT164" s="184" t="n"/>
      <c r="DU164" s="184" t="n"/>
      <c r="DV164" s="184" t="n"/>
      <c r="DW164" s="184" t="n"/>
      <c r="DX164" s="184" t="n"/>
      <c r="DY164" s="184" t="n"/>
      <c r="DZ164" s="184" t="n"/>
      <c r="EA164" s="184" t="n"/>
      <c r="EB164" s="184" t="n"/>
      <c r="EC164" s="184" t="n"/>
      <c r="ED164" s="184" t="n"/>
      <c r="EE164" s="184" t="n"/>
      <c r="EF164" s="184" t="n"/>
      <c r="EG164" s="184" t="n"/>
      <c r="EH164" s="184" t="n"/>
      <c r="EI164" s="184" t="n"/>
      <c r="EJ164" s="184" t="n"/>
      <c r="EK164" s="184" t="n"/>
      <c r="EL164" s="184" t="n"/>
      <c r="EM164" s="184" t="n"/>
      <c r="EN164" s="184" t="n"/>
      <c r="EO164" s="184" t="n"/>
      <c r="EP164" s="184" t="n"/>
    </row>
    <row r="165" ht="16.5" customFormat="1" customHeight="1" s="189" thickBot="1">
      <c r="A165" s="184" t="n"/>
      <c r="B165" s="184" t="n">
        <v>22</v>
      </c>
      <c r="C165" s="184" t="n"/>
      <c r="D165" s="652" t="n"/>
      <c r="E165" s="501" t="n"/>
      <c r="F165" s="503">
        <f>IF(ISNUMBER(E165),IF('Identificación del Instrumento'!$F$17="PRIMITIVA","",IF($G$59="DISCONTINUA",$E$84/2,0)),"")</f>
        <v/>
      </c>
      <c r="G165" s="501" t="n"/>
      <c r="H165" s="504">
        <f>IF(ISNUMBER(G165),IF('Identificación del Instrumento'!$F$17="PRIMITIVA","",IF($G$59="DISCONTINUA",$E$84/2,0)),"")</f>
        <v/>
      </c>
      <c r="I165" s="502">
        <f>IF(AND(ISNUMBER(B165),ISNUMBER(D165),ISNUMBER(E165),$B$59=1),IF($G$59="discontinua",(E165-D165),(E165-D165)),"")</f>
        <v/>
      </c>
      <c r="J165" s="502">
        <f>IF(AND(ISNUMBER(B165),ISNUMBER(D165),ISNUMBER(G165),$B$59=1),IF($G$59="discontinua",(G165-D165),(G165-D165)),"")</f>
        <v/>
      </c>
      <c r="K165" s="502">
        <f>IF(AND(ISNUMBER(I165),ISNUMBER(J165)),ABS(J165-I165),"")</f>
        <v/>
      </c>
      <c r="L165" s="502">
        <f>IF(AND(ISNUMBER(B165),ISNUMBER(D165),ISNUMBER(E165),ISNUMBER(F165),$B$59=1),IF($G$59="discontinua",(E165+($H$136/2)-F165-D165),(E165-F165-D165)),"")</f>
        <v/>
      </c>
      <c r="M165" s="502">
        <f>IF(AND(ISNUMBER(B165),ISNUMBER(D165),ISNUMBER(G165),ISNUMBER(H165),$B$59=1),IF($G$59="discontinua",(G165+($H$136/2)-H165-D165),(G165-H165-D165)),"")</f>
        <v/>
      </c>
      <c r="N165" s="184" t="n"/>
      <c r="O165" s="248" t="n"/>
      <c r="P165" s="38">
        <f>IF(ISNUMBER(E165),$E$18/SQRT(12),"")</f>
        <v/>
      </c>
      <c r="Q165" s="38">
        <f>IF(ISNUMBER(E165),MAX(K$96,K$120,K$108,K$132)/SQRT(12),"")</f>
        <v/>
      </c>
      <c r="R165" s="38">
        <f>B165*0.05/2</f>
        <v/>
      </c>
      <c r="S165" s="185" t="n">
        <v>0</v>
      </c>
      <c r="T165" s="38">
        <f>IF(ISNUMBER(E165),2*SQRT(SUMSQ(P165,Q165,R165,S165)),"")</f>
        <v/>
      </c>
      <c r="U165" s="342">
        <f>IF(ISNUMBER(E165),IF(D165&lt;=$F$49,I$49,IF(D165&lt;=$F$50,$I$50,$I$51)),"")</f>
        <v/>
      </c>
      <c r="V165" s="343">
        <f>IF(ISNUMBER(I165),IF('Identificación del Instrumento'!$B$17="periódica",IF(ABS(I165)&lt;=U165,0,1),IF(ABS(L165)&lt;=U165,0,1)),"")</f>
        <v/>
      </c>
      <c r="W165" s="184" t="n"/>
      <c r="X165" s="184" t="n"/>
      <c r="Y165" s="184" t="n"/>
      <c r="Z165" s="184" t="n"/>
      <c r="AA165" s="184" t="n"/>
      <c r="AB165" s="184" t="n"/>
      <c r="AC165" s="61" t="n"/>
      <c r="AD165" s="1298" t="n"/>
      <c r="AE165" s="184" t="n"/>
      <c r="AF165" s="184" t="n"/>
      <c r="AG165" s="1298" t="n"/>
      <c r="AH165" s="184" t="n"/>
      <c r="AI165" s="60" t="n"/>
      <c r="AJ165" s="1298" t="n"/>
      <c r="AK165" s="1298" t="n"/>
      <c r="AL165" s="1298" t="n"/>
      <c r="AM165" s="1298" t="n"/>
      <c r="AN165" s="1298" t="n"/>
      <c r="AO165" s="184" t="n"/>
      <c r="AP165" s="184" t="n"/>
      <c r="AQ165" s="184" t="n"/>
      <c r="AR165" s="184" t="n"/>
      <c r="AS165" s="184" t="n"/>
      <c r="AT165" s="184" t="n"/>
      <c r="AU165" s="184" t="n"/>
      <c r="AV165" s="184" t="n"/>
      <c r="AW165" s="184" t="n"/>
      <c r="AX165" s="184" t="n"/>
      <c r="AY165" s="184" t="n"/>
      <c r="AZ165" s="184" t="n"/>
      <c r="BA165" s="184" t="n"/>
      <c r="BB165" s="184" t="n"/>
      <c r="BC165" s="184" t="n"/>
      <c r="BD165" s="184" t="n"/>
      <c r="BE165" s="184" t="n"/>
      <c r="BF165" s="184" t="n"/>
      <c r="BG165" s="184" t="n"/>
      <c r="BH165" s="184" t="n"/>
      <c r="BI165" s="184" t="n"/>
      <c r="BJ165" s="184" t="n"/>
      <c r="BK165" s="184" t="n"/>
      <c r="BL165" s="184" t="n"/>
      <c r="BM165" s="184" t="n"/>
      <c r="BN165" s="184" t="n"/>
      <c r="BO165" s="184" t="n"/>
      <c r="BP165" s="184" t="n"/>
      <c r="BQ165" s="184" t="n"/>
      <c r="BR165" s="184" t="n"/>
      <c r="BS165" s="184" t="n"/>
      <c r="BT165" s="184" t="n"/>
      <c r="BU165" s="184" t="n"/>
      <c r="BV165" s="184" t="n"/>
      <c r="BW165" s="184" t="n"/>
      <c r="BX165" s="184" t="n"/>
      <c r="BY165" s="184" t="n"/>
      <c r="BZ165" s="184" t="n"/>
      <c r="CA165" s="184" t="n"/>
      <c r="CB165" s="184" t="n"/>
      <c r="CC165" s="184" t="n"/>
      <c r="CD165" s="184" t="n"/>
      <c r="CE165" s="184" t="n"/>
      <c r="CF165" s="184" t="n"/>
      <c r="CG165" s="184" t="n"/>
      <c r="CH165" s="184" t="n"/>
      <c r="CI165" s="184" t="n"/>
      <c r="CJ165" s="184" t="n"/>
      <c r="CK165" s="184" t="n"/>
      <c r="CL165" s="184" t="n"/>
      <c r="CM165" s="184" t="n"/>
      <c r="CN165" s="184" t="n"/>
      <c r="CO165" s="184" t="n"/>
      <c r="CP165" s="184" t="n"/>
      <c r="CQ165" s="184" t="n"/>
      <c r="CR165" s="184" t="n"/>
      <c r="CS165" s="184" t="n"/>
      <c r="CT165" s="184" t="n"/>
      <c r="CU165" s="184" t="n"/>
      <c r="CV165" s="184" t="n"/>
      <c r="CW165" s="184" t="n"/>
      <c r="CX165" s="184" t="n"/>
      <c r="CY165" s="184" t="n"/>
      <c r="CZ165" s="184" t="n"/>
      <c r="DA165" s="184" t="n"/>
      <c r="DB165" s="184" t="n"/>
      <c r="DC165" s="184" t="n"/>
      <c r="DD165" s="184" t="n"/>
      <c r="DE165" s="184" t="n"/>
      <c r="DF165" s="184" t="n"/>
      <c r="DG165" s="184" t="n"/>
      <c r="DH165" s="184" t="n"/>
      <c r="DI165" s="184" t="n"/>
      <c r="DJ165" s="184" t="n"/>
      <c r="DK165" s="184" t="n"/>
      <c r="DL165" s="184" t="n"/>
      <c r="DM165" s="184" t="n"/>
      <c r="DN165" s="184" t="n"/>
      <c r="DO165" s="184" t="n"/>
      <c r="DP165" s="184" t="n"/>
      <c r="DQ165" s="184" t="n"/>
      <c r="DR165" s="184" t="n"/>
      <c r="DS165" s="184" t="n"/>
      <c r="DT165" s="184" t="n"/>
      <c r="DU165" s="184" t="n"/>
      <c r="DV165" s="184" t="n"/>
      <c r="DW165" s="184" t="n"/>
      <c r="DX165" s="184" t="n"/>
      <c r="DY165" s="184" t="n"/>
      <c r="DZ165" s="184" t="n"/>
      <c r="EA165" s="184" t="n"/>
      <c r="EB165" s="184" t="n"/>
      <c r="EC165" s="184" t="n"/>
      <c r="ED165" s="184" t="n"/>
      <c r="EE165" s="184" t="n"/>
      <c r="EF165" s="184" t="n"/>
      <c r="EG165" s="184" t="n"/>
      <c r="EH165" s="184" t="n"/>
      <c r="EI165" s="184" t="n"/>
      <c r="EJ165" s="184" t="n"/>
      <c r="EK165" s="184" t="n"/>
      <c r="EL165" s="184" t="n"/>
      <c r="EM165" s="184" t="n"/>
      <c r="EN165" s="184" t="n"/>
      <c r="EO165" s="184" t="n"/>
      <c r="EP165" s="184" t="n"/>
    </row>
    <row r="166" ht="16.5" customFormat="1" customHeight="1" s="189" thickBot="1">
      <c r="A166" s="184" t="n"/>
      <c r="B166" s="184" t="n">
        <v>23</v>
      </c>
      <c r="C166" s="184" t="n"/>
      <c r="D166" s="652" t="n"/>
      <c r="E166" s="501" t="n"/>
      <c r="F166" s="503">
        <f>IF(ISNUMBER(E166),IF('Identificación del Instrumento'!$F$17="PRIMITIVA","",IF($G$59="DISCONTINUA",$E$84/2,0)),"")</f>
        <v/>
      </c>
      <c r="G166" s="501" t="n"/>
      <c r="H166" s="503">
        <f>IF(ISNUMBER(G166),IF('Identificación del Instrumento'!$F$17="PRIMITIVA","",IF($G$59="DISCONTINUA",$E$84/2,0)),"")</f>
        <v/>
      </c>
      <c r="I166" s="502">
        <f>IF(AND(ISNUMBER(B166),ISNUMBER(D166),ISNUMBER(E166),$B$59=1),IF($G$59="discontinua",(E166-D166),(E166-D166)),"")</f>
        <v/>
      </c>
      <c r="J166" s="502">
        <f>IF(AND(ISNUMBER(B166),ISNUMBER(D166),ISNUMBER(G166),$B$59=1),IF($G$59="discontinua",(G166-D166),(G166-D166)),"")</f>
        <v/>
      </c>
      <c r="K166" s="502">
        <f>IF(AND(ISNUMBER(I166),ISNUMBER(J166)),ABS(J166-I166),"")</f>
        <v/>
      </c>
      <c r="L166" s="502">
        <f>IF(AND(ISNUMBER(B166),ISNUMBER(D166),ISNUMBER(E166),ISNUMBER(F166),$B$59=1),IF($G$59="discontinua",(E166+($H$136/2)-F166-D166),(E166-F166-D166)),"")</f>
        <v/>
      </c>
      <c r="M166" s="502">
        <f>IF(AND(ISNUMBER(B166),ISNUMBER(D166),ISNUMBER(G166),ISNUMBER(H166),$B$59=1),IF($G$59="discontinua",(G166+($H$136/2)-H166-D166),(G166-H166-D166)),"")</f>
        <v/>
      </c>
      <c r="N166" s="184" t="n"/>
      <c r="O166" s="248" t="n"/>
      <c r="P166" s="38">
        <f>IF(ISNUMBER(E166),$E$18/SQRT(12),"")</f>
        <v/>
      </c>
      <c r="Q166" s="38">
        <f>IF(ISNUMBER(E166),MAX(K$96,K$120,K$108,K$132)/SQRT(12),"")</f>
        <v/>
      </c>
      <c r="R166" s="38">
        <f>B166*0.05/2</f>
        <v/>
      </c>
      <c r="S166" s="185" t="n">
        <v>0</v>
      </c>
      <c r="T166" s="38">
        <f>IF(ISNUMBER(E166),2*SQRT(SUMSQ(P166,Q166,R166,S166)),"")</f>
        <v/>
      </c>
      <c r="U166" s="342">
        <f>IF(ISNUMBER(E166),IF(D166&lt;=$F$49,I$49,IF(D166&lt;=$F$50,$I$50,$I$51)),"")</f>
        <v/>
      </c>
      <c r="V166" s="343">
        <f>IF(ISNUMBER(I166),IF('Identificación del Instrumento'!$B$17="periódica",IF(ABS(I166)&lt;=U166,0,1),IF(ABS(L166)&lt;=U166,0,1)),"")</f>
        <v/>
      </c>
      <c r="W166" s="184" t="n"/>
      <c r="X166" s="184" t="n"/>
      <c r="Y166" s="184" t="n"/>
      <c r="Z166" s="184" t="n"/>
      <c r="AA166" s="184" t="n"/>
      <c r="AB166" s="184" t="n"/>
      <c r="AC166" s="61" t="n"/>
      <c r="AD166" s="1298" t="n"/>
      <c r="AE166" s="184" t="n"/>
      <c r="AF166" s="184" t="n"/>
      <c r="AG166" s="1298" t="n"/>
      <c r="AH166" s="184" t="n"/>
      <c r="AI166" s="60" t="n"/>
      <c r="AJ166" s="1298" t="n"/>
      <c r="AK166" s="1298" t="n"/>
      <c r="AL166" s="1298" t="n"/>
      <c r="AM166" s="1298" t="n"/>
      <c r="AN166" s="1298" t="n"/>
      <c r="AO166" s="184" t="n"/>
      <c r="AP166" s="184" t="n"/>
      <c r="AQ166" s="184" t="n"/>
      <c r="AR166" s="184" t="n"/>
      <c r="AS166" s="184" t="n"/>
      <c r="AT166" s="184" t="n"/>
      <c r="AU166" s="184" t="n"/>
      <c r="AV166" s="184" t="n"/>
      <c r="AW166" s="184" t="n"/>
      <c r="AX166" s="184" t="n"/>
      <c r="AY166" s="184" t="n"/>
      <c r="AZ166" s="184" t="n"/>
      <c r="BA166" s="184" t="n"/>
      <c r="BB166" s="184" t="n"/>
      <c r="BC166" s="184" t="n"/>
      <c r="BD166" s="184" t="n"/>
      <c r="BE166" s="184" t="n"/>
      <c r="BF166" s="184" t="n"/>
      <c r="BG166" s="184" t="n"/>
      <c r="BH166" s="184" t="n"/>
      <c r="BI166" s="184" t="n"/>
      <c r="BJ166" s="184" t="n"/>
      <c r="BK166" s="184" t="n"/>
      <c r="BL166" s="184" t="n"/>
      <c r="BM166" s="184" t="n"/>
      <c r="BN166" s="184" t="n"/>
      <c r="BO166" s="184" t="n"/>
      <c r="BP166" s="184" t="n"/>
      <c r="BQ166" s="184" t="n"/>
      <c r="BR166" s="184" t="n"/>
      <c r="BS166" s="184" t="n"/>
      <c r="BT166" s="184" t="n"/>
      <c r="BU166" s="184" t="n"/>
      <c r="BV166" s="184" t="n"/>
      <c r="BW166" s="184" t="n"/>
      <c r="BX166" s="184" t="n"/>
      <c r="BY166" s="184" t="n"/>
      <c r="BZ166" s="184" t="n"/>
      <c r="CA166" s="184" t="n"/>
      <c r="CB166" s="184" t="n"/>
      <c r="CC166" s="184" t="n"/>
      <c r="CD166" s="184" t="n"/>
      <c r="CE166" s="184" t="n"/>
      <c r="CF166" s="184" t="n"/>
      <c r="CG166" s="184" t="n"/>
      <c r="CH166" s="184" t="n"/>
      <c r="CI166" s="184" t="n"/>
      <c r="CJ166" s="184" t="n"/>
      <c r="CK166" s="184" t="n"/>
      <c r="CL166" s="184" t="n"/>
      <c r="CM166" s="184" t="n"/>
      <c r="CN166" s="184" t="n"/>
      <c r="CO166" s="184" t="n"/>
      <c r="CP166" s="184" t="n"/>
      <c r="CQ166" s="184" t="n"/>
      <c r="CR166" s="184" t="n"/>
      <c r="CS166" s="184" t="n"/>
      <c r="CT166" s="184" t="n"/>
      <c r="CU166" s="184" t="n"/>
      <c r="CV166" s="184" t="n"/>
      <c r="CW166" s="184" t="n"/>
      <c r="CX166" s="184" t="n"/>
      <c r="CY166" s="184" t="n"/>
      <c r="CZ166" s="184" t="n"/>
      <c r="DA166" s="184" t="n"/>
      <c r="DB166" s="184" t="n"/>
      <c r="DC166" s="184" t="n"/>
      <c r="DD166" s="184" t="n"/>
      <c r="DE166" s="184" t="n"/>
      <c r="DF166" s="184" t="n"/>
      <c r="DG166" s="184" t="n"/>
      <c r="DH166" s="184" t="n"/>
      <c r="DI166" s="184" t="n"/>
      <c r="DJ166" s="184" t="n"/>
      <c r="DK166" s="184" t="n"/>
      <c r="DL166" s="184" t="n"/>
      <c r="DM166" s="184" t="n"/>
      <c r="DN166" s="184" t="n"/>
      <c r="DO166" s="184" t="n"/>
      <c r="DP166" s="184" t="n"/>
      <c r="DQ166" s="184" t="n"/>
      <c r="DR166" s="184" t="n"/>
      <c r="DS166" s="184" t="n"/>
      <c r="DT166" s="184" t="n"/>
      <c r="DU166" s="184" t="n"/>
      <c r="DV166" s="184" t="n"/>
      <c r="DW166" s="184" t="n"/>
      <c r="DX166" s="184" t="n"/>
      <c r="DY166" s="184" t="n"/>
      <c r="DZ166" s="184" t="n"/>
      <c r="EA166" s="184" t="n"/>
      <c r="EB166" s="184" t="n"/>
      <c r="EC166" s="184" t="n"/>
      <c r="ED166" s="184" t="n"/>
      <c r="EE166" s="184" t="n"/>
      <c r="EF166" s="184" t="n"/>
      <c r="EG166" s="184" t="n"/>
      <c r="EH166" s="184" t="n"/>
      <c r="EI166" s="184" t="n"/>
      <c r="EJ166" s="184" t="n"/>
      <c r="EK166" s="184" t="n"/>
      <c r="EL166" s="184" t="n"/>
      <c r="EM166" s="184" t="n"/>
      <c r="EN166" s="184" t="n"/>
      <c r="EO166" s="184" t="n"/>
      <c r="EP166" s="184" t="n"/>
    </row>
    <row r="167" ht="16.5" customFormat="1" customHeight="1" s="189" thickBot="1">
      <c r="A167" s="184" t="n"/>
      <c r="B167" s="184" t="n">
        <v>24</v>
      </c>
      <c r="C167" s="184" t="n"/>
      <c r="D167" s="652" t="n"/>
      <c r="E167" s="505" t="n"/>
      <c r="F167" s="503">
        <f>IF(ISNUMBER(E167),IF('Identificación del Instrumento'!$F$17="PRIMITIVA","",IF($G$59="DISCONTINUA",$E$84/2,0)),"")</f>
        <v/>
      </c>
      <c r="G167" s="506" t="n"/>
      <c r="H167" s="503">
        <f>IF(ISNUMBER(G167),IF('Identificación del Instrumento'!$F$17="PRIMITIVA","",IF($G$59="DISCONTINUA",$E$84/2,0)),"")</f>
        <v/>
      </c>
      <c r="I167" s="502">
        <f>IF(AND(ISNUMBER(B167),ISNUMBER(D167),ISNUMBER(E167),$B$59=1),IF($G$59="discontinua",(E167-D167),(E167-D167)),"")</f>
        <v/>
      </c>
      <c r="J167" s="502">
        <f>IF(AND(ISNUMBER(B167),ISNUMBER(D167),ISNUMBER(G167),$B$59=1),IF($G$59="discontinua",(G167-D167),(G167-D167)),"")</f>
        <v/>
      </c>
      <c r="K167" s="502">
        <f>IF(AND(ISNUMBER(I167),ISNUMBER(J167)),ABS(J167-I167),"")</f>
        <v/>
      </c>
      <c r="L167" s="502">
        <f>IF(AND(ISNUMBER(B167),ISNUMBER(D167),ISNUMBER(E167),ISNUMBER(F167),$B$59=1),IF($G$59="discontinua",(E167+($H$136/2)-F167-D167),(E167-F167-D167)),"")</f>
        <v/>
      </c>
      <c r="M167" s="502">
        <f>IF(AND(ISNUMBER(B167),ISNUMBER(D167),ISNUMBER(G167),ISNUMBER(H167),$B$59=1),IF($G$59="discontinua",(G167+($H$136/2)-H167-D167),(G167-H167-D167)),"")</f>
        <v/>
      </c>
      <c r="N167" s="184" t="n"/>
      <c r="O167" s="248" t="n"/>
      <c r="P167" s="38">
        <f>IF(ISNUMBER(E167),$E$18/SQRT(12),"")</f>
        <v/>
      </c>
      <c r="Q167" s="38">
        <f>IF(ISNUMBER(E167),MAX(K$96,K$120,K$108,K$132)/SQRT(12),"")</f>
        <v/>
      </c>
      <c r="R167" s="38">
        <f>B167*0.05/2</f>
        <v/>
      </c>
      <c r="S167" s="185" t="n">
        <v>0</v>
      </c>
      <c r="T167" s="38">
        <f>IF(ISNUMBER(E167),2*SQRT(SUMSQ(P167,Q167,R167,S167)),"")</f>
        <v/>
      </c>
      <c r="U167" s="342">
        <f>IF(ISNUMBER(E167),IF(D167&lt;=$F$49,I$49,IF(D167&lt;=$F$50,$I$50,$I$51)),"")</f>
        <v/>
      </c>
      <c r="V167" s="343">
        <f>IF(ISNUMBER(I167),IF('Identificación del Instrumento'!$B$17="periódica",IF(ABS(I167)&lt;=U167,0,1),IF(ABS(L167)&lt;=U167,0,1)),"")</f>
        <v/>
      </c>
      <c r="W167" s="184" t="n"/>
      <c r="X167" s="184" t="n"/>
      <c r="Y167" s="184" t="n"/>
      <c r="Z167" s="184" t="n"/>
      <c r="AA167" s="184" t="n"/>
      <c r="AB167" s="184" t="n"/>
      <c r="AC167" s="61" t="n"/>
      <c r="AD167" s="1298" t="n"/>
      <c r="AE167" s="184" t="n"/>
      <c r="AF167" s="184" t="n"/>
      <c r="AG167" s="1298" t="n"/>
      <c r="AH167" s="184" t="n"/>
      <c r="AI167" s="60" t="n"/>
      <c r="AJ167" s="1298" t="n"/>
      <c r="AK167" s="1298" t="n"/>
      <c r="AL167" s="1298" t="n"/>
      <c r="AM167" s="1298" t="n"/>
      <c r="AN167" s="1298" t="n"/>
      <c r="AO167" s="184" t="n"/>
      <c r="AP167" s="184" t="n"/>
      <c r="AQ167" s="184" t="n"/>
      <c r="AR167" s="184" t="n"/>
      <c r="AS167" s="184" t="n"/>
      <c r="AT167" s="184" t="n"/>
      <c r="AU167" s="184" t="n"/>
      <c r="AV167" s="184" t="n"/>
      <c r="AW167" s="184" t="n"/>
      <c r="AX167" s="184" t="n"/>
      <c r="AY167" s="184" t="n"/>
      <c r="AZ167" s="184" t="n"/>
      <c r="BA167" s="184" t="n"/>
      <c r="BB167" s="184" t="n"/>
      <c r="BC167" s="184" t="n"/>
      <c r="BD167" s="184" t="n"/>
      <c r="BE167" s="184" t="n"/>
      <c r="BF167" s="184" t="n"/>
      <c r="BG167" s="184" t="n"/>
      <c r="BH167" s="184" t="n"/>
      <c r="BI167" s="184" t="n"/>
      <c r="BJ167" s="184" t="n"/>
      <c r="BK167" s="184" t="n"/>
      <c r="BL167" s="184" t="n"/>
      <c r="BM167" s="184" t="n"/>
      <c r="BN167" s="184" t="n"/>
      <c r="BO167" s="184" t="n"/>
      <c r="BP167" s="184" t="n"/>
      <c r="BQ167" s="184" t="n"/>
      <c r="BR167" s="184" t="n"/>
      <c r="BS167" s="184" t="n"/>
      <c r="BT167" s="184" t="n"/>
      <c r="BU167" s="184" t="n"/>
      <c r="BV167" s="184" t="n"/>
      <c r="BW167" s="184" t="n"/>
      <c r="BX167" s="184" t="n"/>
      <c r="BY167" s="184" t="n"/>
      <c r="BZ167" s="184" t="n"/>
      <c r="CA167" s="184" t="n"/>
      <c r="CB167" s="184" t="n"/>
      <c r="CC167" s="184" t="n"/>
      <c r="CD167" s="184" t="n"/>
      <c r="CE167" s="184" t="n"/>
      <c r="CF167" s="184" t="n"/>
      <c r="CG167" s="184" t="n"/>
      <c r="CH167" s="184" t="n"/>
      <c r="CI167" s="184" t="n"/>
      <c r="CJ167" s="184" t="n"/>
      <c r="CK167" s="184" t="n"/>
      <c r="CL167" s="184" t="n"/>
      <c r="CM167" s="184" t="n"/>
      <c r="CN167" s="184" t="n"/>
      <c r="CO167" s="184" t="n"/>
      <c r="CP167" s="184" t="n"/>
      <c r="CQ167" s="184" t="n"/>
      <c r="CR167" s="184" t="n"/>
      <c r="CS167" s="184" t="n"/>
      <c r="CT167" s="184" t="n"/>
      <c r="CU167" s="184" t="n"/>
      <c r="CV167" s="184" t="n"/>
      <c r="CW167" s="184" t="n"/>
      <c r="CX167" s="184" t="n"/>
      <c r="CY167" s="184" t="n"/>
      <c r="CZ167" s="184" t="n"/>
      <c r="DA167" s="184" t="n"/>
      <c r="DB167" s="184" t="n"/>
      <c r="DC167" s="184" t="n"/>
      <c r="DD167" s="184" t="n"/>
      <c r="DE167" s="184" t="n"/>
      <c r="DF167" s="184" t="n"/>
      <c r="DG167" s="184" t="n"/>
      <c r="DH167" s="184" t="n"/>
      <c r="DI167" s="184" t="n"/>
      <c r="DJ167" s="184" t="n"/>
      <c r="DK167" s="184" t="n"/>
      <c r="DL167" s="184" t="n"/>
      <c r="DM167" s="184" t="n"/>
      <c r="DN167" s="184" t="n"/>
      <c r="DO167" s="184" t="n"/>
      <c r="DP167" s="184" t="n"/>
      <c r="DQ167" s="184" t="n"/>
      <c r="DR167" s="184" t="n"/>
      <c r="DS167" s="184" t="n"/>
      <c r="DT167" s="184" t="n"/>
      <c r="DU167" s="184" t="n"/>
      <c r="DV167" s="184" t="n"/>
      <c r="DW167" s="184" t="n"/>
      <c r="DX167" s="184" t="n"/>
      <c r="DY167" s="184" t="n"/>
      <c r="DZ167" s="184" t="n"/>
      <c r="EA167" s="184" t="n"/>
      <c r="EB167" s="184" t="n"/>
      <c r="EC167" s="184" t="n"/>
      <c r="ED167" s="184" t="n"/>
      <c r="EE167" s="184" t="n"/>
      <c r="EF167" s="184" t="n"/>
      <c r="EG167" s="184" t="n"/>
      <c r="EH167" s="184" t="n"/>
      <c r="EI167" s="184" t="n"/>
      <c r="EJ167" s="184" t="n"/>
      <c r="EK167" s="184" t="n"/>
      <c r="EL167" s="184" t="n"/>
      <c r="EM167" s="184" t="n"/>
      <c r="EN167" s="184" t="n"/>
      <c r="EO167" s="184" t="n"/>
      <c r="EP167" s="184" t="n"/>
    </row>
    <row r="168" ht="16.5" customFormat="1" customHeight="1" s="189" thickBot="1">
      <c r="A168" s="184" t="n"/>
      <c r="B168" s="184" t="n">
        <v>25</v>
      </c>
      <c r="C168" s="184" t="n"/>
      <c r="D168" s="652" t="n"/>
      <c r="E168" s="501" t="n"/>
      <c r="F168" s="503">
        <f>IF(ISNUMBER(E168),IF('Identificación del Instrumento'!$F$17="PRIMITIVA","",IF($G$59="DISCONTINUA",$E$84/2,0)),"")</f>
        <v/>
      </c>
      <c r="G168" s="501" t="n"/>
      <c r="H168" s="503">
        <f>IF(ISNUMBER(G168),IF('Identificación del Instrumento'!$F$17="PRIMITIVA","",IF($G$59="DISCONTINUA",$E$84/2,0)),"")</f>
        <v/>
      </c>
      <c r="I168" s="500">
        <f>IF(AND(ISNUMBER(B168),ISNUMBER(D168),ISNUMBER(E168),$B$59=1),IF($G$59="discontinua",(E168-D168),(E168-D168)),"")</f>
        <v/>
      </c>
      <c r="J168" s="500">
        <f>IF(AND(ISNUMBER(B168),ISNUMBER(D168),ISNUMBER(G168),$B$59=1),IF($G$59="discontinua",(G168-D168),(G168-D168)),"")</f>
        <v/>
      </c>
      <c r="K168" s="500">
        <f>IF(AND(ISNUMBER(I168),ISNUMBER(J168)),ABS(J168-I168),"")</f>
        <v/>
      </c>
      <c r="L168" s="500">
        <f>IF(AND(ISNUMBER(B168),ISNUMBER(D168),ISNUMBER(E168),ISNUMBER(F168),$B$59=1),IF($G$59="discontinua",(E168+($H$136/2)-F168-D168),(E168-F168-D168)),"")</f>
        <v/>
      </c>
      <c r="M168" s="500">
        <f>IF(AND(ISNUMBER(B168),ISNUMBER(D168),ISNUMBER(G168),ISNUMBER(H168),$B$59=1),IF($G$59="discontinua",(G168+($H$136/2)-H168-D168),(G168-H168-D168)),"")</f>
        <v/>
      </c>
      <c r="N168" s="184" t="n"/>
      <c r="O168" s="248" t="n"/>
      <c r="P168" s="38">
        <f>IF(ISNUMBER(E168),$E$18/SQRT(12),"")</f>
        <v/>
      </c>
      <c r="Q168" s="38">
        <f>IF(ISNUMBER(E168),MAX(K$96,K$120,K$108,K$132)/SQRT(12),"")</f>
        <v/>
      </c>
      <c r="R168" s="38">
        <f>B168*0.05/2</f>
        <v/>
      </c>
      <c r="S168" s="185" t="n">
        <v>0</v>
      </c>
      <c r="T168" s="38">
        <f>IF(ISNUMBER(E168),2*SQRT(SUMSQ(P168,Q168,R168,S168)),"")</f>
        <v/>
      </c>
      <c r="U168" s="342">
        <f>IF(ISNUMBER(E168),IF(D168&lt;=$F$49,I$49,IF(D168&lt;=$F$50,$I$50,$I$51)),"")</f>
        <v/>
      </c>
      <c r="V168" s="343">
        <f>IF(ISNUMBER(I168),IF('Identificación del Instrumento'!$B$17="periódica",IF(ABS(I168)&lt;=U168,0,1),IF(ABS(L168)&lt;=U168,0,1)),"")</f>
        <v/>
      </c>
      <c r="W168" s="184" t="n"/>
      <c r="X168" s="184" t="n"/>
      <c r="Y168" s="184" t="n"/>
      <c r="Z168" s="184" t="n"/>
      <c r="AA168" s="184" t="n"/>
      <c r="AB168" s="184" t="n"/>
      <c r="AC168" s="61" t="n"/>
      <c r="AD168" s="1298" t="n"/>
      <c r="AE168" s="184" t="n"/>
      <c r="AF168" s="184" t="n"/>
      <c r="AG168" s="1298" t="n"/>
      <c r="AH168" s="184" t="n"/>
      <c r="AI168" s="60" t="n"/>
      <c r="AJ168" s="1298" t="n"/>
      <c r="AK168" s="1298" t="n"/>
      <c r="AL168" s="1298" t="n"/>
      <c r="AM168" s="1298" t="n"/>
      <c r="AN168" s="1298" t="n"/>
      <c r="AO168" s="184" t="n"/>
      <c r="AP168" s="184" t="n"/>
      <c r="AQ168" s="184" t="n"/>
      <c r="AR168" s="184" t="n"/>
      <c r="AS168" s="184" t="n"/>
      <c r="AT168" s="184" t="n"/>
      <c r="AU168" s="184" t="n"/>
      <c r="AV168" s="184" t="n"/>
      <c r="AW168" s="184" t="n"/>
      <c r="AX168" s="184" t="n"/>
      <c r="AY168" s="184" t="n"/>
      <c r="AZ168" s="184" t="n"/>
      <c r="BA168" s="184" t="n"/>
      <c r="BB168" s="184" t="n"/>
      <c r="BC168" s="184" t="n"/>
      <c r="BD168" s="184" t="n"/>
      <c r="BE168" s="184" t="n"/>
      <c r="BF168" s="184" t="n"/>
      <c r="BG168" s="184" t="n"/>
      <c r="BH168" s="184" t="n"/>
      <c r="BI168" s="184" t="n"/>
      <c r="BJ168" s="184" t="n"/>
      <c r="BK168" s="184" t="n"/>
      <c r="BL168" s="184" t="n"/>
      <c r="BM168" s="184" t="n"/>
      <c r="BN168" s="184" t="n"/>
      <c r="BO168" s="184" t="n"/>
      <c r="BP168" s="184" t="n"/>
      <c r="BQ168" s="184" t="n"/>
      <c r="BR168" s="184" t="n"/>
      <c r="BS168" s="184" t="n"/>
      <c r="BT168" s="184" t="n"/>
      <c r="BU168" s="184" t="n"/>
      <c r="BV168" s="184" t="n"/>
      <c r="BW168" s="184" t="n"/>
      <c r="BX168" s="184" t="n"/>
      <c r="BY168" s="184" t="n"/>
      <c r="BZ168" s="184" t="n"/>
      <c r="CA168" s="184" t="n"/>
      <c r="CB168" s="184" t="n"/>
      <c r="CC168" s="184" t="n"/>
      <c r="CD168" s="184" t="n"/>
      <c r="CE168" s="184" t="n"/>
      <c r="CF168" s="184" t="n"/>
      <c r="CG168" s="184" t="n"/>
      <c r="CH168" s="184" t="n"/>
      <c r="CI168" s="184" t="n"/>
      <c r="CJ168" s="184" t="n"/>
      <c r="CK168" s="184" t="n"/>
      <c r="CL168" s="184" t="n"/>
      <c r="CM168" s="184" t="n"/>
      <c r="CN168" s="184" t="n"/>
      <c r="CO168" s="184" t="n"/>
      <c r="CP168" s="184" t="n"/>
      <c r="CQ168" s="184" t="n"/>
      <c r="CR168" s="184" t="n"/>
      <c r="CS168" s="184" t="n"/>
      <c r="CT168" s="184" t="n"/>
      <c r="CU168" s="184" t="n"/>
      <c r="CV168" s="184" t="n"/>
      <c r="CW168" s="184" t="n"/>
      <c r="CX168" s="184" t="n"/>
      <c r="CY168" s="184" t="n"/>
      <c r="CZ168" s="184" t="n"/>
      <c r="DA168" s="184" t="n"/>
      <c r="DB168" s="184" t="n"/>
      <c r="DC168" s="184" t="n"/>
      <c r="DD168" s="184" t="n"/>
      <c r="DE168" s="184" t="n"/>
      <c r="DF168" s="184" t="n"/>
      <c r="DG168" s="184" t="n"/>
      <c r="DH168" s="184" t="n"/>
      <c r="DI168" s="184" t="n"/>
      <c r="DJ168" s="184" t="n"/>
      <c r="DK168" s="184" t="n"/>
      <c r="DL168" s="184" t="n"/>
      <c r="DM168" s="184" t="n"/>
      <c r="DN168" s="184" t="n"/>
      <c r="DO168" s="184" t="n"/>
      <c r="DP168" s="184" t="n"/>
      <c r="DQ168" s="184" t="n"/>
      <c r="DR168" s="184" t="n"/>
      <c r="DS168" s="184" t="n"/>
      <c r="DT168" s="184" t="n"/>
      <c r="DU168" s="184" t="n"/>
      <c r="DV168" s="184" t="n"/>
      <c r="DW168" s="184" t="n"/>
      <c r="DX168" s="184" t="n"/>
      <c r="DY168" s="184" t="n"/>
      <c r="DZ168" s="184" t="n"/>
      <c r="EA168" s="184" t="n"/>
      <c r="EB168" s="184" t="n"/>
      <c r="EC168" s="184" t="n"/>
      <c r="ED168" s="184" t="n"/>
      <c r="EE168" s="184" t="n"/>
      <c r="EF168" s="184" t="n"/>
      <c r="EG168" s="184" t="n"/>
      <c r="EH168" s="184" t="n"/>
      <c r="EI168" s="184" t="n"/>
      <c r="EJ168" s="184" t="n"/>
      <c r="EK168" s="184" t="n"/>
      <c r="EL168" s="184" t="n"/>
      <c r="EM168" s="184" t="n"/>
      <c r="EN168" s="184" t="n"/>
      <c r="EO168" s="184" t="n"/>
      <c r="EP168" s="184" t="n"/>
    </row>
    <row r="169" ht="16.5" customFormat="1" customHeight="1" s="189" thickBot="1">
      <c r="A169" s="184" t="n"/>
      <c r="B169" s="184" t="n">
        <v>26</v>
      </c>
      <c r="C169" s="184" t="n"/>
      <c r="D169" s="652" t="n"/>
      <c r="E169" s="501" t="n"/>
      <c r="F169" s="503">
        <f>IF(ISNUMBER(E169),IF('Identificación del Instrumento'!$F$17="PRIMITIVA","",IF($G$59="DISCONTINUA",$E$84/2,0)),"")</f>
        <v/>
      </c>
      <c r="G169" s="501" t="n"/>
      <c r="H169" s="503">
        <f>IF(ISNUMBER(G169),IF('Identificación del Instrumento'!$F$17="PRIMITIVA","",IF($G$59="DISCONTINUA",$E$84/2,0)),"")</f>
        <v/>
      </c>
      <c r="I169" s="500">
        <f>IF(AND(ISNUMBER(B169),ISNUMBER(D169),ISNUMBER(E169),$B$59=1),IF($G$59="discontinua",(E169-D169),(E169-D169)),"")</f>
        <v/>
      </c>
      <c r="J169" s="500">
        <f>IF(AND(ISNUMBER(B169),ISNUMBER(D169),ISNUMBER(G169),$B$59=1),IF($G$59="discontinua",(G169-D169),(G169-D169)),"")</f>
        <v/>
      </c>
      <c r="K169" s="500">
        <f>IF(AND(ISNUMBER(I169),ISNUMBER(J169)),ABS(J169-I169),"")</f>
        <v/>
      </c>
      <c r="L169" s="500">
        <f>IF(AND(ISNUMBER(B169),ISNUMBER(D169),ISNUMBER(E169),ISNUMBER(F169),$B$59=1),IF($G$59="discontinua",(E169+($H$136/2)-F169-D169),(E169-F169-D169)),"")</f>
        <v/>
      </c>
      <c r="M169" s="500">
        <f>IF(AND(ISNUMBER(B169),ISNUMBER(D169),ISNUMBER(G169),ISNUMBER(H169),$B$59=1),IF($G$59="discontinua",(G169+($H$136/2)-H169-D169),(G169-H169-D169)),"")</f>
        <v/>
      </c>
      <c r="N169" s="184" t="n"/>
      <c r="O169" s="248" t="n"/>
      <c r="P169" s="38">
        <f>IF(ISNUMBER(E169),$E$18/SQRT(12),"")</f>
        <v/>
      </c>
      <c r="Q169" s="38">
        <f>IF(ISNUMBER(E169),MAX(K$96,K$120,K$108,K$132)/SQRT(12),"")</f>
        <v/>
      </c>
      <c r="R169" s="38">
        <f>B169*0.05/2</f>
        <v/>
      </c>
      <c r="S169" s="185" t="n">
        <v>0</v>
      </c>
      <c r="T169" s="38">
        <f>IF(ISNUMBER(E169),2*SQRT(SUMSQ(P169,Q169,R169,S169)),"")</f>
        <v/>
      </c>
      <c r="U169" s="342">
        <f>IF(ISNUMBER(E169),IF(D169&lt;=$F$49,I$49,IF(D169&lt;=$F$50,$I$50,$I$51)),"")</f>
        <v/>
      </c>
      <c r="V169" s="343">
        <f>IF(ISNUMBER(I169),IF('Identificación del Instrumento'!$B$17="periódica",IF(ABS(I169)&lt;=U169,0,1),IF(ABS(L169)&lt;=U169,0,1)),"")</f>
        <v/>
      </c>
      <c r="W169" s="184" t="n"/>
      <c r="X169" s="184" t="n"/>
      <c r="Y169" s="184" t="n"/>
      <c r="Z169" s="184" t="n"/>
      <c r="AA169" s="184" t="n"/>
      <c r="AB169" s="184" t="n"/>
      <c r="AC169" s="61" t="n"/>
      <c r="AD169" s="1298" t="n"/>
      <c r="AE169" s="184" t="n"/>
      <c r="AF169" s="184" t="n"/>
      <c r="AG169" s="1298" t="n"/>
      <c r="AH169" s="184" t="n"/>
      <c r="AI169" s="60" t="n"/>
      <c r="AJ169" s="1298" t="n"/>
      <c r="AK169" s="1298" t="n"/>
      <c r="AL169" s="1298" t="n"/>
      <c r="AM169" s="1298" t="n"/>
      <c r="AN169" s="1298" t="n"/>
      <c r="AO169" s="184" t="n"/>
      <c r="AP169" s="184" t="n"/>
      <c r="AQ169" s="184" t="n"/>
      <c r="AR169" s="184" t="n"/>
      <c r="AS169" s="184" t="n"/>
      <c r="AT169" s="184" t="n"/>
      <c r="AU169" s="184" t="n"/>
      <c r="AV169" s="184" t="n"/>
      <c r="AW169" s="184" t="n"/>
      <c r="AX169" s="184" t="n"/>
      <c r="AY169" s="184" t="n"/>
      <c r="AZ169" s="184" t="n"/>
      <c r="BA169" s="184" t="n"/>
      <c r="BB169" s="184" t="n"/>
      <c r="BC169" s="184" t="n"/>
      <c r="BD169" s="184" t="n"/>
      <c r="BE169" s="184" t="n"/>
      <c r="BF169" s="184" t="n"/>
      <c r="BG169" s="184" t="n"/>
      <c r="BH169" s="184" t="n"/>
      <c r="BI169" s="184" t="n"/>
      <c r="BJ169" s="184" t="n"/>
      <c r="BK169" s="184" t="n"/>
      <c r="BL169" s="184" t="n"/>
      <c r="BM169" s="184" t="n"/>
      <c r="BN169" s="184" t="n"/>
      <c r="BO169" s="184" t="n"/>
      <c r="BP169" s="184" t="n"/>
      <c r="BQ169" s="184" t="n"/>
      <c r="BR169" s="184" t="n"/>
      <c r="BS169" s="184" t="n"/>
      <c r="BT169" s="184" t="n"/>
      <c r="BU169" s="184" t="n"/>
      <c r="BV169" s="184" t="n"/>
      <c r="BW169" s="184" t="n"/>
      <c r="BX169" s="184" t="n"/>
      <c r="BY169" s="184" t="n"/>
      <c r="BZ169" s="184" t="n"/>
      <c r="CA169" s="184" t="n"/>
      <c r="CB169" s="184" t="n"/>
      <c r="CC169" s="184" t="n"/>
      <c r="CD169" s="184" t="n"/>
      <c r="CE169" s="184" t="n"/>
      <c r="CF169" s="184" t="n"/>
      <c r="CG169" s="184" t="n"/>
      <c r="CH169" s="184" t="n"/>
      <c r="CI169" s="184" t="n"/>
      <c r="CJ169" s="184" t="n"/>
      <c r="CK169" s="184" t="n"/>
      <c r="CL169" s="184" t="n"/>
      <c r="CM169" s="184" t="n"/>
      <c r="CN169" s="184" t="n"/>
      <c r="CO169" s="184" t="n"/>
      <c r="CP169" s="184" t="n"/>
      <c r="CQ169" s="184" t="n"/>
      <c r="CR169" s="184" t="n"/>
      <c r="CS169" s="184" t="n"/>
      <c r="CT169" s="184" t="n"/>
      <c r="CU169" s="184" t="n"/>
      <c r="CV169" s="184" t="n"/>
      <c r="CW169" s="184" t="n"/>
      <c r="CX169" s="184" t="n"/>
      <c r="CY169" s="184" t="n"/>
      <c r="CZ169" s="184" t="n"/>
      <c r="DA169" s="184" t="n"/>
      <c r="DB169" s="184" t="n"/>
      <c r="DC169" s="184" t="n"/>
      <c r="DD169" s="184" t="n"/>
      <c r="DE169" s="184" t="n"/>
      <c r="DF169" s="184" t="n"/>
      <c r="DG169" s="184" t="n"/>
      <c r="DH169" s="184" t="n"/>
      <c r="DI169" s="184" t="n"/>
      <c r="DJ169" s="184" t="n"/>
      <c r="DK169" s="184" t="n"/>
      <c r="DL169" s="184" t="n"/>
      <c r="DM169" s="184" t="n"/>
      <c r="DN169" s="184" t="n"/>
      <c r="DO169" s="184" t="n"/>
      <c r="DP169" s="184" t="n"/>
      <c r="DQ169" s="184" t="n"/>
      <c r="DR169" s="184" t="n"/>
      <c r="DS169" s="184" t="n"/>
      <c r="DT169" s="184" t="n"/>
      <c r="DU169" s="184" t="n"/>
      <c r="DV169" s="184" t="n"/>
      <c r="DW169" s="184" t="n"/>
      <c r="DX169" s="184" t="n"/>
      <c r="DY169" s="184" t="n"/>
      <c r="DZ169" s="184" t="n"/>
      <c r="EA169" s="184" t="n"/>
      <c r="EB169" s="184" t="n"/>
      <c r="EC169" s="184" t="n"/>
      <c r="ED169" s="184" t="n"/>
      <c r="EE169" s="184" t="n"/>
      <c r="EF169" s="184" t="n"/>
      <c r="EG169" s="184" t="n"/>
      <c r="EH169" s="184" t="n"/>
      <c r="EI169" s="184" t="n"/>
      <c r="EJ169" s="184" t="n"/>
      <c r="EK169" s="184" t="n"/>
      <c r="EL169" s="184" t="n"/>
      <c r="EM169" s="184" t="n"/>
      <c r="EN169" s="184" t="n"/>
      <c r="EO169" s="184" t="n"/>
      <c r="EP169" s="184" t="n"/>
    </row>
    <row r="170" ht="16.5" customFormat="1" customHeight="1" s="189" thickBot="1">
      <c r="A170" s="184" t="n"/>
      <c r="B170" s="184" t="n">
        <v>27</v>
      </c>
      <c r="C170" s="184" t="n"/>
      <c r="D170" s="652" t="n"/>
      <c r="E170" s="501" t="n"/>
      <c r="F170" s="503">
        <f>IF(ISNUMBER(E170),IF('Identificación del Instrumento'!$F$17="PRIMITIVA","",IF($G$59="DISCONTINUA",$E$84/2,0)),"")</f>
        <v/>
      </c>
      <c r="G170" s="501" t="n"/>
      <c r="H170" s="503">
        <f>IF(ISNUMBER(G170),IF('Identificación del Instrumento'!$F$17="PRIMITIVA","",IF($G$59="DISCONTINUA",$E$84/2,0)),"")</f>
        <v/>
      </c>
      <c r="I170" s="500">
        <f>IF(AND(ISNUMBER(B170),ISNUMBER(D170),ISNUMBER(E170),$B$59=1),IF($G$59="discontinua",(E170-D170),(E170-D170)),"")</f>
        <v/>
      </c>
      <c r="J170" s="500">
        <f>IF(AND(ISNUMBER(B170),ISNUMBER(D170),ISNUMBER(G170),$B$59=1),IF($G$59="discontinua",(G170-D170),(G170-D170)),"")</f>
        <v/>
      </c>
      <c r="K170" s="500">
        <f>IF(AND(ISNUMBER(I170),ISNUMBER(J170)),ABS(J170-I170),"")</f>
        <v/>
      </c>
      <c r="L170" s="500">
        <f>IF(AND(ISNUMBER(B170),ISNUMBER(D170),ISNUMBER(E170),ISNUMBER(F170),$B$59=1),IF($G$59="discontinua",(E170+($H$136/2)-F170-D170),(E170-F170-D170)),"")</f>
        <v/>
      </c>
      <c r="M170" s="500">
        <f>IF(AND(ISNUMBER(B170),ISNUMBER(D170),ISNUMBER(G170),ISNUMBER(H170),$B$59=1),IF($G$59="discontinua",(G170+($H$136/2)-H170-D170),(G170-H170-D170)),"")</f>
        <v/>
      </c>
      <c r="N170" s="184" t="n"/>
      <c r="O170" s="248" t="n"/>
      <c r="P170" s="38">
        <f>IF(ISNUMBER(E170),$E$18/SQRT(12),"")</f>
        <v/>
      </c>
      <c r="Q170" s="38">
        <f>IF(ISNUMBER(E170),MAX(K$96,K$120,K$108,K$132)/SQRT(12),"")</f>
        <v/>
      </c>
      <c r="R170" s="38">
        <f>B170*0.05/2</f>
        <v/>
      </c>
      <c r="S170" s="185" t="n">
        <v>0</v>
      </c>
      <c r="T170" s="38">
        <f>IF(ISNUMBER(E170),2*SQRT(SUMSQ(P170,Q170,R170,S170)),"")</f>
        <v/>
      </c>
      <c r="U170" s="342">
        <f>IF(ISNUMBER(E170),IF(D170&lt;=$F$49,I$49,IF(D170&lt;=$F$50,$I$50,$I$51)),"")</f>
        <v/>
      </c>
      <c r="V170" s="343">
        <f>IF(ISNUMBER(I170),IF('Identificación del Instrumento'!$B$17="periódica",IF(ABS(I170)&lt;=U170,0,1),IF(ABS(L170)&lt;=U170,0,1)),"")</f>
        <v/>
      </c>
      <c r="W170" s="184" t="n"/>
      <c r="X170" s="184" t="n"/>
      <c r="Y170" s="184" t="n"/>
      <c r="Z170" s="184" t="n"/>
      <c r="AA170" s="184" t="n"/>
      <c r="AB170" s="184" t="n"/>
      <c r="AC170" s="61" t="n"/>
      <c r="AD170" s="1298" t="n"/>
      <c r="AE170" s="184" t="n"/>
      <c r="AF170" s="184" t="n"/>
      <c r="AG170" s="1298" t="n"/>
      <c r="AH170" s="184" t="n"/>
      <c r="AI170" s="60" t="n"/>
      <c r="AJ170" s="1298" t="n"/>
      <c r="AK170" s="1298" t="n"/>
      <c r="AL170" s="1298" t="n"/>
      <c r="AM170" s="1298" t="n"/>
      <c r="AN170" s="1298" t="n"/>
      <c r="AO170" s="184" t="n"/>
      <c r="AP170" s="184" t="n"/>
      <c r="AQ170" s="184" t="n"/>
      <c r="AR170" s="184" t="n"/>
      <c r="AS170" s="184" t="n"/>
      <c r="AT170" s="184" t="n"/>
      <c r="AU170" s="184" t="n"/>
      <c r="AV170" s="184" t="n"/>
      <c r="AW170" s="184" t="n"/>
      <c r="AX170" s="184" t="n"/>
      <c r="AY170" s="184" t="n"/>
      <c r="AZ170" s="184" t="n"/>
      <c r="BA170" s="184" t="n"/>
      <c r="BB170" s="184" t="n"/>
      <c r="BC170" s="184" t="n"/>
      <c r="BD170" s="184" t="n"/>
      <c r="BE170" s="184" t="n"/>
      <c r="BF170" s="184" t="n"/>
      <c r="BG170" s="184" t="n"/>
      <c r="BH170" s="184" t="n"/>
      <c r="BI170" s="184" t="n"/>
      <c r="BJ170" s="184" t="n"/>
      <c r="BK170" s="184" t="n"/>
      <c r="BL170" s="184" t="n"/>
      <c r="BM170" s="184" t="n"/>
      <c r="BN170" s="184" t="n"/>
      <c r="BO170" s="184" t="n"/>
      <c r="BP170" s="184" t="n"/>
      <c r="BQ170" s="184" t="n"/>
      <c r="BR170" s="184" t="n"/>
      <c r="BS170" s="184" t="n"/>
      <c r="BT170" s="184" t="n"/>
      <c r="BU170" s="184" t="n"/>
      <c r="BV170" s="184" t="n"/>
      <c r="BW170" s="184" t="n"/>
      <c r="BX170" s="184" t="n"/>
      <c r="BY170" s="184" t="n"/>
      <c r="BZ170" s="184" t="n"/>
      <c r="CA170" s="184" t="n"/>
      <c r="CB170" s="184" t="n"/>
      <c r="CC170" s="184" t="n"/>
      <c r="CD170" s="184" t="n"/>
      <c r="CE170" s="184" t="n"/>
      <c r="CF170" s="184" t="n"/>
      <c r="CG170" s="184" t="n"/>
      <c r="CH170" s="184" t="n"/>
      <c r="CI170" s="184" t="n"/>
      <c r="CJ170" s="184" t="n"/>
      <c r="CK170" s="184" t="n"/>
      <c r="CL170" s="184" t="n"/>
      <c r="CM170" s="184" t="n"/>
      <c r="CN170" s="184" t="n"/>
      <c r="CO170" s="184" t="n"/>
      <c r="CP170" s="184" t="n"/>
      <c r="CQ170" s="184" t="n"/>
      <c r="CR170" s="184" t="n"/>
      <c r="CS170" s="184" t="n"/>
      <c r="CT170" s="184" t="n"/>
      <c r="CU170" s="184" t="n"/>
      <c r="CV170" s="184" t="n"/>
      <c r="CW170" s="184" t="n"/>
      <c r="CX170" s="184" t="n"/>
      <c r="CY170" s="184" t="n"/>
      <c r="CZ170" s="184" t="n"/>
      <c r="DA170" s="184" t="n"/>
      <c r="DB170" s="184" t="n"/>
      <c r="DC170" s="184" t="n"/>
      <c r="DD170" s="184" t="n"/>
      <c r="DE170" s="184" t="n"/>
      <c r="DF170" s="184" t="n"/>
      <c r="DG170" s="184" t="n"/>
      <c r="DH170" s="184" t="n"/>
      <c r="DI170" s="184" t="n"/>
      <c r="DJ170" s="184" t="n"/>
      <c r="DK170" s="184" t="n"/>
      <c r="DL170" s="184" t="n"/>
      <c r="DM170" s="184" t="n"/>
      <c r="DN170" s="184" t="n"/>
      <c r="DO170" s="184" t="n"/>
      <c r="DP170" s="184" t="n"/>
      <c r="DQ170" s="184" t="n"/>
      <c r="DR170" s="184" t="n"/>
      <c r="DS170" s="184" t="n"/>
      <c r="DT170" s="184" t="n"/>
      <c r="DU170" s="184" t="n"/>
      <c r="DV170" s="184" t="n"/>
      <c r="DW170" s="184" t="n"/>
      <c r="DX170" s="184" t="n"/>
      <c r="DY170" s="184" t="n"/>
      <c r="DZ170" s="184" t="n"/>
      <c r="EA170" s="184" t="n"/>
      <c r="EB170" s="184" t="n"/>
      <c r="EC170" s="184" t="n"/>
      <c r="ED170" s="184" t="n"/>
      <c r="EE170" s="184" t="n"/>
      <c r="EF170" s="184" t="n"/>
      <c r="EG170" s="184" t="n"/>
      <c r="EH170" s="184" t="n"/>
      <c r="EI170" s="184" t="n"/>
      <c r="EJ170" s="184" t="n"/>
      <c r="EK170" s="184" t="n"/>
      <c r="EL170" s="184" t="n"/>
      <c r="EM170" s="184" t="n"/>
      <c r="EN170" s="184" t="n"/>
      <c r="EO170" s="184" t="n"/>
      <c r="EP170" s="184" t="n"/>
    </row>
    <row r="171" ht="16.5" customFormat="1" customHeight="1" s="189" thickBot="1">
      <c r="A171" s="184" t="n"/>
      <c r="B171" s="184" t="n">
        <v>28</v>
      </c>
      <c r="C171" s="184" t="n"/>
      <c r="D171" s="652" t="n"/>
      <c r="E171" s="501" t="n"/>
      <c r="F171" s="503">
        <f>IF(ISNUMBER(E171),IF('Identificación del Instrumento'!$F$17="PRIMITIVA","",IF($G$59="DISCONTINUA",$E$84/2,0)),"")</f>
        <v/>
      </c>
      <c r="G171" s="501" t="n"/>
      <c r="H171" s="503">
        <f>IF(ISNUMBER(G171),IF('Identificación del Instrumento'!$F$17="PRIMITIVA","",IF($G$59="DISCONTINUA",$E$84/2,0)),"")</f>
        <v/>
      </c>
      <c r="I171" s="500">
        <f>IF(AND(ISNUMBER(B171),ISNUMBER(D171),ISNUMBER(E171),$B$59=1),IF($G$59="discontinua",(E171-D171),(E171-D171)),"")</f>
        <v/>
      </c>
      <c r="J171" s="500">
        <f>IF(AND(ISNUMBER(B171),ISNUMBER(D171),ISNUMBER(G171),$B$59=1),IF($G$59="discontinua",(G171-D171),(G171-D171)),"")</f>
        <v/>
      </c>
      <c r="K171" s="500">
        <f>IF(AND(ISNUMBER(I171),ISNUMBER(J171)),ABS(J171-I171),"")</f>
        <v/>
      </c>
      <c r="L171" s="500">
        <f>IF(AND(ISNUMBER(B171),ISNUMBER(D171),ISNUMBER(E171),ISNUMBER(F171),$B$59=1),IF($G$59="discontinua",(E171+($H$136/2)-F171-D171),(E171-F171-D171)),"")</f>
        <v/>
      </c>
      <c r="M171" s="500">
        <f>IF(AND(ISNUMBER(B171),ISNUMBER(D171),ISNUMBER(G171),ISNUMBER(H171),$B$59=1),IF($G$59="discontinua",(G171+($H$136/2)-H171-D171),(G171-H171-D171)),"")</f>
        <v/>
      </c>
      <c r="N171" s="184" t="n"/>
      <c r="O171" s="248" t="n"/>
      <c r="P171" s="38">
        <f>IF(ISNUMBER(E171),$E$18/SQRT(12),"")</f>
        <v/>
      </c>
      <c r="Q171" s="38">
        <f>IF(ISNUMBER(E171),MAX(K$96,K$120,K$108,K$132)/SQRT(12),"")</f>
        <v/>
      </c>
      <c r="R171" s="38">
        <f>B171*0.05/2</f>
        <v/>
      </c>
      <c r="S171" s="185" t="n">
        <v>0</v>
      </c>
      <c r="T171" s="38">
        <f>IF(ISNUMBER(E171),2*SQRT(SUMSQ(P171,Q171,R171,S171)),"")</f>
        <v/>
      </c>
      <c r="U171" s="342">
        <f>IF(ISNUMBER(E171),IF(D171&lt;=$F$49,I$49,IF(D171&lt;=$F$50,$I$50,$I$51)),"")</f>
        <v/>
      </c>
      <c r="V171" s="343">
        <f>IF(ISNUMBER(I171),IF('Identificación del Instrumento'!$B$17="periódica",IF(ABS(I171)&lt;=U171,0,1),IF(ABS(L171)&lt;=U171,0,1)),"")</f>
        <v/>
      </c>
      <c r="W171" s="184" t="n"/>
      <c r="X171" s="184" t="n"/>
      <c r="Y171" s="184" t="n"/>
      <c r="Z171" s="184" t="n"/>
      <c r="AA171" s="184" t="n"/>
      <c r="AB171" s="184" t="n"/>
      <c r="AC171" s="61" t="n"/>
      <c r="AD171" s="1298" t="n"/>
      <c r="AE171" s="184" t="n"/>
      <c r="AF171" s="184" t="n"/>
      <c r="AG171" s="1298" t="n"/>
      <c r="AH171" s="184" t="n"/>
      <c r="AI171" s="60" t="n"/>
      <c r="AJ171" s="1298" t="n"/>
      <c r="AK171" s="1298" t="n"/>
      <c r="AL171" s="1298" t="n"/>
      <c r="AM171" s="1298" t="n"/>
      <c r="AN171" s="1298" t="n"/>
      <c r="AO171" s="184" t="n"/>
      <c r="AP171" s="184" t="n"/>
      <c r="AQ171" s="184" t="n"/>
      <c r="AR171" s="184" t="n"/>
      <c r="AS171" s="184" t="n"/>
      <c r="AT171" s="184" t="n"/>
      <c r="AU171" s="184" t="n"/>
      <c r="AV171" s="184" t="n"/>
      <c r="AW171" s="184" t="n"/>
      <c r="AX171" s="184" t="n"/>
      <c r="AY171" s="184" t="n"/>
      <c r="AZ171" s="184" t="n"/>
      <c r="BA171" s="184" t="n"/>
      <c r="BB171" s="184" t="n"/>
      <c r="BC171" s="184" t="n"/>
      <c r="BD171" s="184" t="n"/>
      <c r="BE171" s="184" t="n"/>
      <c r="BF171" s="184" t="n"/>
      <c r="BG171" s="184" t="n"/>
      <c r="BH171" s="184" t="n"/>
      <c r="BI171" s="184" t="n"/>
      <c r="BJ171" s="184" t="n"/>
      <c r="BK171" s="184" t="n"/>
      <c r="BL171" s="184" t="n"/>
      <c r="BM171" s="184" t="n"/>
      <c r="BN171" s="184" t="n"/>
      <c r="BO171" s="184" t="n"/>
      <c r="BP171" s="184" t="n"/>
      <c r="BQ171" s="184" t="n"/>
      <c r="BR171" s="184" t="n"/>
      <c r="BS171" s="184" t="n"/>
      <c r="BT171" s="184" t="n"/>
      <c r="BU171" s="184" t="n"/>
      <c r="BV171" s="184" t="n"/>
      <c r="BW171" s="184" t="n"/>
      <c r="BX171" s="184" t="n"/>
      <c r="BY171" s="184" t="n"/>
      <c r="BZ171" s="184" t="n"/>
      <c r="CA171" s="184" t="n"/>
      <c r="CB171" s="184" t="n"/>
      <c r="CC171" s="184" t="n"/>
      <c r="CD171" s="184" t="n"/>
      <c r="CE171" s="184" t="n"/>
      <c r="CF171" s="184" t="n"/>
      <c r="CG171" s="184" t="n"/>
      <c r="CH171" s="184" t="n"/>
      <c r="CI171" s="184" t="n"/>
      <c r="CJ171" s="184" t="n"/>
      <c r="CK171" s="184" t="n"/>
      <c r="CL171" s="184" t="n"/>
      <c r="CM171" s="184" t="n"/>
      <c r="CN171" s="184" t="n"/>
      <c r="CO171" s="184" t="n"/>
      <c r="CP171" s="184" t="n"/>
      <c r="CQ171" s="184" t="n"/>
      <c r="CR171" s="184" t="n"/>
      <c r="CS171" s="184" t="n"/>
      <c r="CT171" s="184" t="n"/>
      <c r="CU171" s="184" t="n"/>
      <c r="CV171" s="184" t="n"/>
      <c r="CW171" s="184" t="n"/>
      <c r="CX171" s="184" t="n"/>
      <c r="CY171" s="184" t="n"/>
      <c r="CZ171" s="184" t="n"/>
      <c r="DA171" s="184" t="n"/>
      <c r="DB171" s="184" t="n"/>
      <c r="DC171" s="184" t="n"/>
      <c r="DD171" s="184" t="n"/>
      <c r="DE171" s="184" t="n"/>
      <c r="DF171" s="184" t="n"/>
      <c r="DG171" s="184" t="n"/>
      <c r="DH171" s="184" t="n"/>
      <c r="DI171" s="184" t="n"/>
      <c r="DJ171" s="184" t="n"/>
      <c r="DK171" s="184" t="n"/>
      <c r="DL171" s="184" t="n"/>
      <c r="DM171" s="184" t="n"/>
      <c r="DN171" s="184" t="n"/>
      <c r="DO171" s="184" t="n"/>
      <c r="DP171" s="184" t="n"/>
      <c r="DQ171" s="184" t="n"/>
      <c r="DR171" s="184" t="n"/>
      <c r="DS171" s="184" t="n"/>
      <c r="DT171" s="184" t="n"/>
      <c r="DU171" s="184" t="n"/>
      <c r="DV171" s="184" t="n"/>
      <c r="DW171" s="184" t="n"/>
      <c r="DX171" s="184" t="n"/>
      <c r="DY171" s="184" t="n"/>
      <c r="DZ171" s="184" t="n"/>
      <c r="EA171" s="184" t="n"/>
      <c r="EB171" s="184" t="n"/>
      <c r="EC171" s="184" t="n"/>
      <c r="ED171" s="184" t="n"/>
      <c r="EE171" s="184" t="n"/>
      <c r="EF171" s="184" t="n"/>
      <c r="EG171" s="184" t="n"/>
      <c r="EH171" s="184" t="n"/>
      <c r="EI171" s="184" t="n"/>
      <c r="EJ171" s="184" t="n"/>
      <c r="EK171" s="184" t="n"/>
      <c r="EL171" s="184" t="n"/>
      <c r="EM171" s="184" t="n"/>
      <c r="EN171" s="184" t="n"/>
      <c r="EO171" s="184" t="n"/>
      <c r="EP171" s="184" t="n"/>
    </row>
    <row r="172" ht="16.5" customFormat="1" customHeight="1" s="189" thickBot="1">
      <c r="A172" s="184" t="n"/>
      <c r="B172" s="184" t="n">
        <v>29</v>
      </c>
      <c r="C172" s="184" t="n"/>
      <c r="D172" s="652" t="n"/>
      <c r="E172" s="501" t="n"/>
      <c r="F172" s="503">
        <f>IF(ISNUMBER(E172),IF('Identificación del Instrumento'!$F$17="PRIMITIVA","",IF($G$59="DISCONTINUA",$E$84/2,0)),"")</f>
        <v/>
      </c>
      <c r="G172" s="501" t="n"/>
      <c r="H172" s="503">
        <f>IF(ISNUMBER(G172),IF('Identificación del Instrumento'!$F$17="PRIMITIVA","",IF($G$59="DISCONTINUA",$E$84/2,0)),"")</f>
        <v/>
      </c>
      <c r="I172" s="500">
        <f>IF(AND(ISNUMBER(B172),ISNUMBER(D172),ISNUMBER(E172),$B$59=1),IF($G$59="discontinua",(E172-D172),(E172-D172)),"")</f>
        <v/>
      </c>
      <c r="J172" s="500">
        <f>IF(AND(ISNUMBER(B172),ISNUMBER(D172),ISNUMBER(G172),$B$59=1),IF($G$59="discontinua",(G172-D172),(G172-D172)),"")</f>
        <v/>
      </c>
      <c r="K172" s="500">
        <f>IF(AND(ISNUMBER(I172),ISNUMBER(J172)),ABS(J172-I172),"")</f>
        <v/>
      </c>
      <c r="L172" s="500">
        <f>IF(AND(ISNUMBER(B172),ISNUMBER(D172),ISNUMBER(E172),ISNUMBER(F172),$B$59=1),IF($G$59="discontinua",(E172+($H$136/2)-F172-D172),(E172-F172-D172)),"")</f>
        <v/>
      </c>
      <c r="M172" s="500">
        <f>IF(AND(ISNUMBER(B172),ISNUMBER(D172),ISNUMBER(G172),ISNUMBER(H172),$B$59=1),IF($G$59="discontinua",(G172+($H$136/2)-H172-D172),(G172-H172-D172)),"")</f>
        <v/>
      </c>
      <c r="N172" s="184" t="n"/>
      <c r="O172" s="248" t="n"/>
      <c r="P172" s="38">
        <f>IF(ISNUMBER(E172),$E$18/SQRT(12),"")</f>
        <v/>
      </c>
      <c r="Q172" s="38">
        <f>IF(ISNUMBER(E172),MAX(K$96,K$120,K$108,K$132)/SQRT(12),"")</f>
        <v/>
      </c>
      <c r="R172" s="38">
        <f>B172*0.05/2</f>
        <v/>
      </c>
      <c r="S172" s="185" t="n">
        <v>0</v>
      </c>
      <c r="T172" s="38">
        <f>IF(ISNUMBER(E172),2*SQRT(SUMSQ(P172,Q172,R172,S172)),"")</f>
        <v/>
      </c>
      <c r="U172" s="342">
        <f>IF(ISNUMBER(E172),IF(D172&lt;=$F$49,I$49,IF(D172&lt;=$F$50,$I$50,$I$51)),"")</f>
        <v/>
      </c>
      <c r="V172" s="343">
        <f>IF(ISNUMBER(I172),IF('Identificación del Instrumento'!$B$17="periódica",IF(ABS(I172)&lt;=U172,0,1),IF(ABS(L172)&lt;=U172,0,1)),"")</f>
        <v/>
      </c>
      <c r="W172" s="184" t="n"/>
      <c r="X172" s="184" t="n"/>
      <c r="Y172" s="184" t="n"/>
      <c r="Z172" s="184" t="n"/>
      <c r="AA172" s="184" t="n"/>
      <c r="AB172" s="184" t="n"/>
      <c r="AC172" s="61" t="n"/>
      <c r="AD172" s="1298" t="n"/>
      <c r="AE172" s="184" t="n"/>
      <c r="AF172" s="184" t="n"/>
      <c r="AG172" s="1298" t="n"/>
      <c r="AH172" s="184" t="n"/>
      <c r="AI172" s="60" t="n"/>
      <c r="AJ172" s="1298" t="n"/>
      <c r="AK172" s="1298" t="n"/>
      <c r="AL172" s="1298" t="n"/>
      <c r="AM172" s="1298" t="n"/>
      <c r="AN172" s="1298" t="n"/>
      <c r="AO172" s="184" t="n"/>
      <c r="AP172" s="184" t="n"/>
      <c r="AQ172" s="184" t="n"/>
      <c r="AR172" s="184" t="n"/>
      <c r="AS172" s="184" t="n"/>
      <c r="AT172" s="184" t="n"/>
      <c r="AU172" s="184" t="n"/>
      <c r="AV172" s="184" t="n"/>
      <c r="AW172" s="184" t="n"/>
      <c r="AX172" s="184" t="n"/>
      <c r="AY172" s="184" t="n"/>
      <c r="AZ172" s="184" t="n"/>
      <c r="BA172" s="184" t="n"/>
      <c r="BB172" s="184" t="n"/>
      <c r="BC172" s="184" t="n"/>
      <c r="BD172" s="184" t="n"/>
      <c r="BE172" s="184" t="n"/>
      <c r="BF172" s="184" t="n"/>
      <c r="BG172" s="184" t="n"/>
      <c r="BH172" s="184" t="n"/>
      <c r="BI172" s="184" t="n"/>
      <c r="BJ172" s="184" t="n"/>
      <c r="BK172" s="184" t="n"/>
      <c r="BL172" s="184" t="n"/>
      <c r="BM172" s="184" t="n"/>
      <c r="BN172" s="184" t="n"/>
      <c r="BO172" s="184" t="n"/>
      <c r="BP172" s="184" t="n"/>
      <c r="BQ172" s="184" t="n"/>
      <c r="BR172" s="184" t="n"/>
      <c r="BS172" s="184" t="n"/>
      <c r="BT172" s="184" t="n"/>
      <c r="BU172" s="184" t="n"/>
      <c r="BV172" s="184" t="n"/>
      <c r="BW172" s="184" t="n"/>
      <c r="BX172" s="184" t="n"/>
      <c r="BY172" s="184" t="n"/>
      <c r="BZ172" s="184" t="n"/>
      <c r="CA172" s="184" t="n"/>
      <c r="CB172" s="184" t="n"/>
      <c r="CC172" s="184" t="n"/>
      <c r="CD172" s="184" t="n"/>
      <c r="CE172" s="184" t="n"/>
      <c r="CF172" s="184" t="n"/>
      <c r="CG172" s="184" t="n"/>
      <c r="CH172" s="184" t="n"/>
      <c r="CI172" s="184" t="n"/>
      <c r="CJ172" s="184" t="n"/>
      <c r="CK172" s="184" t="n"/>
      <c r="CL172" s="184" t="n"/>
      <c r="CM172" s="184" t="n"/>
      <c r="CN172" s="184" t="n"/>
      <c r="CO172" s="184" t="n"/>
      <c r="CP172" s="184" t="n"/>
      <c r="CQ172" s="184" t="n"/>
      <c r="CR172" s="184" t="n"/>
      <c r="CS172" s="184" t="n"/>
      <c r="CT172" s="184" t="n"/>
      <c r="CU172" s="184" t="n"/>
      <c r="CV172" s="184" t="n"/>
      <c r="CW172" s="184" t="n"/>
      <c r="CX172" s="184" t="n"/>
      <c r="CY172" s="184" t="n"/>
      <c r="CZ172" s="184" t="n"/>
      <c r="DA172" s="184" t="n"/>
      <c r="DB172" s="184" t="n"/>
      <c r="DC172" s="184" t="n"/>
      <c r="DD172" s="184" t="n"/>
      <c r="DE172" s="184" t="n"/>
      <c r="DF172" s="184" t="n"/>
      <c r="DG172" s="184" t="n"/>
      <c r="DH172" s="184" t="n"/>
      <c r="DI172" s="184" t="n"/>
      <c r="DJ172" s="184" t="n"/>
      <c r="DK172" s="184" t="n"/>
      <c r="DL172" s="184" t="n"/>
      <c r="DM172" s="184" t="n"/>
      <c r="DN172" s="184" t="n"/>
      <c r="DO172" s="184" t="n"/>
      <c r="DP172" s="184" t="n"/>
      <c r="DQ172" s="184" t="n"/>
      <c r="DR172" s="184" t="n"/>
      <c r="DS172" s="184" t="n"/>
      <c r="DT172" s="184" t="n"/>
      <c r="DU172" s="184" t="n"/>
      <c r="DV172" s="184" t="n"/>
      <c r="DW172" s="184" t="n"/>
      <c r="DX172" s="184" t="n"/>
      <c r="DY172" s="184" t="n"/>
      <c r="DZ172" s="184" t="n"/>
      <c r="EA172" s="184" t="n"/>
      <c r="EB172" s="184" t="n"/>
      <c r="EC172" s="184" t="n"/>
      <c r="ED172" s="184" t="n"/>
      <c r="EE172" s="184" t="n"/>
      <c r="EF172" s="184" t="n"/>
      <c r="EG172" s="184" t="n"/>
      <c r="EH172" s="184" t="n"/>
      <c r="EI172" s="184" t="n"/>
      <c r="EJ172" s="184" t="n"/>
      <c r="EK172" s="184" t="n"/>
      <c r="EL172" s="184" t="n"/>
      <c r="EM172" s="184" t="n"/>
      <c r="EN172" s="184" t="n"/>
      <c r="EO172" s="184" t="n"/>
      <c r="EP172" s="184" t="n"/>
    </row>
    <row r="173" ht="16.5" customFormat="1" customHeight="1" s="189" thickBot="1">
      <c r="A173" s="184" t="n"/>
      <c r="B173" s="184" t="n">
        <v>30</v>
      </c>
      <c r="C173" s="184" t="n"/>
      <c r="D173" s="652" t="n"/>
      <c r="E173" s="501" t="n"/>
      <c r="F173" s="503">
        <f>IF(ISNUMBER(E173),IF('Identificación del Instrumento'!$F$17="PRIMITIVA","",IF($G$59="DISCONTINUA",$E$84/2,0)),"")</f>
        <v/>
      </c>
      <c r="G173" s="501" t="n"/>
      <c r="H173" s="503">
        <f>IF(ISNUMBER(G173),IF('Identificación del Instrumento'!$F$17="PRIMITIVA","",IF($G$59="DISCONTINUA",$E$84/2,0)),"")</f>
        <v/>
      </c>
      <c r="I173" s="500">
        <f>IF(AND(ISNUMBER(B173),ISNUMBER(D173),ISNUMBER(E173),$B$59=1),IF($G$59="discontinua",(E173-D173),(E173-D173)),"")</f>
        <v/>
      </c>
      <c r="J173" s="500">
        <f>IF(AND(ISNUMBER(B173),ISNUMBER(D173),ISNUMBER(G173),$B$59=1),IF($G$59="discontinua",(G173-D173),(G173-D173)),"")</f>
        <v/>
      </c>
      <c r="K173" s="500">
        <f>IF(AND(ISNUMBER(I173),ISNUMBER(J173)),ABS(J173-I173),"")</f>
        <v/>
      </c>
      <c r="L173" s="500">
        <f>IF(AND(ISNUMBER(B173),ISNUMBER(D173),ISNUMBER(E173),ISNUMBER(F173),$B$59=1),IF($G$59="discontinua",(E173+($H$136/2)-F173-D173),(E173-F173-D173)),"")</f>
        <v/>
      </c>
      <c r="M173" s="500">
        <f>IF(AND(ISNUMBER(B173),ISNUMBER(D173),ISNUMBER(G173),ISNUMBER(H173),$B$59=1),IF($G$59="discontinua",(G173+($H$136/2)-H173-D173),(G173-H173-D173)),"")</f>
        <v/>
      </c>
      <c r="N173" s="184" t="n"/>
      <c r="O173" s="248" t="n"/>
      <c r="P173" s="38">
        <f>IF(ISNUMBER(E173),$E$18/SQRT(12),"")</f>
        <v/>
      </c>
      <c r="Q173" s="38">
        <f>IF(ISNUMBER(E173),MAX(K$96,K$120,K$108,K$132)/SQRT(12),"")</f>
        <v/>
      </c>
      <c r="R173" s="38">
        <f>B173*0.05/2</f>
        <v/>
      </c>
      <c r="S173" s="185" t="n">
        <v>0</v>
      </c>
      <c r="T173" s="38">
        <f>IF(ISNUMBER(E173),2*SQRT(SUMSQ(P173,Q173,R173,S173)),"")</f>
        <v/>
      </c>
      <c r="U173" s="342">
        <f>IF(ISNUMBER(E173),IF(D173&lt;=$F$49,I$49,IF(D173&lt;=$F$50,$I$50,$I$51)),"")</f>
        <v/>
      </c>
      <c r="V173" s="343">
        <f>IF(ISNUMBER(I173),IF('Identificación del Instrumento'!$B$17="periódica",IF(ABS(I173)&lt;=U173,0,1),IF(ABS(L173)&lt;=U173,0,1)),"")</f>
        <v/>
      </c>
      <c r="W173" s="184" t="n"/>
      <c r="X173" s="184" t="n"/>
      <c r="Y173" s="184" t="n"/>
      <c r="Z173" s="184" t="n"/>
      <c r="AA173" s="184" t="n"/>
      <c r="AB173" s="184" t="n"/>
      <c r="AC173" s="61" t="n"/>
      <c r="AD173" s="1298" t="n"/>
      <c r="AE173" s="184" t="n"/>
      <c r="AF173" s="184" t="n"/>
      <c r="AG173" s="1298" t="n"/>
      <c r="AH173" s="184" t="n"/>
      <c r="AI173" s="60" t="n"/>
      <c r="AJ173" s="1298" t="n"/>
      <c r="AK173" s="1298" t="n"/>
      <c r="AL173" s="1298" t="n"/>
      <c r="AM173" s="1298" t="n"/>
      <c r="AN173" s="1298" t="n"/>
      <c r="AO173" s="184" t="n"/>
      <c r="AP173" s="184" t="n"/>
      <c r="AQ173" s="184" t="n"/>
      <c r="AR173" s="184" t="n"/>
      <c r="AS173" s="184" t="n"/>
      <c r="AT173" s="184" t="n"/>
      <c r="AU173" s="184" t="n"/>
      <c r="AV173" s="184" t="n"/>
      <c r="AW173" s="184" t="n"/>
      <c r="AX173" s="184" t="n"/>
      <c r="AY173" s="184" t="n"/>
      <c r="AZ173" s="184" t="n"/>
      <c r="BA173" s="184" t="n"/>
      <c r="BB173" s="184" t="n"/>
      <c r="BC173" s="184" t="n"/>
      <c r="BD173" s="184" t="n"/>
      <c r="BE173" s="184" t="n"/>
      <c r="BF173" s="184" t="n"/>
      <c r="BG173" s="184" t="n"/>
      <c r="BH173" s="184" t="n"/>
      <c r="BI173" s="184" t="n"/>
      <c r="BJ173" s="184" t="n"/>
      <c r="BK173" s="184" t="n"/>
      <c r="BL173" s="184" t="n"/>
      <c r="BM173" s="184" t="n"/>
      <c r="BN173" s="184" t="n"/>
      <c r="BO173" s="184" t="n"/>
      <c r="BP173" s="184" t="n"/>
      <c r="BQ173" s="184" t="n"/>
      <c r="BR173" s="184" t="n"/>
      <c r="BS173" s="184" t="n"/>
      <c r="BT173" s="184" t="n"/>
      <c r="BU173" s="184" t="n"/>
      <c r="BV173" s="184" t="n"/>
      <c r="BW173" s="184" t="n"/>
      <c r="BX173" s="184" t="n"/>
      <c r="BY173" s="184" t="n"/>
      <c r="BZ173" s="184" t="n"/>
      <c r="CA173" s="184" t="n"/>
      <c r="CB173" s="184" t="n"/>
      <c r="CC173" s="184" t="n"/>
      <c r="CD173" s="184" t="n"/>
      <c r="CE173" s="184" t="n"/>
      <c r="CF173" s="184" t="n"/>
      <c r="CG173" s="184" t="n"/>
      <c r="CH173" s="184" t="n"/>
      <c r="CI173" s="184" t="n"/>
      <c r="CJ173" s="184" t="n"/>
      <c r="CK173" s="184" t="n"/>
      <c r="CL173" s="184" t="n"/>
      <c r="CM173" s="184" t="n"/>
      <c r="CN173" s="184" t="n"/>
      <c r="CO173" s="184" t="n"/>
      <c r="CP173" s="184" t="n"/>
      <c r="CQ173" s="184" t="n"/>
      <c r="CR173" s="184" t="n"/>
      <c r="CS173" s="184" t="n"/>
      <c r="CT173" s="184" t="n"/>
      <c r="CU173" s="184" t="n"/>
      <c r="CV173" s="184" t="n"/>
      <c r="CW173" s="184" t="n"/>
      <c r="CX173" s="184" t="n"/>
      <c r="CY173" s="184" t="n"/>
      <c r="CZ173" s="184" t="n"/>
      <c r="DA173" s="184" t="n"/>
      <c r="DB173" s="184" t="n"/>
      <c r="DC173" s="184" t="n"/>
      <c r="DD173" s="184" t="n"/>
      <c r="DE173" s="184" t="n"/>
      <c r="DF173" s="184" t="n"/>
      <c r="DG173" s="184" t="n"/>
      <c r="DH173" s="184" t="n"/>
      <c r="DI173" s="184" t="n"/>
      <c r="DJ173" s="184" t="n"/>
      <c r="DK173" s="184" t="n"/>
      <c r="DL173" s="184" t="n"/>
      <c r="DM173" s="184" t="n"/>
      <c r="DN173" s="184" t="n"/>
      <c r="DO173" s="184" t="n"/>
      <c r="DP173" s="184" t="n"/>
      <c r="DQ173" s="184" t="n"/>
      <c r="DR173" s="184" t="n"/>
      <c r="DS173" s="184" t="n"/>
      <c r="DT173" s="184" t="n"/>
      <c r="DU173" s="184" t="n"/>
      <c r="DV173" s="184" t="n"/>
      <c r="DW173" s="184" t="n"/>
      <c r="DX173" s="184" t="n"/>
      <c r="DY173" s="184" t="n"/>
      <c r="DZ173" s="184" t="n"/>
      <c r="EA173" s="184" t="n"/>
      <c r="EB173" s="184" t="n"/>
      <c r="EC173" s="184" t="n"/>
      <c r="ED173" s="184" t="n"/>
      <c r="EE173" s="184" t="n"/>
      <c r="EF173" s="184" t="n"/>
      <c r="EG173" s="184" t="n"/>
      <c r="EH173" s="184" t="n"/>
      <c r="EI173" s="184" t="n"/>
      <c r="EJ173" s="184" t="n"/>
      <c r="EK173" s="184" t="n"/>
      <c r="EL173" s="184" t="n"/>
      <c r="EM173" s="184" t="n"/>
      <c r="EN173" s="184" t="n"/>
      <c r="EO173" s="184" t="n"/>
      <c r="EP173" s="184" t="n"/>
    </row>
    <row r="174" ht="16.5" customFormat="1" customHeight="1" s="189" thickBot="1">
      <c r="A174" s="184" t="n"/>
      <c r="B174" s="184" t="n">
        <v>31</v>
      </c>
      <c r="C174" s="184" t="n"/>
      <c r="D174" s="652" t="n"/>
      <c r="E174" s="501" t="n"/>
      <c r="F174" s="503">
        <f>IF(ISNUMBER(E174),IF('Identificación del Instrumento'!$F$17="PRIMITIVA","",IF($G$59="DISCONTINUA",$E$84/2,0)),"")</f>
        <v/>
      </c>
      <c r="G174" s="501" t="n"/>
      <c r="H174" s="503">
        <f>IF(ISNUMBER(G174),IF('Identificación del Instrumento'!$F$17="PRIMITIVA","",IF($G$59="DISCONTINUA",$E$84/2,0)),"")</f>
        <v/>
      </c>
      <c r="I174" s="500">
        <f>IF(AND(ISNUMBER(B174),ISNUMBER(D174),ISNUMBER(E174),$B$59=1),IF($G$59="discontinua",(E174-D174),(E174-D174)),"")</f>
        <v/>
      </c>
      <c r="J174" s="500">
        <f>IF(AND(ISNUMBER(B174),ISNUMBER(D174),ISNUMBER(G174),$B$59=1),IF($G$59="discontinua",(G174-D174),(G174-D174)),"")</f>
        <v/>
      </c>
      <c r="K174" s="500">
        <f>IF(AND(ISNUMBER(I174),ISNUMBER(J174)),ABS(J174-I174),"")</f>
        <v/>
      </c>
      <c r="L174" s="500">
        <f>IF(AND(ISNUMBER(B174),ISNUMBER(D174),ISNUMBER(E174),ISNUMBER(F174),$B$59=1),IF($G$59="discontinua",(E174+($H$136/2)-F174-D174),(E174-F174-D174)),"")</f>
        <v/>
      </c>
      <c r="M174" s="500">
        <f>IF(AND(ISNUMBER(B174),ISNUMBER(D174),ISNUMBER(G174),ISNUMBER(H174),$B$59=1),IF($G$59="discontinua",(G174+($H$136/2)-H174-D174),(G174-H174-D174)),"")</f>
        <v/>
      </c>
      <c r="N174" s="184" t="n"/>
      <c r="O174" s="248" t="n"/>
      <c r="P174" s="38">
        <f>IF(ISNUMBER(E174),$E$18/SQRT(12),"")</f>
        <v/>
      </c>
      <c r="Q174" s="38">
        <f>IF(ISNUMBER(E174),MAX(K$96,K$120,K$108,K$132)/SQRT(12),"")</f>
        <v/>
      </c>
      <c r="R174" s="38">
        <f>B174*0.05/2</f>
        <v/>
      </c>
      <c r="S174" s="185" t="n">
        <v>0</v>
      </c>
      <c r="T174" s="38">
        <f>IF(ISNUMBER(E174),2*SQRT(SUMSQ(P174,Q174,R174,S174)),"")</f>
        <v/>
      </c>
      <c r="U174" s="342">
        <f>IF(ISNUMBER(E174),IF(D174&lt;=$F$49,I$49,IF(D174&lt;=$F$50,$I$50,$I$51)),"")</f>
        <v/>
      </c>
      <c r="V174" s="343">
        <f>IF(ISNUMBER(I174),IF('Identificación del Instrumento'!$B$17="periódica",IF(ABS(I174)&lt;=U174,0,1),IF(ABS(L174)&lt;=U174,0,1)),"")</f>
        <v/>
      </c>
      <c r="W174" s="184" t="n"/>
      <c r="X174" s="184" t="n"/>
      <c r="Y174" s="184" t="n"/>
      <c r="Z174" s="184" t="n"/>
      <c r="AA174" s="184" t="n"/>
      <c r="AB174" s="184" t="n"/>
      <c r="AC174" s="61" t="n"/>
      <c r="AD174" s="1298" t="n"/>
      <c r="AE174" s="184" t="n"/>
      <c r="AF174" s="184" t="n"/>
      <c r="AG174" s="1298" t="n"/>
      <c r="AH174" s="184" t="n"/>
      <c r="AI174" s="60" t="n"/>
      <c r="AJ174" s="1298" t="n"/>
      <c r="AK174" s="1298" t="n"/>
      <c r="AL174" s="1298" t="n"/>
      <c r="AM174" s="1298" t="n"/>
      <c r="AN174" s="1298" t="n"/>
      <c r="AO174" s="184" t="n"/>
      <c r="AP174" s="184" t="n"/>
      <c r="AQ174" s="184" t="n"/>
      <c r="AR174" s="184" t="n"/>
      <c r="AS174" s="184" t="n"/>
      <c r="AT174" s="184" t="n"/>
      <c r="AU174" s="184" t="n"/>
      <c r="AV174" s="184" t="n"/>
      <c r="AW174" s="184" t="n"/>
      <c r="AX174" s="184" t="n"/>
      <c r="AY174" s="184" t="n"/>
      <c r="AZ174" s="184" t="n"/>
      <c r="BA174" s="184" t="n"/>
      <c r="BB174" s="184" t="n"/>
      <c r="BC174" s="184" t="n"/>
      <c r="BD174" s="184" t="n"/>
      <c r="BE174" s="184" t="n"/>
      <c r="BF174" s="184" t="n"/>
      <c r="BG174" s="184" t="n"/>
      <c r="BH174" s="184" t="n"/>
      <c r="BI174" s="184" t="n"/>
      <c r="BJ174" s="184" t="n"/>
      <c r="BK174" s="184" t="n"/>
      <c r="BL174" s="184" t="n"/>
      <c r="BM174" s="184" t="n"/>
      <c r="BN174" s="184" t="n"/>
      <c r="BO174" s="184" t="n"/>
      <c r="BP174" s="184" t="n"/>
      <c r="BQ174" s="184" t="n"/>
      <c r="BR174" s="184" t="n"/>
      <c r="BS174" s="184" t="n"/>
      <c r="BT174" s="184" t="n"/>
      <c r="BU174" s="184" t="n"/>
      <c r="BV174" s="184" t="n"/>
      <c r="BW174" s="184" t="n"/>
      <c r="BX174" s="184" t="n"/>
      <c r="BY174" s="184" t="n"/>
      <c r="BZ174" s="184" t="n"/>
      <c r="CA174" s="184" t="n"/>
      <c r="CB174" s="184" t="n"/>
      <c r="CC174" s="184" t="n"/>
      <c r="CD174" s="184" t="n"/>
      <c r="CE174" s="184" t="n"/>
      <c r="CF174" s="184" t="n"/>
      <c r="CG174" s="184" t="n"/>
      <c r="CH174" s="184" t="n"/>
      <c r="CI174" s="184" t="n"/>
      <c r="CJ174" s="184" t="n"/>
      <c r="CK174" s="184" t="n"/>
      <c r="CL174" s="184" t="n"/>
      <c r="CM174" s="184" t="n"/>
      <c r="CN174" s="184" t="n"/>
      <c r="CO174" s="184" t="n"/>
      <c r="CP174" s="184" t="n"/>
      <c r="CQ174" s="184" t="n"/>
      <c r="CR174" s="184" t="n"/>
      <c r="CS174" s="184" t="n"/>
      <c r="CT174" s="184" t="n"/>
      <c r="CU174" s="184" t="n"/>
      <c r="CV174" s="184" t="n"/>
      <c r="CW174" s="184" t="n"/>
      <c r="CX174" s="184" t="n"/>
      <c r="CY174" s="184" t="n"/>
      <c r="CZ174" s="184" t="n"/>
      <c r="DA174" s="184" t="n"/>
      <c r="DB174" s="184" t="n"/>
      <c r="DC174" s="184" t="n"/>
      <c r="DD174" s="184" t="n"/>
      <c r="DE174" s="184" t="n"/>
      <c r="DF174" s="184" t="n"/>
      <c r="DG174" s="184" t="n"/>
      <c r="DH174" s="184" t="n"/>
      <c r="DI174" s="184" t="n"/>
      <c r="DJ174" s="184" t="n"/>
      <c r="DK174" s="184" t="n"/>
      <c r="DL174" s="184" t="n"/>
      <c r="DM174" s="184" t="n"/>
      <c r="DN174" s="184" t="n"/>
      <c r="DO174" s="184" t="n"/>
      <c r="DP174" s="184" t="n"/>
      <c r="DQ174" s="184" t="n"/>
      <c r="DR174" s="184" t="n"/>
      <c r="DS174" s="184" t="n"/>
      <c r="DT174" s="184" t="n"/>
      <c r="DU174" s="184" t="n"/>
      <c r="DV174" s="184" t="n"/>
      <c r="DW174" s="184" t="n"/>
      <c r="DX174" s="184" t="n"/>
      <c r="DY174" s="184" t="n"/>
      <c r="DZ174" s="184" t="n"/>
      <c r="EA174" s="184" t="n"/>
      <c r="EB174" s="184" t="n"/>
      <c r="EC174" s="184" t="n"/>
      <c r="ED174" s="184" t="n"/>
      <c r="EE174" s="184" t="n"/>
      <c r="EF174" s="184" t="n"/>
      <c r="EG174" s="184" t="n"/>
      <c r="EH174" s="184" t="n"/>
      <c r="EI174" s="184" t="n"/>
      <c r="EJ174" s="184" t="n"/>
      <c r="EK174" s="184" t="n"/>
      <c r="EL174" s="184" t="n"/>
      <c r="EM174" s="184" t="n"/>
      <c r="EN174" s="184" t="n"/>
      <c r="EO174" s="184" t="n"/>
      <c r="EP174" s="184" t="n"/>
    </row>
    <row r="175" ht="16.5" customFormat="1" customHeight="1" s="189" thickBot="1">
      <c r="A175" s="184" t="n"/>
      <c r="B175" s="184" t="n">
        <v>32</v>
      </c>
      <c r="C175" s="184" t="n"/>
      <c r="D175" s="652" t="n"/>
      <c r="E175" s="501" t="n"/>
      <c r="F175" s="503">
        <f>IF(ISNUMBER(E175),IF('Identificación del Instrumento'!$F$17="PRIMITIVA","",IF($G$59="DISCONTINUA",$E$84/2,0)),"")</f>
        <v/>
      </c>
      <c r="G175" s="501" t="n"/>
      <c r="H175" s="503">
        <f>IF(ISNUMBER(G175),IF('Identificación del Instrumento'!$F$17="PRIMITIVA","",IF($G$59="DISCONTINUA",$E$84/2,0)),"")</f>
        <v/>
      </c>
      <c r="I175" s="500">
        <f>IF(AND(ISNUMBER(B175),ISNUMBER(D175),ISNUMBER(E175),$B$59=1),IF($G$59="discontinua",(E175-D175),(E175-D175)),"")</f>
        <v/>
      </c>
      <c r="J175" s="500">
        <f>IF(AND(ISNUMBER(B175),ISNUMBER(D175),ISNUMBER(G175),$B$59=1),IF($G$59="discontinua",(G175-D175),(G175-D175)),"")</f>
        <v/>
      </c>
      <c r="K175" s="500">
        <f>IF(AND(ISNUMBER(I175),ISNUMBER(J175)),ABS(J175-I175),"")</f>
        <v/>
      </c>
      <c r="L175" s="500">
        <f>IF(AND(ISNUMBER(B175),ISNUMBER(D175),ISNUMBER(E175),ISNUMBER(F175),$B$59=1),IF($G$59="discontinua",(E175+($H$136/2)-F175-D175),(E175-F175-D175)),"")</f>
        <v/>
      </c>
      <c r="M175" s="500">
        <f>IF(AND(ISNUMBER(B175),ISNUMBER(D175),ISNUMBER(G175),ISNUMBER(H175),$B$59=1),IF($G$59="discontinua",(G175+($H$136/2)-H175-D175),(G175-H175-D175)),"")</f>
        <v/>
      </c>
      <c r="N175" s="184" t="n"/>
      <c r="O175" s="248" t="n"/>
      <c r="P175" s="38">
        <f>IF(ISNUMBER(E175),$E$18/SQRT(12),"")</f>
        <v/>
      </c>
      <c r="Q175" s="38">
        <f>IF(ISNUMBER(E175),MAX(K$96,K$120,K$108,K$132)/SQRT(12),"")</f>
        <v/>
      </c>
      <c r="R175" s="38">
        <f>B175*0.05/2</f>
        <v/>
      </c>
      <c r="S175" s="185" t="n">
        <v>0</v>
      </c>
      <c r="T175" s="38">
        <f>IF(ISNUMBER(E175),2*SQRT(SUMSQ(P175,Q175,R175,S175)),"")</f>
        <v/>
      </c>
      <c r="U175" s="342">
        <f>IF(ISNUMBER(E175),IF(D175&lt;=$F$49,I$49,IF(D175&lt;=$F$50,$I$50,$I$51)),"")</f>
        <v/>
      </c>
      <c r="V175" s="343">
        <f>IF(ISNUMBER(I175),IF('Identificación del Instrumento'!$B$17="periódica",IF(ABS(I175)&lt;=U175,0,1),IF(ABS(L175)&lt;=U175,0,1)),"")</f>
        <v/>
      </c>
      <c r="W175" s="184" t="n"/>
      <c r="X175" s="184" t="n"/>
      <c r="Y175" s="184" t="n"/>
      <c r="Z175" s="184" t="n"/>
      <c r="AA175" s="184" t="n"/>
      <c r="AB175" s="184" t="n"/>
      <c r="AC175" s="61" t="n"/>
      <c r="AD175" s="1298" t="n"/>
      <c r="AE175" s="184" t="n"/>
      <c r="AF175" s="184" t="n"/>
      <c r="AG175" s="1298" t="n"/>
      <c r="AH175" s="184" t="n"/>
      <c r="AI175" s="60" t="n"/>
      <c r="AJ175" s="1298" t="n"/>
      <c r="AK175" s="1298" t="n"/>
      <c r="AL175" s="1298" t="n"/>
      <c r="AM175" s="1298" t="n"/>
      <c r="AN175" s="1298" t="n"/>
      <c r="AO175" s="184" t="n"/>
      <c r="AP175" s="184" t="n"/>
      <c r="AQ175" s="184" t="n"/>
      <c r="AR175" s="184" t="n"/>
      <c r="AS175" s="184" t="n"/>
      <c r="AT175" s="184" t="n"/>
      <c r="AU175" s="184" t="n"/>
      <c r="AV175" s="184" t="n"/>
      <c r="AW175" s="184" t="n"/>
      <c r="AX175" s="184" t="n"/>
      <c r="AY175" s="184" t="n"/>
      <c r="AZ175" s="184" t="n"/>
      <c r="BA175" s="184" t="n"/>
      <c r="BB175" s="184" t="n"/>
      <c r="BC175" s="184" t="n"/>
      <c r="BD175" s="184" t="n"/>
      <c r="BE175" s="184" t="n"/>
      <c r="BF175" s="184" t="n"/>
      <c r="BG175" s="184" t="n"/>
      <c r="BH175" s="184" t="n"/>
      <c r="BI175" s="184" t="n"/>
      <c r="BJ175" s="184" t="n"/>
      <c r="BK175" s="184" t="n"/>
      <c r="BL175" s="184" t="n"/>
      <c r="BM175" s="184" t="n"/>
      <c r="BN175" s="184" t="n"/>
      <c r="BO175" s="184" t="n"/>
      <c r="BP175" s="184" t="n"/>
      <c r="BQ175" s="184" t="n"/>
      <c r="BR175" s="184" t="n"/>
      <c r="BS175" s="184" t="n"/>
      <c r="BT175" s="184" t="n"/>
      <c r="BU175" s="184" t="n"/>
      <c r="BV175" s="184" t="n"/>
      <c r="BW175" s="184" t="n"/>
      <c r="BX175" s="184" t="n"/>
      <c r="BY175" s="184" t="n"/>
      <c r="BZ175" s="184" t="n"/>
      <c r="CA175" s="184" t="n"/>
      <c r="CB175" s="184" t="n"/>
      <c r="CC175" s="184" t="n"/>
      <c r="CD175" s="184" t="n"/>
      <c r="CE175" s="184" t="n"/>
      <c r="CF175" s="184" t="n"/>
      <c r="CG175" s="184" t="n"/>
      <c r="CH175" s="184" t="n"/>
      <c r="CI175" s="184" t="n"/>
      <c r="CJ175" s="184" t="n"/>
      <c r="CK175" s="184" t="n"/>
      <c r="CL175" s="184" t="n"/>
      <c r="CM175" s="184" t="n"/>
      <c r="CN175" s="184" t="n"/>
      <c r="CO175" s="184" t="n"/>
      <c r="CP175" s="184" t="n"/>
      <c r="CQ175" s="184" t="n"/>
      <c r="CR175" s="184" t="n"/>
      <c r="CS175" s="184" t="n"/>
      <c r="CT175" s="184" t="n"/>
      <c r="CU175" s="184" t="n"/>
      <c r="CV175" s="184" t="n"/>
      <c r="CW175" s="184" t="n"/>
      <c r="CX175" s="184" t="n"/>
      <c r="CY175" s="184" t="n"/>
      <c r="CZ175" s="184" t="n"/>
      <c r="DA175" s="184" t="n"/>
      <c r="DB175" s="184" t="n"/>
      <c r="DC175" s="184" t="n"/>
      <c r="DD175" s="184" t="n"/>
      <c r="DE175" s="184" t="n"/>
      <c r="DF175" s="184" t="n"/>
      <c r="DG175" s="184" t="n"/>
      <c r="DH175" s="184" t="n"/>
      <c r="DI175" s="184" t="n"/>
      <c r="DJ175" s="184" t="n"/>
      <c r="DK175" s="184" t="n"/>
      <c r="DL175" s="184" t="n"/>
      <c r="DM175" s="184" t="n"/>
      <c r="DN175" s="184" t="n"/>
      <c r="DO175" s="184" t="n"/>
      <c r="DP175" s="184" t="n"/>
      <c r="DQ175" s="184" t="n"/>
      <c r="DR175" s="184" t="n"/>
      <c r="DS175" s="184" t="n"/>
      <c r="DT175" s="184" t="n"/>
      <c r="DU175" s="184" t="n"/>
      <c r="DV175" s="184" t="n"/>
      <c r="DW175" s="184" t="n"/>
      <c r="DX175" s="184" t="n"/>
      <c r="DY175" s="184" t="n"/>
      <c r="DZ175" s="184" t="n"/>
      <c r="EA175" s="184" t="n"/>
      <c r="EB175" s="184" t="n"/>
      <c r="EC175" s="184" t="n"/>
      <c r="ED175" s="184" t="n"/>
      <c r="EE175" s="184" t="n"/>
      <c r="EF175" s="184" t="n"/>
      <c r="EG175" s="184" t="n"/>
      <c r="EH175" s="184" t="n"/>
      <c r="EI175" s="184" t="n"/>
      <c r="EJ175" s="184" t="n"/>
      <c r="EK175" s="184" t="n"/>
      <c r="EL175" s="184" t="n"/>
      <c r="EM175" s="184" t="n"/>
      <c r="EN175" s="184" t="n"/>
      <c r="EO175" s="184" t="n"/>
      <c r="EP175" s="184" t="n"/>
    </row>
    <row r="176" ht="16.5" customFormat="1" customHeight="1" s="189" thickBot="1">
      <c r="A176" s="184" t="n"/>
      <c r="B176" s="184" t="n">
        <v>33</v>
      </c>
      <c r="C176" s="184" t="n"/>
      <c r="D176" s="652" t="n"/>
      <c r="E176" s="501" t="n"/>
      <c r="F176" s="503">
        <f>IF(ISNUMBER(E176),IF('Identificación del Instrumento'!$F$17="PRIMITIVA","",IF($G$59="DISCONTINUA",$E$84/2,0)),"")</f>
        <v/>
      </c>
      <c r="G176" s="501" t="n"/>
      <c r="H176" s="503">
        <f>IF(ISNUMBER(G176),IF('Identificación del Instrumento'!$F$17="PRIMITIVA","",IF($G$59="DISCONTINUA",$E$84/2,0)),"")</f>
        <v/>
      </c>
      <c r="I176" s="500">
        <f>IF(AND(ISNUMBER(B176),ISNUMBER(D176),ISNUMBER(E176),$B$59=1),IF($G$59="discontinua",(E176-D176),(E176-D176)),"")</f>
        <v/>
      </c>
      <c r="J176" s="500">
        <f>IF(AND(ISNUMBER(B176),ISNUMBER(D176),ISNUMBER(G176),$B$59=1),IF($G$59="discontinua",(G176-D176),(G176-D176)),"")</f>
        <v/>
      </c>
      <c r="K176" s="500">
        <f>IF(AND(ISNUMBER(I176),ISNUMBER(J176)),ABS(J176-I176),"")</f>
        <v/>
      </c>
      <c r="L176" s="500">
        <f>IF(AND(ISNUMBER(B176),ISNUMBER(D176),ISNUMBER(E176),ISNUMBER(F176),$B$59=1),IF($G$59="discontinua",(E176+($H$136/2)-F176-D176),(E176-F176-D176)),"")</f>
        <v/>
      </c>
      <c r="M176" s="500">
        <f>IF(AND(ISNUMBER(B176),ISNUMBER(D176),ISNUMBER(G176),ISNUMBER(H176),$B$59=1),IF($G$59="discontinua",(G176+($H$136/2)-H176-D176),(G176-H176-D176)),"")</f>
        <v/>
      </c>
      <c r="N176" s="184" t="n"/>
      <c r="O176" s="248" t="n"/>
      <c r="P176" s="38">
        <f>IF(ISNUMBER(E176),$E$18/SQRT(12),"")</f>
        <v/>
      </c>
      <c r="Q176" s="38">
        <f>IF(ISNUMBER(E176),MAX(K$96,K$120,K$108,K$132)/SQRT(12),"")</f>
        <v/>
      </c>
      <c r="R176" s="38">
        <f>B176*0.05/2</f>
        <v/>
      </c>
      <c r="S176" s="185" t="n">
        <v>0</v>
      </c>
      <c r="T176" s="38">
        <f>IF(ISNUMBER(E176),2*SQRT(SUMSQ(P176,Q176,R176,S176)),"")</f>
        <v/>
      </c>
      <c r="U176" s="342">
        <f>IF(ISNUMBER(E176),IF(D176&lt;=$F$49,I$49,IF(D176&lt;=$F$50,$I$50,$I$51)),"")</f>
        <v/>
      </c>
      <c r="V176" s="343">
        <f>IF(ISNUMBER(I176),IF('Identificación del Instrumento'!$B$17="periódica",IF(ABS(I176)&lt;=U176,0,1),IF(ABS(L176)&lt;=U176,0,1)),"")</f>
        <v/>
      </c>
      <c r="W176" s="184" t="n"/>
      <c r="X176" s="184" t="n"/>
      <c r="Y176" s="184" t="n"/>
      <c r="Z176" s="184" t="n"/>
      <c r="AA176" s="184" t="n"/>
      <c r="AB176" s="184" t="n"/>
      <c r="AC176" s="61" t="n"/>
      <c r="AD176" s="1298" t="n"/>
      <c r="AE176" s="184" t="n"/>
      <c r="AF176" s="184" t="n"/>
      <c r="AG176" s="1298" t="n"/>
      <c r="AH176" s="184" t="n"/>
      <c r="AI176" s="60" t="n"/>
      <c r="AJ176" s="1298" t="n"/>
      <c r="AK176" s="1298" t="n"/>
      <c r="AL176" s="1298" t="n"/>
      <c r="AM176" s="1298" t="n"/>
      <c r="AN176" s="1298" t="n"/>
      <c r="AO176" s="184" t="n"/>
      <c r="AP176" s="184" t="n"/>
      <c r="AQ176" s="184" t="n"/>
      <c r="AR176" s="184" t="n"/>
      <c r="AS176" s="184" t="n"/>
      <c r="AT176" s="184" t="n"/>
      <c r="AU176" s="184" t="n"/>
      <c r="AV176" s="184" t="n"/>
      <c r="AW176" s="184" t="n"/>
      <c r="AX176" s="184" t="n"/>
      <c r="AY176" s="184" t="n"/>
      <c r="AZ176" s="184" t="n"/>
      <c r="BA176" s="184" t="n"/>
      <c r="BB176" s="184" t="n"/>
      <c r="BC176" s="184" t="n"/>
      <c r="BD176" s="184" t="n"/>
      <c r="BE176" s="184" t="n"/>
      <c r="BF176" s="184" t="n"/>
      <c r="BG176" s="184" t="n"/>
      <c r="BH176" s="184" t="n"/>
      <c r="BI176" s="184" t="n"/>
      <c r="BJ176" s="184" t="n"/>
      <c r="BK176" s="184" t="n"/>
      <c r="BL176" s="184" t="n"/>
      <c r="BM176" s="184" t="n"/>
      <c r="BN176" s="184" t="n"/>
      <c r="BO176" s="184" t="n"/>
      <c r="BP176" s="184" t="n"/>
      <c r="BQ176" s="184" t="n"/>
      <c r="BR176" s="184" t="n"/>
      <c r="BS176" s="184" t="n"/>
      <c r="BT176" s="184" t="n"/>
      <c r="BU176" s="184" t="n"/>
      <c r="BV176" s="184" t="n"/>
      <c r="BW176" s="184" t="n"/>
      <c r="BX176" s="184" t="n"/>
      <c r="BY176" s="184" t="n"/>
      <c r="BZ176" s="184" t="n"/>
      <c r="CA176" s="184" t="n"/>
      <c r="CB176" s="184" t="n"/>
      <c r="CC176" s="184" t="n"/>
      <c r="CD176" s="184" t="n"/>
      <c r="CE176" s="184" t="n"/>
      <c r="CF176" s="184" t="n"/>
      <c r="CG176" s="184" t="n"/>
      <c r="CH176" s="184" t="n"/>
      <c r="CI176" s="184" t="n"/>
      <c r="CJ176" s="184" t="n"/>
      <c r="CK176" s="184" t="n"/>
      <c r="CL176" s="184" t="n"/>
      <c r="CM176" s="184" t="n"/>
      <c r="CN176" s="184" t="n"/>
      <c r="CO176" s="184" t="n"/>
      <c r="CP176" s="184" t="n"/>
      <c r="CQ176" s="184" t="n"/>
      <c r="CR176" s="184" t="n"/>
      <c r="CS176" s="184" t="n"/>
      <c r="CT176" s="184" t="n"/>
      <c r="CU176" s="184" t="n"/>
      <c r="CV176" s="184" t="n"/>
      <c r="CW176" s="184" t="n"/>
      <c r="CX176" s="184" t="n"/>
      <c r="CY176" s="184" t="n"/>
      <c r="CZ176" s="184" t="n"/>
      <c r="DA176" s="184" t="n"/>
      <c r="DB176" s="184" t="n"/>
      <c r="DC176" s="184" t="n"/>
      <c r="DD176" s="184" t="n"/>
      <c r="DE176" s="184" t="n"/>
      <c r="DF176" s="184" t="n"/>
      <c r="DG176" s="184" t="n"/>
      <c r="DH176" s="184" t="n"/>
      <c r="DI176" s="184" t="n"/>
      <c r="DJ176" s="184" t="n"/>
      <c r="DK176" s="184" t="n"/>
      <c r="DL176" s="184" t="n"/>
      <c r="DM176" s="184" t="n"/>
      <c r="DN176" s="184" t="n"/>
      <c r="DO176" s="184" t="n"/>
      <c r="DP176" s="184" t="n"/>
      <c r="DQ176" s="184" t="n"/>
      <c r="DR176" s="184" t="n"/>
      <c r="DS176" s="184" t="n"/>
      <c r="DT176" s="184" t="n"/>
      <c r="DU176" s="184" t="n"/>
      <c r="DV176" s="184" t="n"/>
      <c r="DW176" s="184" t="n"/>
      <c r="DX176" s="184" t="n"/>
      <c r="DY176" s="184" t="n"/>
      <c r="DZ176" s="184" t="n"/>
      <c r="EA176" s="184" t="n"/>
      <c r="EB176" s="184" t="n"/>
      <c r="EC176" s="184" t="n"/>
      <c r="ED176" s="184" t="n"/>
      <c r="EE176" s="184" t="n"/>
      <c r="EF176" s="184" t="n"/>
      <c r="EG176" s="184" t="n"/>
      <c r="EH176" s="184" t="n"/>
      <c r="EI176" s="184" t="n"/>
      <c r="EJ176" s="184" t="n"/>
      <c r="EK176" s="184" t="n"/>
      <c r="EL176" s="184" t="n"/>
      <c r="EM176" s="184" t="n"/>
      <c r="EN176" s="184" t="n"/>
      <c r="EO176" s="184" t="n"/>
      <c r="EP176" s="184" t="n"/>
    </row>
    <row r="177" ht="16.5" customFormat="1" customHeight="1" s="189" thickBot="1">
      <c r="A177" s="184" t="n"/>
      <c r="B177" s="184" t="n">
        <v>34</v>
      </c>
      <c r="C177" s="184" t="n"/>
      <c r="D177" s="652" t="n"/>
      <c r="E177" s="501" t="n"/>
      <c r="F177" s="503">
        <f>IF(ISNUMBER(E177),IF('Identificación del Instrumento'!$F$17="PRIMITIVA","",IF($G$59="DISCONTINUA",$E$84/2,0)),"")</f>
        <v/>
      </c>
      <c r="G177" s="501" t="n"/>
      <c r="H177" s="503">
        <f>IF(ISNUMBER(G177),IF('Identificación del Instrumento'!$F$17="PRIMITIVA","",IF($G$59="DISCONTINUA",$E$84/2,0)),"")</f>
        <v/>
      </c>
      <c r="I177" s="500">
        <f>IF(AND(ISNUMBER(B177),ISNUMBER(D177),ISNUMBER(E177),$B$59=1),IF($G$59="discontinua",(E177-D177),(E177-D177)),"")</f>
        <v/>
      </c>
      <c r="J177" s="500">
        <f>IF(AND(ISNUMBER(B177),ISNUMBER(D177),ISNUMBER(G177),$B$59=1),IF($G$59="discontinua",(G177-D177),(G177-D177)),"")</f>
        <v/>
      </c>
      <c r="K177" s="500">
        <f>IF(AND(ISNUMBER(I177),ISNUMBER(J177)),ABS(J177-I177),"")</f>
        <v/>
      </c>
      <c r="L177" s="500">
        <f>IF(AND(ISNUMBER(B177),ISNUMBER(D177),ISNUMBER(E177),ISNUMBER(F177),$B$59=1),IF($G$59="discontinua",(E177+($H$136/2)-F177-D177),(E177-F177-D177)),"")</f>
        <v/>
      </c>
      <c r="M177" s="500">
        <f>IF(AND(ISNUMBER(B177),ISNUMBER(D177),ISNUMBER(G177),ISNUMBER(H177),$B$59=1),IF($G$59="discontinua",(G177+($H$136/2)-H177-D177),(G177-H177-D177)),"")</f>
        <v/>
      </c>
      <c r="N177" s="184" t="n"/>
      <c r="O177" s="248" t="n"/>
      <c r="P177" s="38">
        <f>IF(ISNUMBER(E177),$E$18/SQRT(12),"")</f>
        <v/>
      </c>
      <c r="Q177" s="38">
        <f>IF(ISNUMBER(E177),MAX(K$96,K$120,K$108,K$132)/SQRT(12),"")</f>
        <v/>
      </c>
      <c r="R177" s="38">
        <f>B177*0.05/2</f>
        <v/>
      </c>
      <c r="S177" s="185" t="n">
        <v>0</v>
      </c>
      <c r="T177" s="38">
        <f>IF(ISNUMBER(E177),2*SQRT(SUMSQ(P177,Q177,R177,S177)),"")</f>
        <v/>
      </c>
      <c r="U177" s="342">
        <f>IF(ISNUMBER(E177),IF(D177&lt;=$F$49,I$49,IF(D177&lt;=$F$50,$I$50,$I$51)),"")</f>
        <v/>
      </c>
      <c r="V177" s="343">
        <f>IF(ISNUMBER(I177),IF('Identificación del Instrumento'!$B$17="periódica",IF(ABS(I177)&lt;=U177,0,1),IF(ABS(L177)&lt;=U177,0,1)),"")</f>
        <v/>
      </c>
      <c r="W177" s="184" t="n"/>
      <c r="X177" s="184" t="n"/>
      <c r="Y177" s="184" t="n"/>
      <c r="Z177" s="184" t="n"/>
      <c r="AA177" s="184" t="n"/>
      <c r="AB177" s="184" t="n"/>
      <c r="AC177" s="61" t="n"/>
      <c r="AD177" s="1298" t="n"/>
      <c r="AE177" s="184" t="n"/>
      <c r="AF177" s="184" t="n"/>
      <c r="AG177" s="1298" t="n"/>
      <c r="AH177" s="184" t="n"/>
      <c r="AI177" s="60" t="n"/>
      <c r="AJ177" s="1298" t="n"/>
      <c r="AK177" s="1298" t="n"/>
      <c r="AL177" s="1298" t="n"/>
      <c r="AM177" s="1298" t="n"/>
      <c r="AN177" s="1298" t="n"/>
      <c r="AO177" s="184" t="n"/>
      <c r="AP177" s="184" t="n"/>
      <c r="AQ177" s="184" t="n"/>
      <c r="AR177" s="184" t="n"/>
      <c r="AS177" s="184" t="n"/>
      <c r="AT177" s="184" t="n"/>
      <c r="AU177" s="184" t="n"/>
      <c r="AV177" s="184" t="n"/>
      <c r="AW177" s="184" t="n"/>
      <c r="AX177" s="184" t="n"/>
      <c r="AY177" s="184" t="n"/>
      <c r="AZ177" s="184" t="n"/>
      <c r="BA177" s="184" t="n"/>
      <c r="BB177" s="184" t="n"/>
      <c r="BC177" s="184" t="n"/>
      <c r="BD177" s="184" t="n"/>
      <c r="BE177" s="184" t="n"/>
      <c r="BF177" s="184" t="n"/>
      <c r="BG177" s="184" t="n"/>
      <c r="BH177" s="184" t="n"/>
      <c r="BI177" s="184" t="n"/>
      <c r="BJ177" s="184" t="n"/>
      <c r="BK177" s="184" t="n"/>
      <c r="BL177" s="184" t="n"/>
      <c r="BM177" s="184" t="n"/>
      <c r="BN177" s="184" t="n"/>
      <c r="BO177" s="184" t="n"/>
      <c r="BP177" s="184" t="n"/>
      <c r="BQ177" s="184" t="n"/>
      <c r="BR177" s="184" t="n"/>
      <c r="BS177" s="184" t="n"/>
      <c r="BT177" s="184" t="n"/>
      <c r="BU177" s="184" t="n"/>
      <c r="BV177" s="184" t="n"/>
      <c r="BW177" s="184" t="n"/>
      <c r="BX177" s="184" t="n"/>
      <c r="BY177" s="184" t="n"/>
      <c r="BZ177" s="184" t="n"/>
      <c r="CA177" s="184" t="n"/>
      <c r="CB177" s="184" t="n"/>
      <c r="CC177" s="184" t="n"/>
      <c r="CD177" s="184" t="n"/>
      <c r="CE177" s="184" t="n"/>
      <c r="CF177" s="184" t="n"/>
      <c r="CG177" s="184" t="n"/>
      <c r="CH177" s="184" t="n"/>
      <c r="CI177" s="184" t="n"/>
      <c r="CJ177" s="184" t="n"/>
      <c r="CK177" s="184" t="n"/>
      <c r="CL177" s="184" t="n"/>
      <c r="CM177" s="184" t="n"/>
      <c r="CN177" s="184" t="n"/>
      <c r="CO177" s="184" t="n"/>
      <c r="CP177" s="184" t="n"/>
      <c r="CQ177" s="184" t="n"/>
      <c r="CR177" s="184" t="n"/>
      <c r="CS177" s="184" t="n"/>
      <c r="CT177" s="184" t="n"/>
      <c r="CU177" s="184" t="n"/>
      <c r="CV177" s="184" t="n"/>
      <c r="CW177" s="184" t="n"/>
      <c r="CX177" s="184" t="n"/>
      <c r="CY177" s="184" t="n"/>
      <c r="CZ177" s="184" t="n"/>
      <c r="DA177" s="184" t="n"/>
      <c r="DB177" s="184" t="n"/>
      <c r="DC177" s="184" t="n"/>
      <c r="DD177" s="184" t="n"/>
      <c r="DE177" s="184" t="n"/>
      <c r="DF177" s="184" t="n"/>
      <c r="DG177" s="184" t="n"/>
      <c r="DH177" s="184" t="n"/>
      <c r="DI177" s="184" t="n"/>
      <c r="DJ177" s="184" t="n"/>
      <c r="DK177" s="184" t="n"/>
      <c r="DL177" s="184" t="n"/>
      <c r="DM177" s="184" t="n"/>
      <c r="DN177" s="184" t="n"/>
      <c r="DO177" s="184" t="n"/>
      <c r="DP177" s="184" t="n"/>
      <c r="DQ177" s="184" t="n"/>
      <c r="DR177" s="184" t="n"/>
      <c r="DS177" s="184" t="n"/>
      <c r="DT177" s="184" t="n"/>
      <c r="DU177" s="184" t="n"/>
      <c r="DV177" s="184" t="n"/>
      <c r="DW177" s="184" t="n"/>
      <c r="DX177" s="184" t="n"/>
      <c r="DY177" s="184" t="n"/>
      <c r="DZ177" s="184" t="n"/>
      <c r="EA177" s="184" t="n"/>
      <c r="EB177" s="184" t="n"/>
      <c r="EC177" s="184" t="n"/>
      <c r="ED177" s="184" t="n"/>
      <c r="EE177" s="184" t="n"/>
      <c r="EF177" s="184" t="n"/>
      <c r="EG177" s="184" t="n"/>
      <c r="EH177" s="184" t="n"/>
      <c r="EI177" s="184" t="n"/>
      <c r="EJ177" s="184" t="n"/>
      <c r="EK177" s="184" t="n"/>
      <c r="EL177" s="184" t="n"/>
      <c r="EM177" s="184" t="n"/>
      <c r="EN177" s="184" t="n"/>
      <c r="EO177" s="184" t="n"/>
      <c r="EP177" s="184" t="n"/>
    </row>
    <row r="178" ht="16.5" customFormat="1" customHeight="1" s="189" thickBot="1">
      <c r="A178" s="184" t="n"/>
      <c r="B178" s="184" t="n">
        <v>35</v>
      </c>
      <c r="C178" s="184" t="n"/>
      <c r="D178" s="652" t="n"/>
      <c r="E178" s="501" t="n"/>
      <c r="F178" s="503">
        <f>IF(ISNUMBER(E178),IF('Identificación del Instrumento'!$F$17="PRIMITIVA","",IF($G$59="DISCONTINUA",$E$84/2,0)),"")</f>
        <v/>
      </c>
      <c r="G178" s="501" t="n"/>
      <c r="H178" s="503">
        <f>IF(ISNUMBER(G178),IF('Identificación del Instrumento'!$F$17="PRIMITIVA","",IF($G$59="DISCONTINUA",$E$84/2,0)),"")</f>
        <v/>
      </c>
      <c r="I178" s="500">
        <f>IF(AND(ISNUMBER(B178),ISNUMBER(D178),ISNUMBER(E178),$B$59=1),IF($G$59="discontinua",(E178-D178),(E178-D178)),"")</f>
        <v/>
      </c>
      <c r="J178" s="500">
        <f>IF(AND(ISNUMBER(B178),ISNUMBER(D178),ISNUMBER(G178),$B$59=1),IF($G$59="discontinua",(G178-D178),(G178-D178)),"")</f>
        <v/>
      </c>
      <c r="K178" s="500">
        <f>IF(AND(ISNUMBER(I178),ISNUMBER(J178)),ABS(J178-I178),"")</f>
        <v/>
      </c>
      <c r="L178" s="500">
        <f>IF(AND(ISNUMBER(B178),ISNUMBER(D178),ISNUMBER(E178),ISNUMBER(F178),$B$59=1),IF($G$59="discontinua",(E178+($H$136/2)-F178-D178),(E178-F178-D178)),"")</f>
        <v/>
      </c>
      <c r="M178" s="500">
        <f>IF(AND(ISNUMBER(B178),ISNUMBER(D178),ISNUMBER(G178),ISNUMBER(H178),$B$59=1),IF($G$59="discontinua",(G178+($H$136/2)-H178-D178),(G178-H178-D178)),"")</f>
        <v/>
      </c>
      <c r="N178" s="184" t="n"/>
      <c r="O178" s="248" t="n"/>
      <c r="P178" s="38">
        <f>IF(ISNUMBER(E178),$E$18/SQRT(12),"")</f>
        <v/>
      </c>
      <c r="Q178" s="38">
        <f>IF(ISNUMBER(E178),MAX(K$96,K$120,K$108,K$132)/SQRT(12),"")</f>
        <v/>
      </c>
      <c r="R178" s="38">
        <f>B178*0.05/2</f>
        <v/>
      </c>
      <c r="S178" s="185" t="n">
        <v>0</v>
      </c>
      <c r="T178" s="38">
        <f>IF(ISNUMBER(E178),2*SQRT(SUMSQ(P178,Q178,R178,S178)),"")</f>
        <v/>
      </c>
      <c r="U178" s="342">
        <f>IF(ISNUMBER(E178),IF(D178&lt;=$F$49,I$49,IF(D178&lt;=$F$50,$I$50,$I$51)),"")</f>
        <v/>
      </c>
      <c r="V178" s="343">
        <f>IF(ISNUMBER(I178),IF('Identificación del Instrumento'!$B$17="periódica",IF(ABS(I178)&lt;=U178,0,1),IF(ABS(L178)&lt;=U178,0,1)),"")</f>
        <v/>
      </c>
      <c r="W178" s="184" t="n"/>
      <c r="X178" s="184" t="n"/>
      <c r="Y178" s="184" t="n"/>
      <c r="Z178" s="184" t="n"/>
      <c r="AA178" s="184" t="n"/>
      <c r="AB178" s="184" t="n"/>
      <c r="AC178" s="61" t="n"/>
      <c r="AD178" s="1298" t="n"/>
      <c r="AE178" s="184" t="n"/>
      <c r="AF178" s="184" t="n"/>
      <c r="AG178" s="1298" t="n"/>
      <c r="AH178" s="184" t="n"/>
      <c r="AI178" s="60" t="n"/>
      <c r="AJ178" s="1298" t="n"/>
      <c r="AK178" s="1298" t="n"/>
      <c r="AL178" s="1298" t="n"/>
      <c r="AM178" s="1298" t="n"/>
      <c r="AN178" s="1298" t="n"/>
      <c r="AO178" s="184" t="n"/>
      <c r="AP178" s="184" t="n"/>
      <c r="AQ178" s="184" t="n"/>
      <c r="AR178" s="184" t="n"/>
      <c r="AS178" s="184" t="n"/>
      <c r="AT178" s="184" t="n"/>
      <c r="AU178" s="184" t="n"/>
      <c r="AV178" s="184" t="n"/>
      <c r="AW178" s="184" t="n"/>
      <c r="AX178" s="184" t="n"/>
      <c r="AY178" s="184" t="n"/>
      <c r="AZ178" s="184" t="n"/>
      <c r="BA178" s="184" t="n"/>
      <c r="BB178" s="184" t="n"/>
      <c r="BC178" s="184" t="n"/>
      <c r="BD178" s="184" t="n"/>
      <c r="BE178" s="184" t="n"/>
      <c r="BF178" s="184" t="n"/>
      <c r="BG178" s="184" t="n"/>
      <c r="BH178" s="184" t="n"/>
      <c r="BI178" s="184" t="n"/>
      <c r="BJ178" s="184" t="n"/>
      <c r="BK178" s="184" t="n"/>
      <c r="BL178" s="184" t="n"/>
      <c r="BM178" s="184" t="n"/>
      <c r="BN178" s="184" t="n"/>
      <c r="BO178" s="184" t="n"/>
      <c r="BP178" s="184" t="n"/>
      <c r="BQ178" s="184" t="n"/>
      <c r="BR178" s="184" t="n"/>
      <c r="BS178" s="184" t="n"/>
      <c r="BT178" s="184" t="n"/>
      <c r="BU178" s="184" t="n"/>
      <c r="BV178" s="184" t="n"/>
      <c r="BW178" s="184" t="n"/>
      <c r="BX178" s="184" t="n"/>
      <c r="BY178" s="184" t="n"/>
      <c r="BZ178" s="184" t="n"/>
      <c r="CA178" s="184" t="n"/>
      <c r="CB178" s="184" t="n"/>
      <c r="CC178" s="184" t="n"/>
      <c r="CD178" s="184" t="n"/>
      <c r="CE178" s="184" t="n"/>
      <c r="CF178" s="184" t="n"/>
      <c r="CG178" s="184" t="n"/>
      <c r="CH178" s="184" t="n"/>
      <c r="CI178" s="184" t="n"/>
      <c r="CJ178" s="184" t="n"/>
      <c r="CK178" s="184" t="n"/>
      <c r="CL178" s="184" t="n"/>
      <c r="CM178" s="184" t="n"/>
      <c r="CN178" s="184" t="n"/>
      <c r="CO178" s="184" t="n"/>
      <c r="CP178" s="184" t="n"/>
      <c r="CQ178" s="184" t="n"/>
      <c r="CR178" s="184" t="n"/>
      <c r="CS178" s="184" t="n"/>
      <c r="CT178" s="184" t="n"/>
      <c r="CU178" s="184" t="n"/>
      <c r="CV178" s="184" t="n"/>
      <c r="CW178" s="184" t="n"/>
      <c r="CX178" s="184" t="n"/>
      <c r="CY178" s="184" t="n"/>
      <c r="CZ178" s="184" t="n"/>
      <c r="DA178" s="184" t="n"/>
      <c r="DB178" s="184" t="n"/>
      <c r="DC178" s="184" t="n"/>
      <c r="DD178" s="184" t="n"/>
      <c r="DE178" s="184" t="n"/>
      <c r="DF178" s="184" t="n"/>
      <c r="DG178" s="184" t="n"/>
      <c r="DH178" s="184" t="n"/>
      <c r="DI178" s="184" t="n"/>
      <c r="DJ178" s="184" t="n"/>
      <c r="DK178" s="184" t="n"/>
      <c r="DL178" s="184" t="n"/>
      <c r="DM178" s="184" t="n"/>
      <c r="DN178" s="184" t="n"/>
      <c r="DO178" s="184" t="n"/>
      <c r="DP178" s="184" t="n"/>
      <c r="DQ178" s="184" t="n"/>
      <c r="DR178" s="184" t="n"/>
      <c r="DS178" s="184" t="n"/>
      <c r="DT178" s="184" t="n"/>
      <c r="DU178" s="184" t="n"/>
      <c r="DV178" s="184" t="n"/>
      <c r="DW178" s="184" t="n"/>
      <c r="DX178" s="184" t="n"/>
      <c r="DY178" s="184" t="n"/>
      <c r="DZ178" s="184" t="n"/>
      <c r="EA178" s="184" t="n"/>
      <c r="EB178" s="184" t="n"/>
      <c r="EC178" s="184" t="n"/>
      <c r="ED178" s="184" t="n"/>
      <c r="EE178" s="184" t="n"/>
      <c r="EF178" s="184" t="n"/>
      <c r="EG178" s="184" t="n"/>
      <c r="EH178" s="184" t="n"/>
      <c r="EI178" s="184" t="n"/>
      <c r="EJ178" s="184" t="n"/>
      <c r="EK178" s="184" t="n"/>
      <c r="EL178" s="184" t="n"/>
      <c r="EM178" s="184" t="n"/>
      <c r="EN178" s="184" t="n"/>
      <c r="EO178" s="184" t="n"/>
      <c r="EP178" s="184" t="n"/>
    </row>
    <row r="179" ht="16.5" customFormat="1" customHeight="1" s="189" thickBot="1">
      <c r="A179" s="184" t="n"/>
      <c r="B179" s="184" t="n">
        <v>36</v>
      </c>
      <c r="C179" s="184" t="n"/>
      <c r="D179" s="652" t="n"/>
      <c r="E179" s="501" t="n"/>
      <c r="F179" s="503">
        <f>IF(ISNUMBER(E179),IF('Identificación del Instrumento'!$F$17="PRIMITIVA","",IF($G$59="DISCONTINUA",$E$84/2,0)),"")</f>
        <v/>
      </c>
      <c r="G179" s="501" t="n"/>
      <c r="H179" s="503">
        <f>IF(ISNUMBER(G179),IF('Identificación del Instrumento'!$F$17="PRIMITIVA","",IF($G$59="DISCONTINUA",$E$84/2,0)),"")</f>
        <v/>
      </c>
      <c r="I179" s="500">
        <f>IF(AND(ISNUMBER(B179),ISNUMBER(D179),ISNUMBER(E179),$B$59=1),IF($G$59="discontinua",(E179-D179),(E179-D179)),"")</f>
        <v/>
      </c>
      <c r="J179" s="500">
        <f>IF(AND(ISNUMBER(B179),ISNUMBER(D179),ISNUMBER(G179),$B$59=1),IF($G$59="discontinua",(G179-D179),(G179-D179)),"")</f>
        <v/>
      </c>
      <c r="K179" s="500">
        <f>IF(AND(ISNUMBER(I179),ISNUMBER(J179)),ABS(J179-I179),"")</f>
        <v/>
      </c>
      <c r="L179" s="500">
        <f>IF(AND(ISNUMBER(B179),ISNUMBER(D179),ISNUMBER(E179),ISNUMBER(F179),$B$59=1),IF($G$59="discontinua",(E179+($H$136/2)-F179-D179),(E179-F179-D179)),"")</f>
        <v/>
      </c>
      <c r="M179" s="500">
        <f>IF(AND(ISNUMBER(B179),ISNUMBER(D179),ISNUMBER(G179),ISNUMBER(H179),$B$59=1),IF($G$59="discontinua",(G179+($H$136/2)-H179-D179),(G179-H179-D179)),"")</f>
        <v/>
      </c>
      <c r="N179" s="184" t="n"/>
      <c r="O179" s="248" t="n"/>
      <c r="P179" s="38">
        <f>IF(ISNUMBER(E179),$E$18/SQRT(12),"")</f>
        <v/>
      </c>
      <c r="Q179" s="38">
        <f>IF(ISNUMBER(E179),MAX(K$96,K$120,K$108,K$132)/SQRT(12),"")</f>
        <v/>
      </c>
      <c r="R179" s="38">
        <f>B179*0.05/2</f>
        <v/>
      </c>
      <c r="S179" s="185" t="n">
        <v>0</v>
      </c>
      <c r="T179" s="38">
        <f>IF(ISNUMBER(E179),2*SQRT(SUMSQ(P179,Q179,R179,S179)),"")</f>
        <v/>
      </c>
      <c r="U179" s="342">
        <f>IF(ISNUMBER(E179),IF(D179&lt;=$F$49,I$49,IF(D179&lt;=$F$50,$I$50,$I$51)),"")</f>
        <v/>
      </c>
      <c r="V179" s="343">
        <f>IF(ISNUMBER(I179),IF('Identificación del Instrumento'!$B$17="periódica",IF(ABS(I179)&lt;=U179,0,1),IF(ABS(L179)&lt;=U179,0,1)),"")</f>
        <v/>
      </c>
      <c r="W179" s="184" t="n"/>
      <c r="X179" s="184" t="n"/>
      <c r="Y179" s="184" t="n"/>
      <c r="Z179" s="184" t="n"/>
      <c r="AA179" s="184" t="n"/>
      <c r="AB179" s="184" t="n"/>
      <c r="AC179" s="61" t="n"/>
      <c r="AD179" s="1298" t="n"/>
      <c r="AE179" s="184" t="n"/>
      <c r="AF179" s="184" t="n"/>
      <c r="AG179" s="1298" t="n"/>
      <c r="AH179" s="184" t="n"/>
      <c r="AI179" s="60" t="n"/>
      <c r="AJ179" s="1298" t="n"/>
      <c r="AK179" s="1298" t="n"/>
      <c r="AL179" s="1298" t="n"/>
      <c r="AM179" s="1298" t="n"/>
      <c r="AN179" s="1298" t="n"/>
      <c r="AO179" s="184" t="n"/>
      <c r="AP179" s="184" t="n"/>
      <c r="AQ179" s="184" t="n"/>
      <c r="AR179" s="184" t="n"/>
      <c r="AS179" s="184" t="n"/>
      <c r="AT179" s="184" t="n"/>
      <c r="AU179" s="184" t="n"/>
      <c r="AV179" s="184" t="n"/>
      <c r="AW179" s="184" t="n"/>
      <c r="AX179" s="184" t="n"/>
      <c r="AY179" s="184" t="n"/>
      <c r="AZ179" s="184" t="n"/>
      <c r="BA179" s="184" t="n"/>
      <c r="BB179" s="184" t="n"/>
      <c r="BC179" s="184" t="n"/>
      <c r="BD179" s="184" t="n"/>
      <c r="BE179" s="184" t="n"/>
      <c r="BF179" s="184" t="n"/>
      <c r="BG179" s="184" t="n"/>
      <c r="BH179" s="184" t="n"/>
      <c r="BI179" s="184" t="n"/>
      <c r="BJ179" s="184" t="n"/>
      <c r="BK179" s="184" t="n"/>
      <c r="BL179" s="184" t="n"/>
      <c r="BM179" s="184" t="n"/>
      <c r="BN179" s="184" t="n"/>
      <c r="BO179" s="184" t="n"/>
      <c r="BP179" s="184" t="n"/>
      <c r="BQ179" s="184" t="n"/>
      <c r="BR179" s="184" t="n"/>
      <c r="BS179" s="184" t="n"/>
      <c r="BT179" s="184" t="n"/>
      <c r="BU179" s="184" t="n"/>
      <c r="BV179" s="184" t="n"/>
      <c r="BW179" s="184" t="n"/>
      <c r="BX179" s="184" t="n"/>
      <c r="BY179" s="184" t="n"/>
      <c r="BZ179" s="184" t="n"/>
      <c r="CA179" s="184" t="n"/>
      <c r="CB179" s="184" t="n"/>
      <c r="CC179" s="184" t="n"/>
      <c r="CD179" s="184" t="n"/>
      <c r="CE179" s="184" t="n"/>
      <c r="CF179" s="184" t="n"/>
      <c r="CG179" s="184" t="n"/>
      <c r="CH179" s="184" t="n"/>
      <c r="CI179" s="184" t="n"/>
      <c r="CJ179" s="184" t="n"/>
      <c r="CK179" s="184" t="n"/>
      <c r="CL179" s="184" t="n"/>
      <c r="CM179" s="184" t="n"/>
      <c r="CN179" s="184" t="n"/>
      <c r="CO179" s="184" t="n"/>
      <c r="CP179" s="184" t="n"/>
      <c r="CQ179" s="184" t="n"/>
      <c r="CR179" s="184" t="n"/>
      <c r="CS179" s="184" t="n"/>
      <c r="CT179" s="184" t="n"/>
      <c r="CU179" s="184" t="n"/>
      <c r="CV179" s="184" t="n"/>
      <c r="CW179" s="184" t="n"/>
      <c r="CX179" s="184" t="n"/>
      <c r="CY179" s="184" t="n"/>
      <c r="CZ179" s="184" t="n"/>
      <c r="DA179" s="184" t="n"/>
      <c r="DB179" s="184" t="n"/>
      <c r="DC179" s="184" t="n"/>
      <c r="DD179" s="184" t="n"/>
      <c r="DE179" s="184" t="n"/>
      <c r="DF179" s="184" t="n"/>
      <c r="DG179" s="184" t="n"/>
      <c r="DH179" s="184" t="n"/>
      <c r="DI179" s="184" t="n"/>
      <c r="DJ179" s="184" t="n"/>
      <c r="DK179" s="184" t="n"/>
      <c r="DL179" s="184" t="n"/>
      <c r="DM179" s="184" t="n"/>
      <c r="DN179" s="184" t="n"/>
      <c r="DO179" s="184" t="n"/>
      <c r="DP179" s="184" t="n"/>
      <c r="DQ179" s="184" t="n"/>
      <c r="DR179" s="184" t="n"/>
      <c r="DS179" s="184" t="n"/>
      <c r="DT179" s="184" t="n"/>
      <c r="DU179" s="184" t="n"/>
      <c r="DV179" s="184" t="n"/>
      <c r="DW179" s="184" t="n"/>
      <c r="DX179" s="184" t="n"/>
      <c r="DY179" s="184" t="n"/>
      <c r="DZ179" s="184" t="n"/>
      <c r="EA179" s="184" t="n"/>
      <c r="EB179" s="184" t="n"/>
      <c r="EC179" s="184" t="n"/>
      <c r="ED179" s="184" t="n"/>
      <c r="EE179" s="184" t="n"/>
      <c r="EF179" s="184" t="n"/>
      <c r="EG179" s="184" t="n"/>
      <c r="EH179" s="184" t="n"/>
      <c r="EI179" s="184" t="n"/>
      <c r="EJ179" s="184" t="n"/>
      <c r="EK179" s="184" t="n"/>
      <c r="EL179" s="184" t="n"/>
      <c r="EM179" s="184" t="n"/>
      <c r="EN179" s="184" t="n"/>
      <c r="EO179" s="184" t="n"/>
      <c r="EP179" s="184" t="n"/>
    </row>
    <row r="180" ht="16.5" customFormat="1" customHeight="1" s="189" thickBot="1">
      <c r="A180" s="184" t="n"/>
      <c r="B180" s="184" t="n">
        <v>37</v>
      </c>
      <c r="C180" s="184" t="n"/>
      <c r="D180" s="652" t="n"/>
      <c r="E180" s="501" t="n"/>
      <c r="F180" s="503">
        <f>IF(ISNUMBER(E180),IF('Identificación del Instrumento'!$F$17="PRIMITIVA","",IF($G$59="DISCONTINUA",$E$84/2,0)),"")</f>
        <v/>
      </c>
      <c r="G180" s="501" t="n"/>
      <c r="H180" s="503">
        <f>IF(ISNUMBER(G180),IF('Identificación del Instrumento'!$F$17="PRIMITIVA","",IF($G$59="DISCONTINUA",$E$84/2,0)),"")</f>
        <v/>
      </c>
      <c r="I180" s="500">
        <f>IF(AND(ISNUMBER(B180),ISNUMBER(D180),ISNUMBER(E180),$B$59=1),IF($G$59="discontinua",(E180-D180),(E180-D180)),"")</f>
        <v/>
      </c>
      <c r="J180" s="500">
        <f>IF(AND(ISNUMBER(B180),ISNUMBER(D180),ISNUMBER(G180),$B$59=1),IF($G$59="discontinua",(G180-D180),(G180-D180)),"")</f>
        <v/>
      </c>
      <c r="K180" s="500">
        <f>IF(AND(ISNUMBER(I180),ISNUMBER(J180)),ABS(J180-I180),"")</f>
        <v/>
      </c>
      <c r="L180" s="500">
        <f>IF(AND(ISNUMBER(B180),ISNUMBER(D180),ISNUMBER(E180),ISNUMBER(F180),$B$59=1),IF($G$59="discontinua",(E180+($H$136/2)-F180-D180),(E180-F180-D180)),"")</f>
        <v/>
      </c>
      <c r="M180" s="500">
        <f>IF(AND(ISNUMBER(B180),ISNUMBER(D180),ISNUMBER(G180),ISNUMBER(H180),$B$59=1),IF($G$59="discontinua",(G180+($H$136/2)-H180-D180),(G180-H180-D180)),"")</f>
        <v/>
      </c>
      <c r="N180" s="184" t="n"/>
      <c r="O180" s="248" t="n"/>
      <c r="P180" s="38">
        <f>IF(ISNUMBER(E180),$E$18/SQRT(12),"")</f>
        <v/>
      </c>
      <c r="Q180" s="38">
        <f>IF(ISNUMBER(E180),MAX(K$96,K$120,K$108,K$132)/SQRT(12),"")</f>
        <v/>
      </c>
      <c r="R180" s="38">
        <f>B180*0.05/2</f>
        <v/>
      </c>
      <c r="S180" s="185" t="n">
        <v>0</v>
      </c>
      <c r="T180" s="38">
        <f>IF(ISNUMBER(E180),2*SQRT(SUMSQ(P180,Q180,R180,S180)),"")</f>
        <v/>
      </c>
      <c r="U180" s="342">
        <f>IF(ISNUMBER(E180),IF(D180&lt;=$F$49,I$49,IF(D180&lt;=$F$50,$I$50,$I$51)),"")</f>
        <v/>
      </c>
      <c r="V180" s="343">
        <f>IF(ISNUMBER(I180),IF('Identificación del Instrumento'!$B$17="periódica",IF(ABS(I180)&lt;=U180,0,1),IF(ABS(L180)&lt;=U180,0,1)),"")</f>
        <v/>
      </c>
      <c r="W180" s="184" t="n"/>
      <c r="X180" s="184" t="n"/>
      <c r="Y180" s="184" t="n"/>
      <c r="Z180" s="184" t="n"/>
      <c r="AA180" s="184" t="n"/>
      <c r="AB180" s="184" t="n"/>
      <c r="AC180" s="61" t="n"/>
      <c r="AD180" s="1298" t="n"/>
      <c r="AE180" s="184" t="n"/>
      <c r="AF180" s="184" t="n"/>
      <c r="AG180" s="1298" t="n"/>
      <c r="AH180" s="184" t="n"/>
      <c r="AI180" s="60" t="n"/>
      <c r="AJ180" s="1298" t="n"/>
      <c r="AK180" s="1298" t="n"/>
      <c r="AL180" s="1298" t="n"/>
      <c r="AM180" s="1298" t="n"/>
      <c r="AN180" s="1298" t="n"/>
      <c r="AO180" s="184" t="n"/>
      <c r="AP180" s="184" t="n"/>
      <c r="AQ180" s="184" t="n"/>
      <c r="AR180" s="184" t="n"/>
      <c r="AS180" s="184" t="n"/>
      <c r="AT180" s="184" t="n"/>
      <c r="AU180" s="184" t="n"/>
      <c r="AV180" s="184" t="n"/>
      <c r="AW180" s="184" t="n"/>
      <c r="AX180" s="184" t="n"/>
      <c r="AY180" s="184" t="n"/>
      <c r="AZ180" s="184" t="n"/>
      <c r="BA180" s="184" t="n"/>
      <c r="BB180" s="184" t="n"/>
      <c r="BC180" s="184" t="n"/>
      <c r="BD180" s="184" t="n"/>
      <c r="BE180" s="184" t="n"/>
      <c r="BF180" s="184" t="n"/>
      <c r="BG180" s="184" t="n"/>
      <c r="BH180" s="184" t="n"/>
      <c r="BI180" s="184" t="n"/>
      <c r="BJ180" s="184" t="n"/>
      <c r="BK180" s="184" t="n"/>
      <c r="BL180" s="184" t="n"/>
      <c r="BM180" s="184" t="n"/>
      <c r="BN180" s="184" t="n"/>
      <c r="BO180" s="184" t="n"/>
      <c r="BP180" s="184" t="n"/>
      <c r="BQ180" s="184" t="n"/>
      <c r="BR180" s="184" t="n"/>
      <c r="BS180" s="184" t="n"/>
      <c r="BT180" s="184" t="n"/>
      <c r="BU180" s="184" t="n"/>
      <c r="BV180" s="184" t="n"/>
      <c r="BW180" s="184" t="n"/>
      <c r="BX180" s="184" t="n"/>
      <c r="BY180" s="184" t="n"/>
      <c r="BZ180" s="184" t="n"/>
      <c r="CA180" s="184" t="n"/>
      <c r="CB180" s="184" t="n"/>
      <c r="CC180" s="184" t="n"/>
      <c r="CD180" s="184" t="n"/>
      <c r="CE180" s="184" t="n"/>
      <c r="CF180" s="184" t="n"/>
      <c r="CG180" s="184" t="n"/>
      <c r="CH180" s="184" t="n"/>
      <c r="CI180" s="184" t="n"/>
      <c r="CJ180" s="184" t="n"/>
      <c r="CK180" s="184" t="n"/>
      <c r="CL180" s="184" t="n"/>
      <c r="CM180" s="184" t="n"/>
      <c r="CN180" s="184" t="n"/>
      <c r="CO180" s="184" t="n"/>
      <c r="CP180" s="184" t="n"/>
      <c r="CQ180" s="184" t="n"/>
      <c r="CR180" s="184" t="n"/>
      <c r="CS180" s="184" t="n"/>
      <c r="CT180" s="184" t="n"/>
      <c r="CU180" s="184" t="n"/>
      <c r="CV180" s="184" t="n"/>
      <c r="CW180" s="184" t="n"/>
      <c r="CX180" s="184" t="n"/>
      <c r="CY180" s="184" t="n"/>
      <c r="CZ180" s="184" t="n"/>
      <c r="DA180" s="184" t="n"/>
      <c r="DB180" s="184" t="n"/>
      <c r="DC180" s="184" t="n"/>
      <c r="DD180" s="184" t="n"/>
      <c r="DE180" s="184" t="n"/>
      <c r="DF180" s="184" t="n"/>
      <c r="DG180" s="184" t="n"/>
      <c r="DH180" s="184" t="n"/>
      <c r="DI180" s="184" t="n"/>
      <c r="DJ180" s="184" t="n"/>
      <c r="DK180" s="184" t="n"/>
      <c r="DL180" s="184" t="n"/>
      <c r="DM180" s="184" t="n"/>
      <c r="DN180" s="184" t="n"/>
      <c r="DO180" s="184" t="n"/>
      <c r="DP180" s="184" t="n"/>
      <c r="DQ180" s="184" t="n"/>
      <c r="DR180" s="184" t="n"/>
      <c r="DS180" s="184" t="n"/>
      <c r="DT180" s="184" t="n"/>
      <c r="DU180" s="184" t="n"/>
      <c r="DV180" s="184" t="n"/>
      <c r="DW180" s="184" t="n"/>
      <c r="DX180" s="184" t="n"/>
      <c r="DY180" s="184" t="n"/>
      <c r="DZ180" s="184" t="n"/>
      <c r="EA180" s="184" t="n"/>
      <c r="EB180" s="184" t="n"/>
      <c r="EC180" s="184" t="n"/>
      <c r="ED180" s="184" t="n"/>
      <c r="EE180" s="184" t="n"/>
      <c r="EF180" s="184" t="n"/>
      <c r="EG180" s="184" t="n"/>
      <c r="EH180" s="184" t="n"/>
      <c r="EI180" s="184" t="n"/>
      <c r="EJ180" s="184" t="n"/>
      <c r="EK180" s="184" t="n"/>
      <c r="EL180" s="184" t="n"/>
      <c r="EM180" s="184" t="n"/>
      <c r="EN180" s="184" t="n"/>
      <c r="EO180" s="184" t="n"/>
      <c r="EP180" s="184" t="n"/>
    </row>
    <row r="181" ht="16.5" customFormat="1" customHeight="1" s="189" thickBot="1">
      <c r="A181" s="184" t="n"/>
      <c r="B181" s="184" t="n">
        <v>38</v>
      </c>
      <c r="C181" s="184" t="n"/>
      <c r="D181" s="652" t="n"/>
      <c r="E181" s="501" t="n"/>
      <c r="F181" s="503">
        <f>IF(ISNUMBER(E181),IF('Identificación del Instrumento'!$F$17="PRIMITIVA","",IF($G$59="DISCONTINUA",$E$84/2,0)),"")</f>
        <v/>
      </c>
      <c r="G181" s="501" t="n"/>
      <c r="H181" s="503">
        <f>IF(ISNUMBER(G181),IF('Identificación del Instrumento'!$F$17="PRIMITIVA","",IF($G$59="DISCONTINUA",$E$84/2,0)),"")</f>
        <v/>
      </c>
      <c r="I181" s="500">
        <f>IF(AND(ISNUMBER(B181),ISNUMBER(D181),ISNUMBER(E181),$B$59=1),IF($G$59="discontinua",(E181-D181),(E181-D181)),"")</f>
        <v/>
      </c>
      <c r="J181" s="500">
        <f>IF(AND(ISNUMBER(B181),ISNUMBER(D181),ISNUMBER(G181),$B$59=1),IF($G$59="discontinua",(G181-D181),(G181-D181)),"")</f>
        <v/>
      </c>
      <c r="K181" s="500">
        <f>IF(AND(ISNUMBER(I181),ISNUMBER(J181)),ABS(J181-I181),"")</f>
        <v/>
      </c>
      <c r="L181" s="500">
        <f>IF(AND(ISNUMBER(B181),ISNUMBER(D181),ISNUMBER(E181),ISNUMBER(F181),$B$59=1),IF($G$59="discontinua",(E181+($H$136/2)-F181-D181),(E181-F181-D181)),"")</f>
        <v/>
      </c>
      <c r="M181" s="500">
        <f>IF(AND(ISNUMBER(B181),ISNUMBER(D181),ISNUMBER(G181),ISNUMBER(H181),$B$59=1),IF($G$59="discontinua",(G181+($H$136/2)-H181-D181),(G181-H181-D181)),"")</f>
        <v/>
      </c>
      <c r="N181" s="184" t="n"/>
      <c r="O181" s="248" t="n"/>
      <c r="P181" s="38">
        <f>IF(ISNUMBER(E181),$E$18/SQRT(12),"")</f>
        <v/>
      </c>
      <c r="Q181" s="38">
        <f>IF(ISNUMBER(E181),MAX(K$96,K$120,K$108,K$132)/SQRT(12),"")</f>
        <v/>
      </c>
      <c r="R181" s="38">
        <f>B181*0.05/2</f>
        <v/>
      </c>
      <c r="S181" s="185" t="n">
        <v>0</v>
      </c>
      <c r="T181" s="38">
        <f>IF(ISNUMBER(E181),2*SQRT(SUMSQ(P181,Q181,R181,S181)),"")</f>
        <v/>
      </c>
      <c r="U181" s="342">
        <f>IF(ISNUMBER(E181),IF(D181&lt;=$F$49,I$49,IF(D181&lt;=$F$50,$I$50,$I$51)),"")</f>
        <v/>
      </c>
      <c r="V181" s="343">
        <f>IF(ISNUMBER(I181),IF('Identificación del Instrumento'!$B$17="periódica",IF(ABS(I181)&lt;=U181,0,1),IF(ABS(L181)&lt;=U181,0,1)),"")</f>
        <v/>
      </c>
      <c r="W181" s="184" t="n"/>
      <c r="X181" s="184" t="n"/>
      <c r="Y181" s="184" t="n"/>
      <c r="Z181" s="184" t="n"/>
      <c r="AA181" s="184" t="n"/>
      <c r="AB181" s="184" t="n"/>
      <c r="AC181" s="61" t="n"/>
      <c r="AD181" s="1298" t="n"/>
      <c r="AE181" s="184" t="n"/>
      <c r="AF181" s="184" t="n"/>
      <c r="AG181" s="1298" t="n"/>
      <c r="AH181" s="184" t="n"/>
      <c r="AI181" s="60" t="n"/>
      <c r="AJ181" s="1298" t="n"/>
      <c r="AK181" s="1298" t="n"/>
      <c r="AL181" s="1298" t="n"/>
      <c r="AM181" s="1298" t="n"/>
      <c r="AN181" s="1298" t="n"/>
      <c r="AO181" s="184" t="n"/>
      <c r="AP181" s="184" t="n"/>
      <c r="AQ181" s="184" t="n"/>
      <c r="AR181" s="184" t="n"/>
      <c r="AS181" s="184" t="n"/>
      <c r="AT181" s="184" t="n"/>
      <c r="AU181" s="184" t="n"/>
      <c r="AV181" s="184" t="n"/>
      <c r="AW181" s="184" t="n"/>
      <c r="AX181" s="184" t="n"/>
      <c r="AY181" s="184" t="n"/>
      <c r="AZ181" s="184" t="n"/>
      <c r="BA181" s="184" t="n"/>
      <c r="BB181" s="184" t="n"/>
      <c r="BC181" s="184" t="n"/>
      <c r="BD181" s="184" t="n"/>
      <c r="BE181" s="184" t="n"/>
      <c r="BF181" s="184" t="n"/>
      <c r="BG181" s="184" t="n"/>
      <c r="BH181" s="184" t="n"/>
      <c r="BI181" s="184" t="n"/>
      <c r="BJ181" s="184" t="n"/>
      <c r="BK181" s="184" t="n"/>
      <c r="BL181" s="184" t="n"/>
      <c r="BM181" s="184" t="n"/>
      <c r="BN181" s="184" t="n"/>
      <c r="BO181" s="184" t="n"/>
      <c r="BP181" s="184" t="n"/>
      <c r="BQ181" s="184" t="n"/>
      <c r="BR181" s="184" t="n"/>
      <c r="BS181" s="184" t="n"/>
      <c r="BT181" s="184" t="n"/>
      <c r="BU181" s="184" t="n"/>
      <c r="BV181" s="184" t="n"/>
      <c r="BW181" s="184" t="n"/>
      <c r="BX181" s="184" t="n"/>
      <c r="BY181" s="184" t="n"/>
      <c r="BZ181" s="184" t="n"/>
      <c r="CA181" s="184" t="n"/>
      <c r="CB181" s="184" t="n"/>
      <c r="CC181" s="184" t="n"/>
      <c r="CD181" s="184" t="n"/>
      <c r="CE181" s="184" t="n"/>
      <c r="CF181" s="184" t="n"/>
      <c r="CG181" s="184" t="n"/>
      <c r="CH181" s="184" t="n"/>
      <c r="CI181" s="184" t="n"/>
      <c r="CJ181" s="184" t="n"/>
      <c r="CK181" s="184" t="n"/>
      <c r="CL181" s="184" t="n"/>
      <c r="CM181" s="184" t="n"/>
      <c r="CN181" s="184" t="n"/>
      <c r="CO181" s="184" t="n"/>
      <c r="CP181" s="184" t="n"/>
      <c r="CQ181" s="184" t="n"/>
      <c r="CR181" s="184" t="n"/>
      <c r="CS181" s="184" t="n"/>
      <c r="CT181" s="184" t="n"/>
      <c r="CU181" s="184" t="n"/>
      <c r="CV181" s="184" t="n"/>
      <c r="CW181" s="184" t="n"/>
      <c r="CX181" s="184" t="n"/>
      <c r="CY181" s="184" t="n"/>
      <c r="CZ181" s="184" t="n"/>
      <c r="DA181" s="184" t="n"/>
      <c r="DB181" s="184" t="n"/>
      <c r="DC181" s="184" t="n"/>
      <c r="DD181" s="184" t="n"/>
      <c r="DE181" s="184" t="n"/>
      <c r="DF181" s="184" t="n"/>
      <c r="DG181" s="184" t="n"/>
      <c r="DH181" s="184" t="n"/>
      <c r="DI181" s="184" t="n"/>
      <c r="DJ181" s="184" t="n"/>
      <c r="DK181" s="184" t="n"/>
      <c r="DL181" s="184" t="n"/>
      <c r="DM181" s="184" t="n"/>
      <c r="DN181" s="184" t="n"/>
      <c r="DO181" s="184" t="n"/>
      <c r="DP181" s="184" t="n"/>
      <c r="DQ181" s="184" t="n"/>
      <c r="DR181" s="184" t="n"/>
      <c r="DS181" s="184" t="n"/>
      <c r="DT181" s="184" t="n"/>
      <c r="DU181" s="184" t="n"/>
      <c r="DV181" s="184" t="n"/>
      <c r="DW181" s="184" t="n"/>
      <c r="DX181" s="184" t="n"/>
      <c r="DY181" s="184" t="n"/>
      <c r="DZ181" s="184" t="n"/>
      <c r="EA181" s="184" t="n"/>
      <c r="EB181" s="184" t="n"/>
      <c r="EC181" s="184" t="n"/>
      <c r="ED181" s="184" t="n"/>
      <c r="EE181" s="184" t="n"/>
      <c r="EF181" s="184" t="n"/>
      <c r="EG181" s="184" t="n"/>
      <c r="EH181" s="184" t="n"/>
      <c r="EI181" s="184" t="n"/>
      <c r="EJ181" s="184" t="n"/>
      <c r="EK181" s="184" t="n"/>
      <c r="EL181" s="184" t="n"/>
      <c r="EM181" s="184" t="n"/>
      <c r="EN181" s="184" t="n"/>
      <c r="EO181" s="184" t="n"/>
      <c r="EP181" s="184" t="n"/>
    </row>
    <row r="182" ht="16.5" customFormat="1" customHeight="1" s="189" thickBot="1">
      <c r="A182" s="184" t="n"/>
      <c r="B182" s="184" t="n">
        <v>39</v>
      </c>
      <c r="C182" s="184" t="n"/>
      <c r="D182" s="652" t="n"/>
      <c r="E182" s="501" t="n"/>
      <c r="F182" s="503">
        <f>IF(ISNUMBER(E182),IF('Identificación del Instrumento'!$F$17="PRIMITIVA","",IF($G$59="DISCONTINUA",$E$84/2,0)),"")</f>
        <v/>
      </c>
      <c r="G182" s="501" t="n"/>
      <c r="H182" s="503">
        <f>IF(ISNUMBER(G182),IF('Identificación del Instrumento'!$F$17="PRIMITIVA","",IF($G$59="DISCONTINUA",$E$84/2,0)),"")</f>
        <v/>
      </c>
      <c r="I182" s="500">
        <f>IF(AND(ISNUMBER(B182),ISNUMBER(D182),ISNUMBER(E182),$B$59=1),IF($G$59="discontinua",(E182-D182),(E182-D182)),"")</f>
        <v/>
      </c>
      <c r="J182" s="500">
        <f>IF(AND(ISNUMBER(B182),ISNUMBER(D182),ISNUMBER(G182),$B$59=1),IF($G$59="discontinua",(G182-D182),(G182-D182)),"")</f>
        <v/>
      </c>
      <c r="K182" s="500">
        <f>IF(AND(ISNUMBER(I182),ISNUMBER(J182)),ABS(J182-I182),"")</f>
        <v/>
      </c>
      <c r="L182" s="500">
        <f>IF(AND(ISNUMBER(B182),ISNUMBER(D182),ISNUMBER(E182),ISNUMBER(F182),$B$59=1),IF($G$59="discontinua",(E182+($H$136/2)-F182-D182),(E182-F182-D182)),"")</f>
        <v/>
      </c>
      <c r="M182" s="500">
        <f>IF(AND(ISNUMBER(B182),ISNUMBER(D182),ISNUMBER(G182),ISNUMBER(H182),$B$59=1),IF($G$59="discontinua",(G182+($H$136/2)-H182-D182),(G182-H182-D182)),"")</f>
        <v/>
      </c>
      <c r="N182" s="184" t="n"/>
      <c r="O182" s="248" t="n"/>
      <c r="P182" s="38">
        <f>IF(ISNUMBER(E182),$E$18/SQRT(12),"")</f>
        <v/>
      </c>
      <c r="Q182" s="38">
        <f>IF(ISNUMBER(E182),MAX(K$96,K$120,K$108,K$132)/SQRT(12),"")</f>
        <v/>
      </c>
      <c r="R182" s="38">
        <f>B182*0.05/2</f>
        <v/>
      </c>
      <c r="S182" s="185" t="n">
        <v>0</v>
      </c>
      <c r="T182" s="38">
        <f>IF(ISNUMBER(E182),2*SQRT(SUMSQ(P182,Q182,R182,S182)),"")</f>
        <v/>
      </c>
      <c r="U182" s="342">
        <f>IF(ISNUMBER(E182),IF(D182&lt;=$F$49,I$49,IF(D182&lt;=$F$50,$I$50,$I$51)),"")</f>
        <v/>
      </c>
      <c r="V182" s="343">
        <f>IF(ISNUMBER(I182),IF('Identificación del Instrumento'!$B$17="periódica",IF(ABS(I182)&lt;=U182,0,1),IF(ABS(L182)&lt;=U182,0,1)),"")</f>
        <v/>
      </c>
      <c r="W182" s="184" t="n"/>
      <c r="X182" s="184" t="n"/>
      <c r="Y182" s="184" t="n"/>
      <c r="Z182" s="184" t="n"/>
      <c r="AA182" s="184" t="n"/>
      <c r="AB182" s="184" t="n"/>
      <c r="AC182" s="61" t="n"/>
      <c r="AD182" s="1298" t="n"/>
      <c r="AE182" s="184" t="n"/>
      <c r="AF182" s="184" t="n"/>
      <c r="AG182" s="1298" t="n"/>
      <c r="AH182" s="184" t="n"/>
      <c r="AI182" s="60" t="n"/>
      <c r="AJ182" s="1298" t="n"/>
      <c r="AK182" s="1298" t="n"/>
      <c r="AL182" s="1298" t="n"/>
      <c r="AM182" s="1298" t="n"/>
      <c r="AN182" s="1298" t="n"/>
      <c r="AO182" s="184" t="n"/>
      <c r="AP182" s="184" t="n"/>
      <c r="AQ182" s="184" t="n"/>
      <c r="AR182" s="184" t="n"/>
      <c r="AS182" s="184" t="n"/>
      <c r="AT182" s="184" t="n"/>
      <c r="AU182" s="184" t="n"/>
      <c r="AV182" s="184" t="n"/>
      <c r="AW182" s="184" t="n"/>
      <c r="AX182" s="184" t="n"/>
      <c r="AY182" s="184" t="n"/>
      <c r="AZ182" s="184" t="n"/>
      <c r="BA182" s="184" t="n"/>
      <c r="BB182" s="184" t="n"/>
      <c r="BC182" s="184" t="n"/>
      <c r="BD182" s="184" t="n"/>
      <c r="BE182" s="184" t="n"/>
      <c r="BF182" s="184" t="n"/>
      <c r="BG182" s="184" t="n"/>
      <c r="BH182" s="184" t="n"/>
      <c r="BI182" s="184" t="n"/>
      <c r="BJ182" s="184" t="n"/>
      <c r="BK182" s="184" t="n"/>
      <c r="BL182" s="184" t="n"/>
      <c r="BM182" s="184" t="n"/>
      <c r="BN182" s="184" t="n"/>
      <c r="BO182" s="184" t="n"/>
      <c r="BP182" s="184" t="n"/>
      <c r="BQ182" s="184" t="n"/>
      <c r="BR182" s="184" t="n"/>
      <c r="BS182" s="184" t="n"/>
      <c r="BT182" s="184" t="n"/>
      <c r="BU182" s="184" t="n"/>
      <c r="BV182" s="184" t="n"/>
      <c r="BW182" s="184" t="n"/>
      <c r="BX182" s="184" t="n"/>
      <c r="BY182" s="184" t="n"/>
      <c r="BZ182" s="184" t="n"/>
      <c r="CA182" s="184" t="n"/>
      <c r="CB182" s="184" t="n"/>
      <c r="CC182" s="184" t="n"/>
      <c r="CD182" s="184" t="n"/>
      <c r="CE182" s="184" t="n"/>
      <c r="CF182" s="184" t="n"/>
      <c r="CG182" s="184" t="n"/>
      <c r="CH182" s="184" t="n"/>
      <c r="CI182" s="184" t="n"/>
      <c r="CJ182" s="184" t="n"/>
      <c r="CK182" s="184" t="n"/>
      <c r="CL182" s="184" t="n"/>
      <c r="CM182" s="184" t="n"/>
      <c r="CN182" s="184" t="n"/>
      <c r="CO182" s="184" t="n"/>
      <c r="CP182" s="184" t="n"/>
      <c r="CQ182" s="184" t="n"/>
      <c r="CR182" s="184" t="n"/>
      <c r="CS182" s="184" t="n"/>
      <c r="CT182" s="184" t="n"/>
      <c r="CU182" s="184" t="n"/>
      <c r="CV182" s="184" t="n"/>
      <c r="CW182" s="184" t="n"/>
      <c r="CX182" s="184" t="n"/>
      <c r="CY182" s="184" t="n"/>
      <c r="CZ182" s="184" t="n"/>
      <c r="DA182" s="184" t="n"/>
      <c r="DB182" s="184" t="n"/>
      <c r="DC182" s="184" t="n"/>
      <c r="DD182" s="184" t="n"/>
      <c r="DE182" s="184" t="n"/>
      <c r="DF182" s="184" t="n"/>
      <c r="DG182" s="184" t="n"/>
      <c r="DH182" s="184" t="n"/>
      <c r="DI182" s="184" t="n"/>
      <c r="DJ182" s="184" t="n"/>
      <c r="DK182" s="184" t="n"/>
      <c r="DL182" s="184" t="n"/>
      <c r="DM182" s="184" t="n"/>
      <c r="DN182" s="184" t="n"/>
      <c r="DO182" s="184" t="n"/>
      <c r="DP182" s="184" t="n"/>
      <c r="DQ182" s="184" t="n"/>
      <c r="DR182" s="184" t="n"/>
      <c r="DS182" s="184" t="n"/>
      <c r="DT182" s="184" t="n"/>
      <c r="DU182" s="184" t="n"/>
      <c r="DV182" s="184" t="n"/>
      <c r="DW182" s="184" t="n"/>
      <c r="DX182" s="184" t="n"/>
      <c r="DY182" s="184" t="n"/>
      <c r="DZ182" s="184" t="n"/>
      <c r="EA182" s="184" t="n"/>
      <c r="EB182" s="184" t="n"/>
      <c r="EC182" s="184" t="n"/>
      <c r="ED182" s="184" t="n"/>
      <c r="EE182" s="184" t="n"/>
      <c r="EF182" s="184" t="n"/>
      <c r="EG182" s="184" t="n"/>
      <c r="EH182" s="184" t="n"/>
      <c r="EI182" s="184" t="n"/>
      <c r="EJ182" s="184" t="n"/>
      <c r="EK182" s="184" t="n"/>
      <c r="EL182" s="184" t="n"/>
      <c r="EM182" s="184" t="n"/>
      <c r="EN182" s="184" t="n"/>
      <c r="EO182" s="184" t="n"/>
      <c r="EP182" s="184" t="n"/>
    </row>
    <row r="183" ht="16.5" customFormat="1" customHeight="1" s="189" thickBot="1">
      <c r="A183" s="184" t="n"/>
      <c r="B183" s="184" t="n">
        <v>40</v>
      </c>
      <c r="C183" s="184" t="n"/>
      <c r="D183" s="652" t="n"/>
      <c r="E183" s="501" t="n"/>
      <c r="F183" s="503">
        <f>IF(ISNUMBER(E183),IF('Identificación del Instrumento'!$F$17="PRIMITIVA","",IF($G$59="DISCONTINUA",$E$84/2,0)),"")</f>
        <v/>
      </c>
      <c r="G183" s="501" t="n"/>
      <c r="H183" s="503">
        <f>IF(ISNUMBER(G183),IF('Identificación del Instrumento'!$F$17="PRIMITIVA","",IF($G$59="DISCONTINUA",$E$84/2,0)),"")</f>
        <v/>
      </c>
      <c r="I183" s="500">
        <f>IF(AND(ISNUMBER(B183),ISNUMBER(D183),ISNUMBER(E183),$B$59=1),IF($G$59="discontinua",(E183-D183),(E183-D183)),"")</f>
        <v/>
      </c>
      <c r="J183" s="500">
        <f>IF(AND(ISNUMBER(B183),ISNUMBER(D183),ISNUMBER(G183),$B$59=1),IF($G$59="discontinua",(G183-D183),(G183-D183)),"")</f>
        <v/>
      </c>
      <c r="K183" s="500">
        <f>IF(AND(ISNUMBER(I183),ISNUMBER(J183)),ABS(J183-I183),"")</f>
        <v/>
      </c>
      <c r="L183" s="500">
        <f>IF(AND(ISNUMBER(B183),ISNUMBER(D183),ISNUMBER(E183),ISNUMBER(F183),$B$59=1),IF($G$59="discontinua",(E183+($H$136/2)-F183-D183),(E183-F183-D183)),"")</f>
        <v/>
      </c>
      <c r="M183" s="500">
        <f>IF(AND(ISNUMBER(B183),ISNUMBER(D183),ISNUMBER(G183),ISNUMBER(H183),$B$59=1),IF($G$59="discontinua",(G183+($H$136/2)-H183-D183),(G183-H183-D183)),"")</f>
        <v/>
      </c>
      <c r="N183" s="184" t="n"/>
      <c r="O183" s="248" t="n"/>
      <c r="P183" s="38">
        <f>IF(ISNUMBER(E183),$E$18/SQRT(12),"")</f>
        <v/>
      </c>
      <c r="Q183" s="38">
        <f>IF(ISNUMBER(E183),MAX(K$96,K$120,K$108,K$132)/SQRT(12),"")</f>
        <v/>
      </c>
      <c r="R183" s="38">
        <f>B183*0.05/2</f>
        <v/>
      </c>
      <c r="S183" s="185" t="n">
        <v>0</v>
      </c>
      <c r="T183" s="38">
        <f>IF(ISNUMBER(E183),2*SQRT(SUMSQ(P183,Q183,R183,S183)),"")</f>
        <v/>
      </c>
      <c r="U183" s="342">
        <f>IF(ISNUMBER(E183),IF(D183&lt;=$F$49,I$49,IF(D183&lt;=$F$50,$I$50,$I$51)),"")</f>
        <v/>
      </c>
      <c r="V183" s="343">
        <f>IF(ISNUMBER(I183),IF('Identificación del Instrumento'!$B$17="periódica",IF(ABS(I183)&lt;=U183,0,1),IF(ABS(L183)&lt;=U183,0,1)),"")</f>
        <v/>
      </c>
      <c r="W183" s="184" t="n"/>
      <c r="X183" s="184" t="n"/>
      <c r="Y183" s="184" t="n"/>
      <c r="Z183" s="184" t="n"/>
      <c r="AA183" s="184" t="n"/>
      <c r="AB183" s="184" t="n"/>
      <c r="AC183" s="61" t="n"/>
      <c r="AD183" s="1298" t="n"/>
      <c r="AE183" s="184" t="n"/>
      <c r="AF183" s="184" t="n"/>
      <c r="AG183" s="1298" t="n"/>
      <c r="AH183" s="184" t="n"/>
      <c r="AI183" s="60" t="n"/>
      <c r="AJ183" s="1298" t="n"/>
      <c r="AK183" s="1298" t="n"/>
      <c r="AL183" s="1298" t="n"/>
      <c r="AM183" s="1298" t="n"/>
      <c r="AN183" s="1298" t="n"/>
      <c r="AO183" s="184" t="n"/>
      <c r="AP183" s="184" t="n"/>
      <c r="AQ183" s="184" t="n"/>
      <c r="AR183" s="184" t="n"/>
      <c r="AS183" s="184" t="n"/>
      <c r="AT183" s="184" t="n"/>
      <c r="AU183" s="184" t="n"/>
      <c r="AV183" s="184" t="n"/>
      <c r="AW183" s="184" t="n"/>
      <c r="AX183" s="184" t="n"/>
      <c r="AY183" s="184" t="n"/>
      <c r="AZ183" s="184" t="n"/>
      <c r="BA183" s="184" t="n"/>
      <c r="BB183" s="184" t="n"/>
      <c r="BC183" s="184" t="n"/>
      <c r="BD183" s="184" t="n"/>
      <c r="BE183" s="184" t="n"/>
      <c r="BF183" s="184" t="n"/>
      <c r="BG183" s="184" t="n"/>
      <c r="BH183" s="184" t="n"/>
      <c r="BI183" s="184" t="n"/>
      <c r="BJ183" s="184" t="n"/>
      <c r="BK183" s="184" t="n"/>
      <c r="BL183" s="184" t="n"/>
      <c r="BM183" s="184" t="n"/>
      <c r="BN183" s="184" t="n"/>
      <c r="BO183" s="184" t="n"/>
      <c r="BP183" s="184" t="n"/>
      <c r="BQ183" s="184" t="n"/>
      <c r="BR183" s="184" t="n"/>
      <c r="BS183" s="184" t="n"/>
      <c r="BT183" s="184" t="n"/>
      <c r="BU183" s="184" t="n"/>
      <c r="BV183" s="184" t="n"/>
      <c r="BW183" s="184" t="n"/>
      <c r="BX183" s="184" t="n"/>
      <c r="BY183" s="184" t="n"/>
      <c r="BZ183" s="184" t="n"/>
      <c r="CA183" s="184" t="n"/>
      <c r="CB183" s="184" t="n"/>
      <c r="CC183" s="184" t="n"/>
      <c r="CD183" s="184" t="n"/>
      <c r="CE183" s="184" t="n"/>
      <c r="CF183" s="184" t="n"/>
      <c r="CG183" s="184" t="n"/>
      <c r="CH183" s="184" t="n"/>
      <c r="CI183" s="184" t="n"/>
      <c r="CJ183" s="184" t="n"/>
      <c r="CK183" s="184" t="n"/>
      <c r="CL183" s="184" t="n"/>
      <c r="CM183" s="184" t="n"/>
      <c r="CN183" s="184" t="n"/>
      <c r="CO183" s="184" t="n"/>
      <c r="CP183" s="184" t="n"/>
      <c r="CQ183" s="184" t="n"/>
      <c r="CR183" s="184" t="n"/>
      <c r="CS183" s="184" t="n"/>
      <c r="CT183" s="184" t="n"/>
      <c r="CU183" s="184" t="n"/>
      <c r="CV183" s="184" t="n"/>
      <c r="CW183" s="184" t="n"/>
      <c r="CX183" s="184" t="n"/>
      <c r="CY183" s="184" t="n"/>
      <c r="CZ183" s="184" t="n"/>
      <c r="DA183" s="184" t="n"/>
      <c r="DB183" s="184" t="n"/>
      <c r="DC183" s="184" t="n"/>
      <c r="DD183" s="184" t="n"/>
      <c r="DE183" s="184" t="n"/>
      <c r="DF183" s="184" t="n"/>
      <c r="DG183" s="184" t="n"/>
      <c r="DH183" s="184" t="n"/>
      <c r="DI183" s="184" t="n"/>
      <c r="DJ183" s="184" t="n"/>
      <c r="DK183" s="184" t="n"/>
      <c r="DL183" s="184" t="n"/>
      <c r="DM183" s="184" t="n"/>
      <c r="DN183" s="184" t="n"/>
      <c r="DO183" s="184" t="n"/>
      <c r="DP183" s="184" t="n"/>
      <c r="DQ183" s="184" t="n"/>
      <c r="DR183" s="184" t="n"/>
      <c r="DS183" s="184" t="n"/>
      <c r="DT183" s="184" t="n"/>
      <c r="DU183" s="184" t="n"/>
      <c r="DV183" s="184" t="n"/>
      <c r="DW183" s="184" t="n"/>
      <c r="DX183" s="184" t="n"/>
      <c r="DY183" s="184" t="n"/>
      <c r="DZ183" s="184" t="n"/>
      <c r="EA183" s="184" t="n"/>
      <c r="EB183" s="184" t="n"/>
      <c r="EC183" s="184" t="n"/>
      <c r="ED183" s="184" t="n"/>
      <c r="EE183" s="184" t="n"/>
      <c r="EF183" s="184" t="n"/>
      <c r="EG183" s="184" t="n"/>
      <c r="EH183" s="184" t="n"/>
      <c r="EI183" s="184" t="n"/>
      <c r="EJ183" s="184" t="n"/>
      <c r="EK183" s="184" t="n"/>
      <c r="EL183" s="184" t="n"/>
      <c r="EM183" s="184" t="n"/>
      <c r="EN183" s="184" t="n"/>
      <c r="EO183" s="184" t="n"/>
      <c r="EP183" s="184" t="n"/>
    </row>
    <row r="184" ht="16.5" customFormat="1" customHeight="1" s="189" thickBot="1">
      <c r="A184" s="184" t="n"/>
      <c r="B184" s="184" t="n">
        <v>41</v>
      </c>
      <c r="C184" s="184" t="n"/>
      <c r="D184" s="652" t="n"/>
      <c r="E184" s="501" t="n"/>
      <c r="F184" s="503" t="n"/>
      <c r="G184" s="501" t="n"/>
      <c r="H184" s="503">
        <f>IF(ISNUMBER(G184),IF('Identificación del Instrumento'!$F$17="PRIMITIVA","",IF($G$59="DISCONTINUA",$E$84/2,0)),"")</f>
        <v/>
      </c>
      <c r="I184" s="500">
        <f>IF(AND(ISNUMBER(B184),ISNUMBER(D184),ISNUMBER(E184),$B$59=1),IF($G$59="discontinua",(E184-D184),(E184-D184)),"")</f>
        <v/>
      </c>
      <c r="J184" s="500">
        <f>IF(AND(ISNUMBER(B184),ISNUMBER(D184),ISNUMBER(G184),$B$59=1),IF($G$59="discontinua",(G184-D184),(G184-D184)),"")</f>
        <v/>
      </c>
      <c r="K184" s="500">
        <f>IF(AND(ISNUMBER(I184),ISNUMBER(J184)),ABS(J184-I184),"")</f>
        <v/>
      </c>
      <c r="L184" s="500">
        <f>IF(AND(ISNUMBER(B184),ISNUMBER(D184),ISNUMBER(E184),ISNUMBER(F184),$B$59=1),IF($G$59="discontinua",(E184+($H$136/2)-F184-D184),(E184-F184-D184)),"")</f>
        <v/>
      </c>
      <c r="M184" s="500">
        <f>IF(AND(ISNUMBER(B184),ISNUMBER(D184),ISNUMBER(G184),ISNUMBER(H184),$B$59=1),IF($G$59="discontinua",(G184+($H$136/2)-H184-D184),(G184-H184-D184)),"")</f>
        <v/>
      </c>
      <c r="N184" s="184" t="n"/>
      <c r="O184" s="248" t="n"/>
      <c r="P184" s="38">
        <f>IF(ISNUMBER(E184),$E$18/SQRT(12),"")</f>
        <v/>
      </c>
      <c r="Q184" s="38">
        <f>IF(ISNUMBER(E184),MAX(K$96,K$120,K$108,K$132)/SQRT(12),"")</f>
        <v/>
      </c>
      <c r="R184" s="38">
        <f>B184*0.05/2</f>
        <v/>
      </c>
      <c r="S184" s="185" t="n">
        <v>0</v>
      </c>
      <c r="T184" s="38">
        <f>IF(ISNUMBER(E184),2*SQRT(SUMSQ(P184,Q184,R184,S184)),"")</f>
        <v/>
      </c>
      <c r="U184" s="342">
        <f>IF(ISNUMBER(E184),IF(D184&lt;=$F$49,I$49,IF(D184&lt;=$F$50,$I$50,$I$51)),"")</f>
        <v/>
      </c>
      <c r="V184" s="343">
        <f>IF(ISNUMBER(I184),IF('Identificación del Instrumento'!$B$17="periódica",IF(ABS(I184)&lt;=U184,0,1),IF(ABS(L184)&lt;=U184,0,1)),"")</f>
        <v/>
      </c>
      <c r="W184" s="184" t="n"/>
      <c r="X184" s="184" t="n"/>
      <c r="Y184" s="184" t="n"/>
      <c r="Z184" s="184" t="n"/>
      <c r="AA184" s="184" t="n"/>
      <c r="AB184" s="184" t="n"/>
      <c r="AC184" s="61" t="n"/>
      <c r="AD184" s="1298" t="n"/>
      <c r="AE184" s="184" t="n"/>
      <c r="AF184" s="184" t="n"/>
      <c r="AG184" s="1298" t="n"/>
      <c r="AH184" s="184" t="n"/>
      <c r="AI184" s="60" t="n"/>
      <c r="AJ184" s="1298" t="n"/>
      <c r="AK184" s="1298" t="n"/>
      <c r="AL184" s="1298" t="n"/>
      <c r="AM184" s="1298" t="n"/>
      <c r="AN184" s="1298" t="n"/>
      <c r="AO184" s="184" t="n"/>
      <c r="AP184" s="184" t="n"/>
      <c r="AQ184" s="184" t="n"/>
      <c r="AR184" s="184" t="n"/>
      <c r="AS184" s="184" t="n"/>
      <c r="AT184" s="184" t="n"/>
      <c r="AU184" s="184" t="n"/>
      <c r="AV184" s="184" t="n"/>
      <c r="AW184" s="184" t="n"/>
      <c r="AX184" s="184" t="n"/>
      <c r="AY184" s="184" t="n"/>
      <c r="AZ184" s="184" t="n"/>
      <c r="BA184" s="184" t="n"/>
      <c r="BB184" s="184" t="n"/>
      <c r="BC184" s="184" t="n"/>
      <c r="BD184" s="184" t="n"/>
      <c r="BE184" s="184" t="n"/>
      <c r="BF184" s="184" t="n"/>
      <c r="BG184" s="184" t="n"/>
      <c r="BH184" s="184" t="n"/>
      <c r="BI184" s="184" t="n"/>
      <c r="BJ184" s="184" t="n"/>
      <c r="BK184" s="184" t="n"/>
      <c r="BL184" s="184" t="n"/>
      <c r="BM184" s="184" t="n"/>
      <c r="BN184" s="184" t="n"/>
      <c r="BO184" s="184" t="n"/>
      <c r="BP184" s="184" t="n"/>
      <c r="BQ184" s="184" t="n"/>
      <c r="BR184" s="184" t="n"/>
      <c r="BS184" s="184" t="n"/>
      <c r="BT184" s="184" t="n"/>
      <c r="BU184" s="184" t="n"/>
      <c r="BV184" s="184" t="n"/>
      <c r="BW184" s="184" t="n"/>
      <c r="BX184" s="184" t="n"/>
      <c r="BY184" s="184" t="n"/>
      <c r="BZ184" s="184" t="n"/>
      <c r="CA184" s="184" t="n"/>
      <c r="CB184" s="184" t="n"/>
      <c r="CC184" s="184" t="n"/>
      <c r="CD184" s="184" t="n"/>
      <c r="CE184" s="184" t="n"/>
      <c r="CF184" s="184" t="n"/>
      <c r="CG184" s="184" t="n"/>
      <c r="CH184" s="184" t="n"/>
      <c r="CI184" s="184" t="n"/>
      <c r="CJ184" s="184" t="n"/>
      <c r="CK184" s="184" t="n"/>
      <c r="CL184" s="184" t="n"/>
      <c r="CM184" s="184" t="n"/>
      <c r="CN184" s="184" t="n"/>
      <c r="CO184" s="184" t="n"/>
      <c r="CP184" s="184" t="n"/>
      <c r="CQ184" s="184" t="n"/>
      <c r="CR184" s="184" t="n"/>
      <c r="CS184" s="184" t="n"/>
      <c r="CT184" s="184" t="n"/>
      <c r="CU184" s="184" t="n"/>
      <c r="CV184" s="184" t="n"/>
      <c r="CW184" s="184" t="n"/>
      <c r="CX184" s="184" t="n"/>
      <c r="CY184" s="184" t="n"/>
      <c r="CZ184" s="184" t="n"/>
      <c r="DA184" s="184" t="n"/>
      <c r="DB184" s="184" t="n"/>
      <c r="DC184" s="184" t="n"/>
      <c r="DD184" s="184" t="n"/>
      <c r="DE184" s="184" t="n"/>
      <c r="DF184" s="184" t="n"/>
      <c r="DG184" s="184" t="n"/>
      <c r="DH184" s="184" t="n"/>
      <c r="DI184" s="184" t="n"/>
      <c r="DJ184" s="184" t="n"/>
      <c r="DK184" s="184" t="n"/>
      <c r="DL184" s="184" t="n"/>
      <c r="DM184" s="184" t="n"/>
      <c r="DN184" s="184" t="n"/>
      <c r="DO184" s="184" t="n"/>
      <c r="DP184" s="184" t="n"/>
      <c r="DQ184" s="184" t="n"/>
      <c r="DR184" s="184" t="n"/>
      <c r="DS184" s="184" t="n"/>
      <c r="DT184" s="184" t="n"/>
      <c r="DU184" s="184" t="n"/>
      <c r="DV184" s="184" t="n"/>
      <c r="DW184" s="184" t="n"/>
      <c r="DX184" s="184" t="n"/>
      <c r="DY184" s="184" t="n"/>
      <c r="DZ184" s="184" t="n"/>
      <c r="EA184" s="184" t="n"/>
      <c r="EB184" s="184" t="n"/>
      <c r="EC184" s="184" t="n"/>
      <c r="ED184" s="184" t="n"/>
      <c r="EE184" s="184" t="n"/>
      <c r="EF184" s="184" t="n"/>
      <c r="EG184" s="184" t="n"/>
      <c r="EH184" s="184" t="n"/>
      <c r="EI184" s="184" t="n"/>
      <c r="EJ184" s="184" t="n"/>
      <c r="EK184" s="184" t="n"/>
      <c r="EL184" s="184" t="n"/>
      <c r="EM184" s="184" t="n"/>
      <c r="EN184" s="184" t="n"/>
      <c r="EO184" s="184" t="n"/>
      <c r="EP184" s="184" t="n"/>
    </row>
    <row r="185" ht="16.5" customFormat="1" customHeight="1" s="189" thickBot="1">
      <c r="A185" s="184" t="n"/>
      <c r="B185" s="184" t="n">
        <v>42</v>
      </c>
      <c r="C185" s="184" t="n"/>
      <c r="D185" s="652" t="n"/>
      <c r="E185" s="501" t="n"/>
      <c r="F185" s="503">
        <f>IF(ISNUMBER(E185),IF('Identificación del Instrumento'!$F$17="PRIMITIVA","",IF($G$59="DISCONTINUA",$E$84/2,0)),"")</f>
        <v/>
      </c>
      <c r="G185" s="501" t="n"/>
      <c r="H185" s="503">
        <f>IF(ISNUMBER(G185),IF('Identificación del Instrumento'!$F$17="PRIMITIVA","",IF($G$59="DISCONTINUA",$E$84/2,0)),"")</f>
        <v/>
      </c>
      <c r="I185" s="500">
        <f>IF(AND(ISNUMBER(B185),ISNUMBER(D185),ISNUMBER(E185),$B$59=1),IF($G$59="discontinua",(E185-D185),(E185-D185)),"")</f>
        <v/>
      </c>
      <c r="J185" s="500">
        <f>IF(AND(ISNUMBER(B185),ISNUMBER(D185),ISNUMBER(G185),$B$59=1),IF($G$59="discontinua",(G185-D185),(G185-D185)),"")</f>
        <v/>
      </c>
      <c r="K185" s="500">
        <f>IF(AND(ISNUMBER(I185),ISNUMBER(J185)),ABS(J185-I185),"")</f>
        <v/>
      </c>
      <c r="L185" s="500">
        <f>IF(AND(ISNUMBER(B185),ISNUMBER(D185),ISNUMBER(E185),ISNUMBER(F185),$B$59=1),IF($G$59="discontinua",(E185+($H$136/2)-F185-D185),(E185-F185-D185)),"")</f>
        <v/>
      </c>
      <c r="M185" s="500">
        <f>IF(AND(ISNUMBER(B185),ISNUMBER(D185),ISNUMBER(G185),ISNUMBER(H185),$B$59=1),IF($G$59="discontinua",(G185+($H$136/2)-H185-D185),(G185-H185-D185)),"")</f>
        <v/>
      </c>
      <c r="N185" s="184" t="n"/>
      <c r="O185" s="248" t="n"/>
      <c r="P185" s="38">
        <f>IF(ISNUMBER(E185),$E$18/SQRT(12),"")</f>
        <v/>
      </c>
      <c r="Q185" s="38">
        <f>IF(ISNUMBER(E185),MAX(K$96,K$120,K$108,K$132)/SQRT(12),"")</f>
        <v/>
      </c>
      <c r="R185" s="38">
        <f>B185*0.05/2</f>
        <v/>
      </c>
      <c r="S185" s="185" t="n">
        <v>0</v>
      </c>
      <c r="T185" s="38">
        <f>IF(ISNUMBER(E185),2*SQRT(SUMSQ(P185,Q185,R185,S185)),"")</f>
        <v/>
      </c>
      <c r="U185" s="342">
        <f>IF(ISNUMBER(E185),IF(D185&lt;=$F$49,I$49,IF(D185&lt;=$F$50,$I$50,$I$51)),"")</f>
        <v/>
      </c>
      <c r="V185" s="343">
        <f>IF(ISNUMBER(I185),IF('Identificación del Instrumento'!$B$17="periódica",IF(ABS(I185)&lt;=U185,0,1),IF(ABS(L185)&lt;=U185,0,1)),"")</f>
        <v/>
      </c>
      <c r="W185" s="184" t="n"/>
      <c r="X185" s="184" t="n"/>
      <c r="Y185" s="184" t="n"/>
      <c r="Z185" s="184" t="n"/>
      <c r="AA185" s="184" t="n"/>
      <c r="AB185" s="184" t="n"/>
      <c r="AC185" s="1287" t="n"/>
      <c r="AD185" s="1287" t="n"/>
      <c r="AG185" s="1287" t="n"/>
      <c r="AH185" s="184" t="n"/>
      <c r="AI185" s="60" t="n"/>
      <c r="AJ185" s="1298" t="n"/>
      <c r="AK185" s="1298" t="n"/>
      <c r="AL185" s="1298" t="n"/>
      <c r="AM185" s="1298" t="n"/>
      <c r="AN185" s="1298" t="n"/>
      <c r="AO185" s="184" t="n"/>
      <c r="AP185" s="184" t="n"/>
      <c r="AQ185" s="184" t="n"/>
      <c r="AR185" s="184" t="n"/>
      <c r="AS185" s="184" t="n"/>
      <c r="AT185" s="184" t="n"/>
      <c r="AU185" s="184" t="n"/>
      <c r="AV185" s="184" t="n"/>
      <c r="AW185" s="184" t="n"/>
      <c r="AX185" s="184" t="n"/>
      <c r="AY185" s="184" t="n"/>
      <c r="AZ185" s="184" t="n"/>
      <c r="BA185" s="184" t="n"/>
      <c r="BB185" s="184" t="n"/>
      <c r="BC185" s="184" t="n"/>
      <c r="BD185" s="184" t="n"/>
      <c r="BE185" s="184" t="n"/>
      <c r="BF185" s="184" t="n"/>
      <c r="BG185" s="184" t="n"/>
      <c r="BH185" s="184" t="n"/>
      <c r="BI185" s="184" t="n"/>
      <c r="BJ185" s="184" t="n"/>
      <c r="BK185" s="184" t="n"/>
      <c r="BL185" s="184" t="n"/>
      <c r="BM185" s="184" t="n"/>
      <c r="BN185" s="184" t="n"/>
      <c r="BO185" s="184" t="n"/>
      <c r="BP185" s="184" t="n"/>
      <c r="BQ185" s="184" t="n"/>
      <c r="BR185" s="184" t="n"/>
      <c r="BS185" s="184" t="n"/>
      <c r="BT185" s="184" t="n"/>
      <c r="BU185" s="184" t="n"/>
      <c r="BV185" s="184" t="n"/>
      <c r="BW185" s="184" t="n"/>
      <c r="BX185" s="184" t="n"/>
      <c r="BY185" s="184" t="n"/>
      <c r="BZ185" s="184" t="n"/>
      <c r="CA185" s="184" t="n"/>
      <c r="CB185" s="184" t="n"/>
      <c r="CC185" s="184" t="n"/>
      <c r="CD185" s="184" t="n"/>
      <c r="CE185" s="184" t="n"/>
      <c r="CF185" s="184" t="n"/>
      <c r="CG185" s="184" t="n"/>
      <c r="CH185" s="184" t="n"/>
      <c r="CI185" s="184" t="n"/>
      <c r="CJ185" s="184" t="n"/>
      <c r="CK185" s="184" t="n"/>
      <c r="CL185" s="184" t="n"/>
      <c r="CM185" s="184" t="n"/>
      <c r="CN185" s="184" t="n"/>
      <c r="CO185" s="184" t="n"/>
      <c r="CP185" s="184" t="n"/>
      <c r="CQ185" s="184" t="n"/>
      <c r="CR185" s="184" t="n"/>
      <c r="CS185" s="184" t="n"/>
      <c r="CT185" s="184" t="n"/>
      <c r="CU185" s="184" t="n"/>
      <c r="CV185" s="184" t="n"/>
      <c r="CW185" s="184" t="n"/>
      <c r="CX185" s="184" t="n"/>
      <c r="CY185" s="184" t="n"/>
      <c r="CZ185" s="184" t="n"/>
      <c r="DA185" s="184" t="n"/>
      <c r="DB185" s="184" t="n"/>
      <c r="DC185" s="184" t="n"/>
      <c r="DD185" s="184" t="n"/>
      <c r="DE185" s="184" t="n"/>
      <c r="DF185" s="184" t="n"/>
      <c r="DG185" s="184" t="n"/>
      <c r="DH185" s="184" t="n"/>
      <c r="DI185" s="184" t="n"/>
      <c r="DJ185" s="184" t="n"/>
      <c r="DK185" s="184" t="n"/>
      <c r="DL185" s="184" t="n"/>
      <c r="DM185" s="184" t="n"/>
      <c r="DN185" s="184" t="n"/>
      <c r="DO185" s="184" t="n"/>
      <c r="DP185" s="184" t="n"/>
      <c r="DQ185" s="184" t="n"/>
      <c r="DR185" s="184" t="n"/>
      <c r="DS185" s="184" t="n"/>
      <c r="DT185" s="184" t="n"/>
      <c r="DU185" s="184" t="n"/>
      <c r="DV185" s="184" t="n"/>
      <c r="DW185" s="184" t="n"/>
      <c r="DX185" s="184" t="n"/>
      <c r="DY185" s="184" t="n"/>
      <c r="DZ185" s="184" t="n"/>
      <c r="EA185" s="184" t="n"/>
      <c r="EB185" s="184" t="n"/>
      <c r="EC185" s="184" t="n"/>
      <c r="ED185" s="184" t="n"/>
      <c r="EE185" s="184" t="n"/>
      <c r="EF185" s="184" t="n"/>
      <c r="EG185" s="184" t="n"/>
      <c r="EH185" s="184" t="n"/>
      <c r="EI185" s="184" t="n"/>
      <c r="EJ185" s="184" t="n"/>
      <c r="EK185" s="184" t="n"/>
      <c r="EL185" s="184" t="n"/>
      <c r="EM185" s="184" t="n"/>
      <c r="EN185" s="184" t="n"/>
      <c r="EO185" s="184" t="n"/>
      <c r="EP185" s="184" t="n"/>
    </row>
    <row r="186" ht="16.5" customFormat="1" customHeight="1" s="189" thickBot="1">
      <c r="A186" s="184" t="n"/>
      <c r="B186" s="184" t="n">
        <v>43</v>
      </c>
      <c r="C186" s="184" t="n"/>
      <c r="D186" s="501" t="n"/>
      <c r="E186" s="501" t="n"/>
      <c r="F186" s="503">
        <f>IF(ISNUMBER(E186),IF('Identificación del Instrumento'!$F$17="PRIMITIVA","",IF($G$59="DISCONTINUA",$E$84/2,0)),"")</f>
        <v/>
      </c>
      <c r="G186" s="501" t="n"/>
      <c r="H186" s="503">
        <f>IF(ISNUMBER(G186),IF('Identificación del Instrumento'!$F$17="PRIMITIVA","",IF($G$59="DISCONTINUA",$E$84/2,0)),"")</f>
        <v/>
      </c>
      <c r="I186" s="502">
        <f>IF(AND(ISNUMBER(B186),ISNUMBER(D186),ISNUMBER(E186),$B$59=1),IF($G$59="discontinua",(E186-D186),(E186-D186)),"")</f>
        <v/>
      </c>
      <c r="J186" s="502">
        <f>IF(AND(ISNUMBER(B186),ISNUMBER(D186),ISNUMBER(G186),$B$59=1),IF($G$59="discontinua",(G186-D186),(G186-D186)),"")</f>
        <v/>
      </c>
      <c r="K186" s="502">
        <f>IF(AND(ISNUMBER(I186),ISNUMBER(J186)),ABS(J186-I186),"")</f>
        <v/>
      </c>
      <c r="L186" s="502">
        <f>IF(AND(ISNUMBER(B186),ISNUMBER(D186),ISNUMBER(E186),ISNUMBER(F186),$B$59=1),IF($G$59="discontinua",(E186+($H$136/2)-F186-D186),(E186-F186-D186)),"")</f>
        <v/>
      </c>
      <c r="M186" s="502">
        <f>IF(AND(ISNUMBER(B186),ISNUMBER(D186),ISNUMBER(G186),ISNUMBER(H186),$B$59=1),IF($G$59="discontinua",(G186+($H$136/2)-H186-D186),(G186-H186-D186)),"")</f>
        <v/>
      </c>
      <c r="N186" s="184" t="n"/>
      <c r="O186" s="248" t="n"/>
      <c r="P186" s="38">
        <f>IF(ISNUMBER(E186),$E$18/SQRT(12),"")</f>
        <v/>
      </c>
      <c r="Q186" s="38">
        <f>IF(ISNUMBER(E186),MAX(K$96,K$120,K$108,K$132)/SQRT(12),"")</f>
        <v/>
      </c>
      <c r="R186" s="38">
        <f>B186*0.05/2</f>
        <v/>
      </c>
      <c r="S186" s="185" t="n">
        <v>0</v>
      </c>
      <c r="T186" s="38">
        <f>IF(ISNUMBER(E186),2*SQRT(SUMSQ(P186,Q186,R186,S186)),"")</f>
        <v/>
      </c>
      <c r="U186" s="342">
        <f>IF(ISNUMBER(E186),IF(D186&lt;=$F$49,I$49,IF(D186&lt;=$F$50,$I$50,$I$51)),"")</f>
        <v/>
      </c>
      <c r="V186" s="343">
        <f>IF(ISNUMBER(I186),IF('Identificación del Instrumento'!$B$17="periódica",IF(ABS(I186)&lt;=U186,0,1),IF(ABS(L186)&lt;=U186,0,1)),"")</f>
        <v/>
      </c>
      <c r="W186" s="184" t="n"/>
      <c r="X186" s="184" t="n"/>
      <c r="Y186" s="184" t="n"/>
      <c r="Z186" s="184" t="n"/>
      <c r="AA186" s="184" t="n"/>
      <c r="AB186" s="184" t="n"/>
      <c r="AC186" s="1287" t="n"/>
      <c r="AD186" s="1287" t="n"/>
      <c r="AG186" s="1287" t="n"/>
      <c r="AH186" s="184" t="n"/>
      <c r="AI186" s="60" t="n"/>
      <c r="AJ186" s="1298" t="n"/>
      <c r="AK186" s="1298" t="n"/>
      <c r="AL186" s="1298" t="n"/>
      <c r="AM186" s="1298" t="n"/>
      <c r="AN186" s="1298" t="n"/>
      <c r="AO186" s="184" t="n"/>
      <c r="AP186" s="184" t="n"/>
      <c r="AQ186" s="184" t="n"/>
      <c r="AR186" s="184" t="n"/>
      <c r="AS186" s="184" t="n"/>
      <c r="AT186" s="184" t="n"/>
      <c r="AU186" s="184" t="n"/>
      <c r="AV186" s="184" t="n"/>
      <c r="AW186" s="184" t="n"/>
      <c r="AX186" s="184" t="n"/>
      <c r="AY186" s="184" t="n"/>
      <c r="AZ186" s="184" t="n"/>
      <c r="BA186" s="184" t="n"/>
      <c r="BB186" s="184" t="n"/>
      <c r="BC186" s="184" t="n"/>
      <c r="BD186" s="184" t="n"/>
      <c r="BE186" s="184" t="n"/>
      <c r="BF186" s="184" t="n"/>
      <c r="BG186" s="184" t="n"/>
      <c r="BH186" s="184" t="n"/>
      <c r="BI186" s="184" t="n"/>
      <c r="BJ186" s="184" t="n"/>
      <c r="BK186" s="184" t="n"/>
      <c r="BL186" s="184" t="n"/>
      <c r="BM186" s="184" t="n"/>
      <c r="BN186" s="184" t="n"/>
      <c r="BO186" s="184" t="n"/>
      <c r="BP186" s="184" t="n"/>
      <c r="BQ186" s="184" t="n"/>
      <c r="BR186" s="184" t="n"/>
      <c r="BS186" s="184" t="n"/>
      <c r="BT186" s="184" t="n"/>
      <c r="BU186" s="184" t="n"/>
      <c r="BV186" s="184" t="n"/>
      <c r="BW186" s="184" t="n"/>
      <c r="BX186" s="184" t="n"/>
      <c r="BY186" s="184" t="n"/>
      <c r="BZ186" s="184" t="n"/>
      <c r="CA186" s="184" t="n"/>
      <c r="CB186" s="184" t="n"/>
      <c r="CC186" s="184" t="n"/>
      <c r="CD186" s="184" t="n"/>
      <c r="CE186" s="184" t="n"/>
      <c r="CF186" s="184" t="n"/>
      <c r="CG186" s="184" t="n"/>
      <c r="CH186" s="184" t="n"/>
      <c r="CI186" s="184" t="n"/>
      <c r="CJ186" s="184" t="n"/>
      <c r="CK186" s="184" t="n"/>
      <c r="CL186" s="184" t="n"/>
      <c r="CM186" s="184" t="n"/>
      <c r="CN186" s="184" t="n"/>
      <c r="CO186" s="184" t="n"/>
      <c r="CP186" s="184" t="n"/>
      <c r="CQ186" s="184" t="n"/>
      <c r="CR186" s="184" t="n"/>
      <c r="CS186" s="184" t="n"/>
      <c r="CT186" s="184" t="n"/>
      <c r="CU186" s="184" t="n"/>
      <c r="CV186" s="184" t="n"/>
      <c r="CW186" s="184" t="n"/>
      <c r="CX186" s="184" t="n"/>
      <c r="CY186" s="184" t="n"/>
      <c r="CZ186" s="184" t="n"/>
      <c r="DA186" s="184" t="n"/>
      <c r="DB186" s="184" t="n"/>
      <c r="DC186" s="184" t="n"/>
      <c r="DD186" s="184" t="n"/>
      <c r="DE186" s="184" t="n"/>
      <c r="DF186" s="184" t="n"/>
      <c r="DG186" s="184" t="n"/>
      <c r="DH186" s="184" t="n"/>
      <c r="DI186" s="184" t="n"/>
      <c r="DJ186" s="184" t="n"/>
      <c r="DK186" s="184" t="n"/>
      <c r="DL186" s="184" t="n"/>
      <c r="DM186" s="184" t="n"/>
      <c r="DN186" s="184" t="n"/>
      <c r="DO186" s="184" t="n"/>
      <c r="DP186" s="184" t="n"/>
      <c r="DQ186" s="184" t="n"/>
      <c r="DR186" s="184" t="n"/>
      <c r="DS186" s="184" t="n"/>
      <c r="DT186" s="184" t="n"/>
      <c r="DU186" s="184" t="n"/>
      <c r="DV186" s="184" t="n"/>
      <c r="DW186" s="184" t="n"/>
      <c r="DX186" s="184" t="n"/>
      <c r="DY186" s="184" t="n"/>
      <c r="DZ186" s="184" t="n"/>
      <c r="EA186" s="184" t="n"/>
      <c r="EB186" s="184" t="n"/>
      <c r="EC186" s="184" t="n"/>
      <c r="ED186" s="184" t="n"/>
      <c r="EE186" s="184" t="n"/>
      <c r="EF186" s="184" t="n"/>
      <c r="EG186" s="184" t="n"/>
      <c r="EH186" s="184" t="n"/>
      <c r="EI186" s="184" t="n"/>
      <c r="EJ186" s="184" t="n"/>
      <c r="EK186" s="184" t="n"/>
      <c r="EL186" s="184" t="n"/>
      <c r="EM186" s="184" t="n"/>
      <c r="EN186" s="184" t="n"/>
      <c r="EO186" s="184" t="n"/>
      <c r="EP186" s="184" t="n"/>
    </row>
    <row r="187" ht="21" customHeight="1" thickBot="1">
      <c r="D187" s="501" t="n"/>
      <c r="E187" s="1301" t="n"/>
      <c r="F187" s="980" t="inlineStr">
        <is>
          <t>Histéresis (kg)</t>
        </is>
      </c>
      <c r="G187" s="388" t="n"/>
      <c r="H187" s="292">
        <f>MAX(K143:K186)</f>
        <v/>
      </c>
      <c r="I187" s="1302" t="n"/>
      <c r="J187" s="238" t="n"/>
      <c r="K187" s="294">
        <f>IF(ISNUMBER(#REF!),ABS(#REF!-AVERAGE(#REF!)),"")</f>
        <v/>
      </c>
      <c r="L187" s="8" t="n"/>
      <c r="M187" s="9" t="n"/>
      <c r="N187" s="9" t="n"/>
      <c r="W187" s="9" t="n"/>
      <c r="AC187" s="1287" t="n"/>
      <c r="AD187" s="1287" t="n"/>
      <c r="AG187" s="1287" t="n"/>
      <c r="AI187" s="174" t="n"/>
      <c r="AJ187" s="1242" t="n"/>
      <c r="AK187" s="1287" t="n"/>
      <c r="AL187" s="1287" t="n"/>
      <c r="AM187" s="1287" t="n"/>
      <c r="AN187" s="1287" t="n"/>
    </row>
    <row r="188" ht="21" customHeight="1"/>
    <row r="189" ht="21" customHeight="1"/>
    <row r="190" ht="21" customHeight="1" thickBot="1"/>
    <row r="191" ht="49.5" customFormat="1" customHeight="1" s="190" thickBot="1">
      <c r="B191" s="40" t="inlineStr">
        <is>
          <t> </t>
        </is>
      </c>
      <c r="C191" t="inlineStr">
        <is>
          <t> </t>
        </is>
      </c>
      <c r="D191" s="1303" t="inlineStr">
        <is>
          <t>INICIO CARGA SUSTITUTA</t>
        </is>
      </c>
      <c r="E191" s="388" t="n"/>
      <c r="F191" s="389" t="n"/>
      <c r="G191" s="14" t="n"/>
      <c r="H191" s="14" t="n"/>
      <c r="I191" s="14" t="n"/>
      <c r="J191" s="17" t="n"/>
      <c r="K191" s="9" t="n"/>
      <c r="L191" s="8" t="n"/>
      <c r="M191" s="9" t="n"/>
      <c r="N191" s="9" t="n"/>
      <c r="W191" s="9" t="n"/>
      <c r="AC191" s="1287" t="n"/>
      <c r="AD191" s="1287" t="n"/>
      <c r="AG191" s="1287" t="n"/>
      <c r="AI191" s="174" t="n"/>
      <c r="AJ191" s="1242" t="n"/>
      <c r="AK191" s="1287" t="n"/>
      <c r="AL191" s="1287" t="n"/>
      <c r="AM191" s="1287" t="n"/>
      <c r="AN191" s="1287" t="n"/>
    </row>
    <row r="192" ht="28.5" customHeight="1" thickBot="1">
      <c r="D192" s="973" t="inlineStr">
        <is>
          <t>Peso inicial (kg)</t>
        </is>
      </c>
      <c r="E192" s="1228" t="n"/>
      <c r="F192" s="237" t="n">
        <v>21560</v>
      </c>
      <c r="G192" s="118" t="n"/>
      <c r="H192" s="118" t="n"/>
      <c r="I192" s="1146" t="n">
        <v>21940</v>
      </c>
      <c r="J192" s="16" t="n">
        <v>21936</v>
      </c>
      <c r="K192" s="191" t="n"/>
      <c r="L192" s="1146" t="n"/>
      <c r="M192" s="1146" t="n"/>
      <c r="N192" s="1146" t="n"/>
      <c r="O192" s="1146" t="n"/>
      <c r="W192" s="1146" t="n"/>
      <c r="AC192" s="1287" t="n"/>
      <c r="AD192" s="1287" t="n"/>
      <c r="AG192" s="1287" t="n"/>
      <c r="AI192" s="174" t="n"/>
      <c r="AJ192" s="1242" t="n"/>
      <c r="AK192" s="1287" t="n"/>
      <c r="AL192" s="1287" t="n"/>
      <c r="AM192" s="1287" t="n"/>
      <c r="AN192" s="1287" t="n"/>
    </row>
    <row r="193" ht="27.75" customHeight="1" thickBot="1">
      <c r="D193" s="982" t="inlineStr">
        <is>
          <t>Error de indicación (kg)</t>
        </is>
      </c>
      <c r="E193" s="1304" t="n"/>
      <c r="F193" s="239" t="n">
        <v>0</v>
      </c>
      <c r="G193" s="319" t="inlineStr">
        <is>
          <t>REDONDEO (kg)</t>
        </is>
      </c>
      <c r="H193" s="85" t="n">
        <v>6</v>
      </c>
      <c r="I193" s="1146" t="n">
        <v>14</v>
      </c>
      <c r="J193" s="16" t="n">
        <v>16</v>
      </c>
      <c r="K193" s="191" t="n">
        <v>2</v>
      </c>
      <c r="L193" s="1146" t="n"/>
      <c r="M193" s="1146" t="n"/>
      <c r="N193" s="1146" t="n"/>
      <c r="O193" s="1146" t="n"/>
      <c r="W193" s="1146" t="n"/>
      <c r="AC193" s="1287" t="n"/>
      <c r="AD193" s="1287" t="n"/>
      <c r="AG193" s="1287" t="n"/>
      <c r="AI193" s="174" t="n"/>
      <c r="AJ193" s="1242" t="n"/>
      <c r="AK193" s="1287" t="n"/>
      <c r="AL193" s="1287" t="n"/>
      <c r="AM193" s="1287" t="n"/>
      <c r="AN193" s="1287" t="n"/>
    </row>
    <row r="194" ht="17.1" customHeight="1" thickBot="1">
      <c r="D194" s="1305" t="inlineStr">
        <is>
          <t>Valor 
nominal
 (kg)</t>
        </is>
      </c>
      <c r="E194" s="1306" t="inlineStr">
        <is>
          <t>Indicación ascendente
(kg)</t>
        </is>
      </c>
      <c r="F194" s="1307" t="inlineStr">
        <is>
          <t>Error      encontrado
(kg)</t>
        </is>
      </c>
      <c r="G194" s="1308" t="inlineStr">
        <is>
          <t xml:space="preserve">Incremento de carga: </t>
        </is>
      </c>
      <c r="H194" s="1268" t="n"/>
      <c r="I194" s="1307" t="inlineStr">
        <is>
          <t>Error corregido por redondeo  (kg)</t>
        </is>
      </c>
      <c r="J194" s="37" t="inlineStr">
        <is>
          <t>Incertidumbre de medición (kg)</t>
        </is>
      </c>
      <c r="K194" s="1226" t="n"/>
      <c r="L194" s="1226" t="n"/>
      <c r="M194" s="1226" t="n"/>
      <c r="N194" s="1233" t="n"/>
      <c r="O194" s="1309" t="inlineStr">
        <is>
          <t>Tolerancia según Resolución 2307  (kg)</t>
        </is>
      </c>
      <c r="P194" s="1310" t="inlineStr">
        <is>
          <t>Condición de cumplimiento</t>
        </is>
      </c>
      <c r="W194" s="1146" t="n"/>
      <c r="AC194" s="1311" t="n"/>
      <c r="AD194" s="1287" t="n"/>
      <c r="AE194" s="188" t="n"/>
      <c r="AG194" s="1287" t="n"/>
      <c r="AI194" s="174" t="n"/>
      <c r="AJ194" s="1242" t="n"/>
      <c r="AK194" s="1287" t="n"/>
      <c r="AL194" s="1287" t="n"/>
      <c r="AM194" s="1287" t="n"/>
      <c r="AN194" s="1287" t="n"/>
    </row>
    <row r="195" ht="27.75" customHeight="1" thickBot="1">
      <c r="A195" t="inlineStr">
        <is>
          <t>        </t>
        </is>
      </c>
      <c r="D195" s="1312" t="n"/>
      <c r="E195" s="1313" t="n"/>
      <c r="F195" s="1314" t="n"/>
      <c r="G195" s="85" t="n">
        <v>5000</v>
      </c>
      <c r="H195" s="241" t="inlineStr">
        <is>
          <t>kg</t>
        </is>
      </c>
      <c r="I195" s="1314" t="n"/>
      <c r="J195" s="37" t="inlineStr">
        <is>
          <t>resolución</t>
        </is>
      </c>
      <c r="K195" s="41" t="inlineStr">
        <is>
          <t>fidelidad</t>
        </is>
      </c>
      <c r="L195" s="37" t="inlineStr">
        <is>
          <t>pesas patrones</t>
        </is>
      </c>
      <c r="M195" s="37" t="inlineStr">
        <is>
          <t>carga 
sustituta</t>
        </is>
      </c>
      <c r="N195" s="37" t="inlineStr">
        <is>
          <t>expandida</t>
        </is>
      </c>
      <c r="O195" s="1300" t="n"/>
      <c r="P195" s="1315" t="n"/>
      <c r="W195" s="1146" t="n"/>
      <c r="AC195" s="61" t="n"/>
      <c r="AD195" s="1287" t="n"/>
      <c r="AE195" s="184" t="n"/>
      <c r="AG195" s="1287" t="n"/>
      <c r="AI195" s="174" t="n"/>
      <c r="AJ195" s="1242" t="n"/>
      <c r="AK195" s="1287" t="n"/>
      <c r="AL195" s="1287" t="n"/>
      <c r="AM195" s="1287" t="n"/>
      <c r="AN195" s="1287" t="n"/>
    </row>
    <row r="196" ht="21" customFormat="1" customHeight="1" s="193" thickBot="1">
      <c r="D196" s="358">
        <f>IF(AND(ISNUMBER(F192),ISNUMBER(F193)),F192-F193,"")</f>
        <v/>
      </c>
      <c r="E196" s="358">
        <f>IF(ISNUMBER(F192),F192,"")</f>
        <v/>
      </c>
      <c r="F196" s="358">
        <f>IF(ISNUMBER(E196),E196-D196,"")</f>
        <v/>
      </c>
      <c r="G196" s="358" t="n">
        <v>10</v>
      </c>
      <c r="H196" s="358">
        <f>IF(AND(ISNUMBER(E196),ISNUMBER(G196),$B$59=1),IF($G$59="discontinua",(E196+($H$136/2)-G196),(E196-G196)),"")</f>
        <v/>
      </c>
      <c r="I196" s="358">
        <f>IF(AND(ISNUMBER(E196),ISNUMBER(G196),$B$59=1),IF($G$59="discontinua",(E196+($H$136/2)-G196-D196),(E196-G196-D196)),"")</f>
        <v/>
      </c>
      <c r="J196" s="494">
        <f>IF(ISNUMBER(E196),$E$18/SQRT(12),"")</f>
        <v/>
      </c>
      <c r="K196" s="494">
        <f>IF(ISNUMBER(E196),MAX(K$96,K$120,K$108,K$132)/SQRT(12),"")</f>
        <v/>
      </c>
      <c r="L196" s="494" t="n">
        <v>0</v>
      </c>
      <c r="M196" s="494">
        <f>IF(ISNUMBER(T$186),T$186/2,"")</f>
        <v/>
      </c>
      <c r="N196" s="494">
        <f>IF(ISNUMBER(E196),2*SQRT(SUMSQ(J196,K196,L196)),"")</f>
        <v/>
      </c>
      <c r="O196" s="39">
        <f>IF(ISNUMBER(E196),IF(D196&lt;=$F$49,I$49,IF(D196&lt;=$F$50,$I$50,$I$51)),"")</f>
        <v/>
      </c>
      <c r="P196" s="495">
        <f>IF(ISNUMBER(F196),IF('Identificación del Instrumento'!$B$17="periódica",IF(ABS(F196)&lt;=O196,0,1),IF(ABS(I196)&lt;=O196,0,1)),"")</f>
        <v/>
      </c>
      <c r="AC196" s="61" t="n"/>
      <c r="AD196" s="1287" t="n"/>
      <c r="AE196" s="184" t="n"/>
      <c r="AG196" s="1287" t="n"/>
      <c r="AH196" s="184" t="n"/>
      <c r="AI196" s="108" t="n"/>
      <c r="AJ196" s="1287" t="n"/>
      <c r="AK196" s="1287" t="n"/>
      <c r="AL196" s="1287" t="n"/>
      <c r="AM196" s="1287" t="n"/>
      <c r="AN196" s="1287" t="n"/>
    </row>
    <row r="197" ht="21" customFormat="1" customHeight="1" s="193" thickBot="1">
      <c r="B197" t="n">
        <v>1</v>
      </c>
      <c r="C197" s="87" t="n"/>
      <c r="D197" s="358">
        <f>IF(ISNUMBER($G$195),D196+$G$195,"")</f>
        <v/>
      </c>
      <c r="E197" s="496" t="n">
        <v>26560</v>
      </c>
      <c r="F197" s="358">
        <f>IF(ISNUMBER(E197),E197-D197,"")</f>
        <v/>
      </c>
      <c r="G197" s="497">
        <f>IF(ISNUMBER(F197),IF('Identificación del Instrumento'!$F$17="PRIMITIVA","",IF($G$59="DISCONTINUA",$E$84/2,0)),"")</f>
        <v/>
      </c>
      <c r="H197" s="358">
        <f>IF(AND(ISNUMBER(E197),ISNUMBER(G197),$B$59=1),IF($G$59="discontinua",(E197+($H$136/2)-G197),(E197-G197)),"")</f>
        <v/>
      </c>
      <c r="I197" s="358">
        <f>IF(AND(ISNUMBER(E197),ISNUMBER(G197),$B$59=1),IF($G$59="discontinua",(E197+($H$136/2)-G197-D197),(E197-G197-D197)),"")</f>
        <v/>
      </c>
      <c r="J197" s="494">
        <f>IF(ISNUMBER(E197),$E$18/SQRT(12),"")</f>
        <v/>
      </c>
      <c r="K197" s="494">
        <f>IF(ISNUMBER(E197),MAX(K$96,K$120,K$108,K$132)/SQRT(12),"")</f>
        <v/>
      </c>
      <c r="L197" s="494">
        <f>IF(ISBLANK($G$195),"",0.05*($G$195*B197/1000)/2)</f>
        <v/>
      </c>
      <c r="M197" s="494">
        <f>IF(ISNUMBER(T$186),T$186/2,"")</f>
        <v/>
      </c>
      <c r="N197" s="494">
        <f>IF(ISNUMBER(E197),2*SQRT(SUMSQ(J197,K197,L197)),"")</f>
        <v/>
      </c>
      <c r="O197" s="39">
        <f>IF(ISNUMBER(E197),IF(D197&lt;=$F$49,I$49,IF(D197&lt;=$F$50,$I$50,$I$51)),"")</f>
        <v/>
      </c>
      <c r="P197" s="498">
        <f>IF(ISNUMBER(F197),IF('Identificación del Instrumento'!$B$17="periódica",IF(ABS(F197)&lt;=O197,0,1),IF(ABS(I197)&lt;=O197,0,1)),"")</f>
        <v/>
      </c>
      <c r="AC197" s="61" t="n"/>
      <c r="AD197" s="1287" t="n"/>
      <c r="AE197" s="184" t="n"/>
      <c r="AG197" s="1287" t="n"/>
      <c r="AH197" s="184" t="n"/>
      <c r="AI197" s="108" t="n"/>
      <c r="AJ197" s="1287" t="n"/>
      <c r="AK197" s="1287" t="n"/>
      <c r="AL197" s="1287" t="n"/>
      <c r="AM197" s="1287" t="n"/>
      <c r="AN197" s="1287" t="n"/>
    </row>
    <row r="198" ht="21" customFormat="1" customHeight="1" s="193" thickBot="1">
      <c r="B198" t="n">
        <v>2</v>
      </c>
      <c r="C198" s="87" t="n"/>
      <c r="D198" s="358">
        <f>IF(ISNUMBER($G$195),D197+$G$195,"")</f>
        <v/>
      </c>
      <c r="E198" s="496" t="n">
        <v>31560</v>
      </c>
      <c r="F198" s="358">
        <f>IF(ISNUMBER(E198),E198-D198,"")</f>
        <v/>
      </c>
      <c r="G198" s="497">
        <f>IF(ISNUMBER(F198),IF('Identificación del Instrumento'!$F$17="PRIMITIVA","",IF($G$59="DISCONTINUA",$E$84/2,0)),"")</f>
        <v/>
      </c>
      <c r="H198" s="358">
        <f>IF(AND(ISNUMBER(E198),ISNUMBER(G198),$B$59=1),IF($G$59="discontinua",(E198+($H$136/2)-G198),(E198-G198)),"")</f>
        <v/>
      </c>
      <c r="I198" s="358">
        <f>IF(AND(ISNUMBER(E198),ISNUMBER(G198),$B$59=1),IF($G$59="discontinua",(E198+($H$136/2)-G198-D198),(E198-G198-D198)),"")</f>
        <v/>
      </c>
      <c r="J198" s="494">
        <f>IF(ISNUMBER(E198),$E$18/SQRT(12),"")</f>
        <v/>
      </c>
      <c r="K198" s="494">
        <f>IF(ISNUMBER(E198),MAX(K$96,K$120,K$108,K$132)/SQRT(12),"")</f>
        <v/>
      </c>
      <c r="L198" s="494">
        <f>IF(ISBLANK($G$195),"",0.05*($G$195*B198/1000)/2)</f>
        <v/>
      </c>
      <c r="M198" s="494">
        <f>IF(ISNUMBER(T$186),T$186/2,"")</f>
        <v/>
      </c>
      <c r="N198" s="494">
        <f>IF(ISNUMBER(E198),2*SQRT(SUMSQ(J198,K198,L198)),"")</f>
        <v/>
      </c>
      <c r="O198" s="39">
        <f>IF(ISNUMBER(E198),IF(D198&lt;=$F$49,I$49,IF(D198&lt;=$F$50,$I$50,$I$51)),"")</f>
        <v/>
      </c>
      <c r="P198" s="498">
        <f>IF(ISNUMBER(F198),IF('Identificación del Instrumento'!$B$17="periódica",IF(ABS(F198)&lt;=O198,0,1),IF(ABS(I198)&lt;=O198,0,1)),"")</f>
        <v/>
      </c>
      <c r="AC198" s="61" t="n"/>
      <c r="AD198" s="1287" t="n"/>
      <c r="AE198" s="184" t="n"/>
      <c r="AG198" s="1287" t="n"/>
      <c r="AH198" s="184" t="n"/>
      <c r="AI198" s="108" t="n"/>
      <c r="AJ198" s="1287" t="n"/>
      <c r="AK198" s="1287" t="n"/>
      <c r="AL198" s="1287" t="n"/>
      <c r="AM198" s="1287" t="n"/>
      <c r="AN198" s="1287" t="n"/>
    </row>
    <row r="199" ht="21" customFormat="1" customHeight="1" s="193" thickBot="1">
      <c r="B199" t="n">
        <v>3</v>
      </c>
      <c r="C199" s="87" t="n"/>
      <c r="D199" s="358">
        <f>IF(ISNUMBER($G$195),D198+$G$195,"")</f>
        <v/>
      </c>
      <c r="E199" s="496" t="n">
        <v>36560</v>
      </c>
      <c r="F199" s="358">
        <f>IF(ISNUMBER(E199),E199-D199,"")</f>
        <v/>
      </c>
      <c r="G199" s="497">
        <f>IF(ISNUMBER(F199),IF('Identificación del Instrumento'!$F$17="PRIMITIVA","",IF($G$59="DISCONTINUA",$E$84/2,0)),"")</f>
        <v/>
      </c>
      <c r="H199" s="358">
        <f>IF(AND(ISNUMBER(E199),ISNUMBER(G199),$B$59=1),IF($G$59="discontinua",(E199+($H$136/2)-G199),(E199-G199)),"")</f>
        <v/>
      </c>
      <c r="I199" s="358">
        <f>IF(AND(ISNUMBER(E199),ISNUMBER(G199),$B$59=1),IF($G$59="discontinua",(E199+($H$136/2)-G199-D199),(E199-G199-D199)),"")</f>
        <v/>
      </c>
      <c r="J199" s="494">
        <f>IF(ISNUMBER(E199),$E$18/SQRT(12),"")</f>
        <v/>
      </c>
      <c r="K199" s="494">
        <f>IF(ISNUMBER(E199),MAX(K$96,K$120,K$108,K$132)/SQRT(12),"")</f>
        <v/>
      </c>
      <c r="L199" s="494">
        <f>IF(ISBLANK($G$195),"",0.05*($G$195*B199/1000)/2)</f>
        <v/>
      </c>
      <c r="M199" s="494">
        <f>IF(ISNUMBER(T$186),T$186/2,"")</f>
        <v/>
      </c>
      <c r="N199" s="494">
        <f>IF(ISNUMBER(E199),2*SQRT(SUMSQ(J199,K199,L199)),"")</f>
        <v/>
      </c>
      <c r="O199" s="39">
        <f>IF(ISNUMBER(E199),IF(D199&lt;=$F$49,I$49,IF(D199&lt;=$F$50,$I$50,$I$51)),"")</f>
        <v/>
      </c>
      <c r="P199" s="498">
        <f>IF(ISNUMBER(F199),IF('Identificación del Instrumento'!$B$17="periódica",IF(ABS(F199)&lt;=O199,0,1),IF(ABS(I199)&lt;=O199,0,1)),"")</f>
        <v/>
      </c>
      <c r="AC199" s="61" t="n"/>
      <c r="AD199" s="1287" t="n"/>
      <c r="AE199" s="184" t="n"/>
      <c r="AG199" s="1287" t="n"/>
      <c r="AH199" s="184" t="n"/>
      <c r="AI199" s="108" t="n"/>
      <c r="AJ199" s="1287" t="n"/>
      <c r="AK199" s="1287" t="n"/>
      <c r="AL199" s="1287" t="n"/>
      <c r="AM199" s="1287" t="n"/>
      <c r="AN199" s="1287" t="n"/>
    </row>
    <row r="200" ht="21" customFormat="1" customHeight="1" s="193" thickBot="1">
      <c r="B200" t="n">
        <v>4</v>
      </c>
      <c r="C200" s="87" t="n"/>
      <c r="D200" s="358">
        <f>IF(ISNUMBER($G$195),D199+$G$195,"")</f>
        <v/>
      </c>
      <c r="E200" s="496" t="n">
        <v>41560</v>
      </c>
      <c r="F200" s="358">
        <f>IF(ISNUMBER(E200),E200-D200,"")</f>
        <v/>
      </c>
      <c r="G200" s="497">
        <f>IF(ISNUMBER(F200),IF('Identificación del Instrumento'!$F$17="PRIMITIVA","",IF($G$59="DISCONTINUA",$E$84/2,0)),"")</f>
        <v/>
      </c>
      <c r="H200" s="358">
        <f>IF(AND(ISNUMBER(E200),ISNUMBER(G200),$B$59=1),IF($G$59="discontinua",(E200+($H$136/2)-G200),(E200-G200)),"")</f>
        <v/>
      </c>
      <c r="I200" s="358">
        <f>IF(AND(ISNUMBER(E200),ISNUMBER(G200),$B$59=1),IF($G$59="discontinua",(E200+($H$136/2)-G200-D200),(E200-G200-D200)),"")</f>
        <v/>
      </c>
      <c r="J200" s="494">
        <f>IF(ISNUMBER(E200),$E$18/SQRT(12),"")</f>
        <v/>
      </c>
      <c r="K200" s="494">
        <f>IF(ISNUMBER(E200),MAX(K$96,K$120,K$108,K$132)/SQRT(12),"")</f>
        <v/>
      </c>
      <c r="L200" s="494">
        <f>IF(ISBLANK($G$195),"",0.05*($G$195*B200/1000)/2)</f>
        <v/>
      </c>
      <c r="M200" s="494">
        <f>IF(ISNUMBER(T$186),T$186/2,"")</f>
        <v/>
      </c>
      <c r="N200" s="494">
        <f>IF(ISNUMBER(E200),2*SQRT(SUMSQ(J200,K200,L200)),"")</f>
        <v/>
      </c>
      <c r="O200" s="39">
        <f>IF(ISNUMBER(E200),IF(D200&lt;=$F$49,I$49,IF(D200&lt;=$F$50,$I$50,$I$51)),"")</f>
        <v/>
      </c>
      <c r="P200" s="498">
        <f>IF(ISNUMBER(F200),IF('Identificación del Instrumento'!$B$17="periódica",IF(ABS(F200)&lt;=O200,0,1),IF(ABS(I200)&lt;=O200,0,1)),"")</f>
        <v/>
      </c>
      <c r="AC200" s="61" t="n"/>
      <c r="AD200" s="1287" t="n"/>
      <c r="AE200" s="184" t="n"/>
      <c r="AG200" s="1287" t="n"/>
      <c r="AH200" s="184" t="n"/>
      <c r="AI200" s="108" t="n"/>
      <c r="AJ200" s="1287" t="n"/>
      <c r="AK200" s="1287" t="n"/>
      <c r="AL200" s="1287" t="n"/>
      <c r="AM200" s="1287" t="n"/>
      <c r="AN200" s="1287" t="n"/>
    </row>
    <row r="201" ht="21" customFormat="1" customHeight="1" s="193" thickBot="1">
      <c r="B201" t="n">
        <v>5</v>
      </c>
      <c r="C201" s="87" t="n"/>
      <c r="D201" s="358" t="n">
        <v>43560</v>
      </c>
      <c r="E201" s="496" t="n">
        <v>43560</v>
      </c>
      <c r="F201" s="358">
        <f>IF(ISNUMBER(E201),E201-D201,"")</f>
        <v/>
      </c>
      <c r="G201" s="499" t="n">
        <v>10</v>
      </c>
      <c r="H201" s="358">
        <f>IF(AND(ISNUMBER(E201),ISNUMBER(G201),$B$59=1),IF($G$59="discontinua",(E201+($H$136/2)-G201),(E201-G201)),"")</f>
        <v/>
      </c>
      <c r="I201" s="358">
        <f>IF(AND(ISNUMBER(E201),ISNUMBER(G201),$B$59=1),IF($G$59="discontinua",(E201+($H$136/2)-G201-D201),(E201-G201-D201)),"")</f>
        <v/>
      </c>
      <c r="J201" s="494">
        <f>IF(ISNUMBER(E201),$E$18/SQRT(12),"")</f>
        <v/>
      </c>
      <c r="K201" s="494">
        <f>IF(ISNUMBER(E201),MAX(K$96,K$120,K$108,K$132)/SQRT(12),"")</f>
        <v/>
      </c>
      <c r="L201" s="494">
        <f>IF(ISBLANK($G$195),"",0.05*($G$195*B201/1000)/2)</f>
        <v/>
      </c>
      <c r="M201" s="494">
        <f>IF(ISNUMBER(T$186),T$186/2,"")</f>
        <v/>
      </c>
      <c r="N201" s="494">
        <f>IF(ISNUMBER(E201),2*SQRT(SUMSQ(J201,K201,L201)),"")</f>
        <v/>
      </c>
      <c r="O201" s="39">
        <f>IF(ISNUMBER(E201),IF(D201&lt;=$F$49,I$49,IF(D201&lt;=$F$50,$I$50,$I$51)),"")</f>
        <v/>
      </c>
      <c r="P201" s="498">
        <f>IF(ISNUMBER(F201),IF('Identificación del Instrumento'!$B$17="periódica",IF(ABS(F201)&lt;=O201,0,1),IF(ABS(I201)&lt;=O201,0,1)),"")</f>
        <v/>
      </c>
      <c r="AC201" s="61" t="n"/>
      <c r="AD201" s="1287" t="n"/>
      <c r="AE201" s="184" t="n"/>
      <c r="AG201" s="1287" t="n"/>
      <c r="AH201" s="184" t="n"/>
      <c r="AI201" s="108" t="n"/>
      <c r="AJ201" s="1287" t="n"/>
      <c r="AK201" s="1287" t="n"/>
      <c r="AL201" s="1287" t="n"/>
      <c r="AM201" s="1287" t="n"/>
      <c r="AN201" s="1287" t="n"/>
    </row>
    <row r="202" ht="20.25" customFormat="1" customHeight="1" s="193" thickBot="1">
      <c r="B202" t="n">
        <v>6</v>
      </c>
      <c r="C202" s="87" t="n"/>
      <c r="D202" s="358" t="n"/>
      <c r="E202" s="496" t="n"/>
      <c r="F202" s="358">
        <f>IF(ISNUMBER(E202),E202-D202,"")</f>
        <v/>
      </c>
      <c r="G202" s="497">
        <f>IF(ISNUMBER(F202),IF('Identificación del Instrumento'!$F$17="PRIMITIVA","",IF($G$59="DISCONTINUA",$E$84/2,0)),"")</f>
        <v/>
      </c>
      <c r="H202" s="358">
        <f>IF(AND(ISNUMBER(E202),ISNUMBER(G202),$B$59=1),IF($G$59="discontinua",(E202+($H$136/2)-G202),(E202-G202)),"")</f>
        <v/>
      </c>
      <c r="I202" s="358">
        <f>IF(AND(ISNUMBER(E202),ISNUMBER(G202),$B$59=1),IF($G$59="discontinua",(E202+($H$136/2)-G202-D202),(E202-G202-D202)),"")</f>
        <v/>
      </c>
      <c r="J202" s="494">
        <f>IF(ISNUMBER(E202),$E$18/SQRT(12),"")</f>
        <v/>
      </c>
      <c r="K202" s="494">
        <f>IF(ISNUMBER(E202),MAX(K$96,K$120,K$108,K$132)/SQRT(12),"")</f>
        <v/>
      </c>
      <c r="L202" s="494">
        <f>IF(ISBLANK($G$195),"",0.05*($G$195*B202/1000)/2)</f>
        <v/>
      </c>
      <c r="M202" s="494">
        <f>IF(ISNUMBER(T$186),T$186/2,"")</f>
        <v/>
      </c>
      <c r="N202" s="494">
        <f>IF(ISNUMBER(E202),2*SQRT(SUMSQ(J202,K202,L202)),"")</f>
        <v/>
      </c>
      <c r="O202" s="39">
        <f>IF(ISNUMBER(E202),IF(D202&lt;=$F$49,I$49,IF(D202&lt;=$F$50,$I$50,$I$51)),"")</f>
        <v/>
      </c>
      <c r="P202" s="498">
        <f>IF(ISNUMBER(F202),IF('Identificación del Instrumento'!$B$17="periódica",IF(ABS(F202)&lt;=O202,0,1),IF(ABS(I202)&lt;=O202,0,1)),"")</f>
        <v/>
      </c>
      <c r="AC202" s="61" t="n"/>
      <c r="AD202" s="1287" t="n"/>
      <c r="AE202" s="184" t="n"/>
      <c r="AG202" s="1287" t="n"/>
      <c r="AH202" s="184" t="n"/>
      <c r="AI202" s="108" t="n"/>
      <c r="AJ202" s="1287" t="n"/>
      <c r="AK202" s="1287" t="n"/>
      <c r="AL202" s="1287" t="n"/>
      <c r="AM202" s="1287" t="n"/>
      <c r="AN202" s="1287" t="n"/>
    </row>
    <row r="203" ht="21" customFormat="1" customHeight="1" s="193" thickBot="1">
      <c r="B203" t="n">
        <v>7</v>
      </c>
      <c r="C203" s="87" t="n"/>
      <c r="D203" s="358" t="n"/>
      <c r="E203" s="496" t="n"/>
      <c r="F203" s="358">
        <f>IF(ISNUMBER(E203),E203-D203,"")</f>
        <v/>
      </c>
      <c r="G203" s="499">
        <f>IF(ISNUMBER(F203),IF('Identificación del Instrumento'!$F$17="PRIMITIVA","",IF($G$59="DISCONTINUA",$E$84/2,0)),"")</f>
        <v/>
      </c>
      <c r="H203" s="358">
        <f>IF(AND(ISNUMBER(E203),ISNUMBER(G203),$B$59=1),IF($G$59="discontinua",(E203+($H$136/2)-G203),(E203-G203)),"")</f>
        <v/>
      </c>
      <c r="I203" s="358">
        <f>IF(AND(ISNUMBER(E203),ISNUMBER(G203),$B$59=1),IF($G$59="discontinua",(E203+($H$136/2)-G203-D203),(E203-G203-D203)),"")</f>
        <v/>
      </c>
      <c r="J203" s="494">
        <f>IF(ISNUMBER(E203),$E$18/SQRT(12),"")</f>
        <v/>
      </c>
      <c r="K203" s="494">
        <f>IF(ISNUMBER(E203),MAX(K$96,K$120,K$108,K$132)/SQRT(12),"")</f>
        <v/>
      </c>
      <c r="L203" s="494">
        <f>IF(ISBLANK($G$195),"",0.05*($G$195*B203/1000)/2)</f>
        <v/>
      </c>
      <c r="M203" s="494">
        <f>IF(ISNUMBER(T$186),T$186/2,"")</f>
        <v/>
      </c>
      <c r="N203" s="494">
        <f>IF(ISNUMBER(E203),2*SQRT(SUMSQ(J203,K203,L203)),"")</f>
        <v/>
      </c>
      <c r="O203" s="39">
        <f>IF(ISNUMBER(E203),IF(D203&lt;=$F$49,I$49,IF(D203&lt;=$F$50,$I$50,$I$51)),"")</f>
        <v/>
      </c>
      <c r="P203" s="498">
        <f>IF(ISNUMBER(F203),IF('Identificación del Instrumento'!$B$17="periódica",IF(ABS(F203)&lt;=O203,0,1),IF(ABS(I203)&lt;=O203,0,1)),"")</f>
        <v/>
      </c>
      <c r="AC203" s="61" t="n"/>
      <c r="AD203" s="1287" t="n"/>
      <c r="AE203" s="184" t="n"/>
      <c r="AG203" s="1287" t="n"/>
      <c r="AH203" s="184" t="n"/>
      <c r="AI203" s="108" t="n"/>
      <c r="AJ203" s="1287" t="n"/>
      <c r="AK203" s="1287" t="n"/>
      <c r="AL203" s="1287" t="n"/>
      <c r="AM203" s="1287" t="n"/>
      <c r="AN203" s="1287" t="n"/>
    </row>
    <row r="204" ht="21" customHeight="1">
      <c r="O204" s="442" t="inlineStr">
        <is>
          <t>N° de No cumplimientos</t>
        </is>
      </c>
      <c r="P204" s="443">
        <f>IF(COUNT(V113:V156)&gt;0,SUM(V143:V186,P196:P203),1)</f>
        <v/>
      </c>
    </row>
    <row r="205" ht="21" customHeight="1"/>
    <row r="206" ht="21" customHeight="1"/>
    <row r="207" hidden="1" ht="36.75" customHeight="1" thickBot="1">
      <c r="C207" s="87" t="n"/>
      <c r="D207" s="1303" t="inlineStr">
        <is>
          <t>SEGUNDA SUSTITUCIÓN</t>
        </is>
      </c>
      <c r="E207" s="388" t="n"/>
      <c r="F207" s="389" t="n"/>
      <c r="G207" s="991" t="n"/>
      <c r="AH207" s="184" t="n"/>
      <c r="AI207" s="108" t="n"/>
      <c r="AJ207" s="1287" t="n"/>
      <c r="AK207" s="1287" t="n"/>
      <c r="AL207" s="1287" t="n"/>
      <c r="AM207" s="1287" t="n"/>
      <c r="AN207" s="1287" t="n"/>
    </row>
    <row r="208" hidden="1" ht="27.75" customHeight="1" thickBot="1">
      <c r="D208" s="984" t="inlineStr">
        <is>
          <t>Peso del camión c/carga inicial (kg)</t>
        </is>
      </c>
      <c r="E208" s="1228" t="n"/>
      <c r="F208" s="237" t="n"/>
      <c r="G208" s="206" t="n"/>
      <c r="O208" s="62" t="n"/>
    </row>
    <row r="209" hidden="1" ht="30.75" customHeight="1" thickBot="1">
      <c r="D209" s="982" t="inlineStr">
        <is>
          <t>Error de indicación (kg)</t>
        </is>
      </c>
      <c r="E209" s="1304" t="n"/>
      <c r="F209" s="239" t="n"/>
      <c r="G209" s="319" t="inlineStr">
        <is>
          <t>REDONDEO (kg)</t>
        </is>
      </c>
      <c r="H209" s="85" t="n">
        <v>10</v>
      </c>
      <c r="J209" s="60" t="n"/>
      <c r="K209" s="61" t="n"/>
      <c r="L209" s="61" t="n"/>
      <c r="M209" s="60" t="n"/>
      <c r="N209" s="60" t="n"/>
      <c r="O209" s="62" t="n"/>
    </row>
    <row r="210" hidden="1" ht="26.25" customHeight="1" thickBot="1">
      <c r="D210" s="1305" t="inlineStr">
        <is>
          <t>Valor 
nominal
 (kg)</t>
        </is>
      </c>
      <c r="E210" s="1306" t="inlineStr">
        <is>
          <t>Indicación ascendente
(kg)</t>
        </is>
      </c>
      <c r="F210" s="1307" t="inlineStr">
        <is>
          <t>Error      encontrado
(kg)</t>
        </is>
      </c>
      <c r="G210" s="1316" t="inlineStr">
        <is>
          <t xml:space="preserve">Incremento de carga: </t>
        </is>
      </c>
      <c r="H210" s="1268" t="n"/>
      <c r="I210" s="1307" t="inlineStr">
        <is>
          <t>Error corregido por redondeo  (kg)</t>
        </is>
      </c>
      <c r="J210" s="37" t="inlineStr">
        <is>
          <t>Incertidumbre de medición (kg)</t>
        </is>
      </c>
      <c r="K210" s="1226" t="n"/>
      <c r="L210" s="1226" t="n"/>
      <c r="M210" s="1226" t="n"/>
      <c r="N210" s="1233" t="n"/>
      <c r="O210" s="1309" t="inlineStr">
        <is>
          <t>Tolerancia según Resolución 2307  (kg)</t>
        </is>
      </c>
      <c r="P210" s="1310" t="inlineStr">
        <is>
          <t>Condición de cumplimiento</t>
        </is>
      </c>
    </row>
    <row r="211" hidden="1" ht="21.75" customHeight="1" thickBot="1">
      <c r="D211" s="1312" t="n"/>
      <c r="E211" s="1313" t="n"/>
      <c r="F211" s="1314" t="n"/>
      <c r="G211" s="85" t="n">
        <v>5000</v>
      </c>
      <c r="H211" s="241" t="inlineStr">
        <is>
          <t>kg</t>
        </is>
      </c>
      <c r="I211" s="1314" t="n"/>
      <c r="J211" s="37" t="inlineStr">
        <is>
          <t>resolución</t>
        </is>
      </c>
      <c r="K211" s="41" t="inlineStr">
        <is>
          <t>fidelidad</t>
        </is>
      </c>
      <c r="L211" s="37" t="inlineStr">
        <is>
          <t>pesas patrones</t>
        </is>
      </c>
      <c r="M211" s="37" t="inlineStr">
        <is>
          <t>carga 
sustituta</t>
        </is>
      </c>
      <c r="N211" s="37" t="inlineStr">
        <is>
          <t>expandida</t>
        </is>
      </c>
      <c r="O211" s="1300" t="n"/>
      <c r="P211" s="1315" t="n"/>
    </row>
    <row r="212" hidden="1" ht="21" customHeight="1" thickBot="1">
      <c r="D212" s="358">
        <f>IF(AND(ISNUMBER(F208),ISNUMBER(F209)),F208-F209,"")</f>
        <v/>
      </c>
      <c r="E212" s="358">
        <f>IF(ISNUMBER(F208),F208,"")</f>
        <v/>
      </c>
      <c r="F212" s="358">
        <f>IF(ISNUMBER(D212),E212-D212,"")</f>
        <v/>
      </c>
      <c r="G212" s="358">
        <f>H209</f>
        <v/>
      </c>
      <c r="H212" s="358">
        <f>IF(AND(ISNUMBER(E212),ISNUMBER(G212),$B$59=1),IF($G$59="discontinua",(E212+($H$136/2)-G212),(E212-G212)),"")</f>
        <v/>
      </c>
      <c r="I212" s="358">
        <f>IF(AND(ISNUMBER(D212),ISNUMBER(H212)),H212-D212,"")</f>
        <v/>
      </c>
      <c r="J212" s="494">
        <f>IF(ISNUMBER(E212),$E$18/SQRT(12),"")</f>
        <v/>
      </c>
      <c r="K212" s="494">
        <f>IF(ISNUMBER(E212),MAX(K$96,K$120,K$108,K$132),"")</f>
        <v/>
      </c>
      <c r="L212" s="494" t="n">
        <v>6.1</v>
      </c>
      <c r="M212" s="494">
        <f>IF(ISNUMBER(T$186),T$186/2,"")</f>
        <v/>
      </c>
      <c r="N212" s="494">
        <f>IF(ISNUMBER(E212),2*SQRT(SUMSQ(J212,K212,L212)),"")</f>
        <v/>
      </c>
      <c r="O212" s="39">
        <f>IF(ISNUMBER(E212),IF(D212&lt;=$F$49,I$49,IF(D212&lt;=$F$50,$I$50,$I$51)),"")</f>
        <v/>
      </c>
      <c r="P212" s="498">
        <f>IF(ISNUMBER(F212),IF('Identificación del Instrumento'!$B$17="periódica",IF(ABS(F212)&lt;=O212,0,1),IF(ABS(I212)&lt;=O212,0,1)),"")</f>
        <v/>
      </c>
    </row>
    <row r="213" hidden="1" ht="21" customHeight="1" thickBot="1">
      <c r="D213" s="358">
        <f>IF(ISNUMBER($G$211),D212+$G$211,"")</f>
        <v/>
      </c>
      <c r="E213" s="496" t="n"/>
      <c r="F213" s="358">
        <f>IF(ISNUMBER(E213),E213-D213,"")</f>
        <v/>
      </c>
      <c r="G213" s="358" t="n">
        <v>10</v>
      </c>
      <c r="H213" s="358">
        <f>IF(AND(ISNUMBER(E213),ISNUMBER(G213),$B$59=1),IF($G$59="discontinua",(E213+($H$136/2)-G213),(E213-G213)),"")</f>
        <v/>
      </c>
      <c r="I213" s="358">
        <f>IF(AND(ISNUMBER(D213),ISNUMBER(H213)),H213-D213,"")</f>
        <v/>
      </c>
      <c r="J213" s="494">
        <f>IF(ISNUMBER(E213),$E$18/SQRT(12),"")</f>
        <v/>
      </c>
      <c r="K213" s="494">
        <f>IF(ISNUMBER(E213),MAX(K$96,K$120,K$108,K$132),"")</f>
        <v/>
      </c>
      <c r="L213" s="494" t="n">
        <v>7.1</v>
      </c>
      <c r="M213" s="494">
        <f>IF(ISNUMBER(T$186),T$186/2,"")</f>
        <v/>
      </c>
      <c r="N213" s="494">
        <f>IF(ISNUMBER(E213),2*SQRT(SUMSQ(J213,K213,L213)),"")</f>
        <v/>
      </c>
      <c r="O213" s="39">
        <f>IF(ISNUMBER(E213),IF(D213&lt;=$F$49,I$49,IF(D213&lt;=$F$50,$I$50,$I$51)),"")</f>
        <v/>
      </c>
      <c r="P213" s="498">
        <f>IF(ISNUMBER(F213),IF('Identificación del Instrumento'!$B$17="periódica",IF(ABS(F213)&lt;=O213,0,1),IF(ABS(I213)&lt;=O213,0,1)),"")</f>
        <v/>
      </c>
    </row>
    <row r="214" hidden="1" ht="21" customHeight="1" thickBot="1">
      <c r="D214" s="358">
        <f>IF(ISNUMBER($G$211),D213+$G$211,"")</f>
        <v/>
      </c>
      <c r="E214" s="496" t="n"/>
      <c r="F214" s="358">
        <f>IF(ISNUMBER(E214),E214-D214,"")</f>
        <v/>
      </c>
      <c r="G214" s="358" t="n">
        <v>10</v>
      </c>
      <c r="H214" s="358">
        <f>IF(AND(ISNUMBER(E214),ISNUMBER(G214),$B$59=1),IF($G$59="discontinua",(E214+($H$136/2)-G214),(E214-G214)),"")</f>
        <v/>
      </c>
      <c r="I214" s="358">
        <f>IF(AND(ISNUMBER(D214),ISNUMBER(H214)),H214-D214,"")</f>
        <v/>
      </c>
      <c r="J214" s="494">
        <f>IF(ISNUMBER(E214),$E$18/SQRT(12),"")</f>
        <v/>
      </c>
      <c r="K214" s="494">
        <f>IF(ISNUMBER(E214),MAX(K$96,K$120,K$108,K$132),"")</f>
        <v/>
      </c>
      <c r="L214" s="494" t="n">
        <v>8.1</v>
      </c>
      <c r="M214" s="494">
        <f>IF(ISNUMBER(T$186),T$186/2,"")</f>
        <v/>
      </c>
      <c r="N214" s="494">
        <f>IF(ISNUMBER(E214),2*SQRT(SUMSQ(J214,K214,L214)),"")</f>
        <v/>
      </c>
      <c r="O214" s="39">
        <f>IF(ISNUMBER(E214),IF(D214&lt;=$F$49,I$49,IF(D214&lt;=$F$50,$I$50,$I$51)),"")</f>
        <v/>
      </c>
      <c r="P214" s="498">
        <f>IF(ISNUMBER(F214),IF('Identificación del Instrumento'!$B$17="periódica",IF(ABS(F214)&lt;=O214,0,1),IF(ABS(I214)&lt;=O214,0,1)),"")</f>
        <v/>
      </c>
    </row>
    <row r="215" hidden="1" ht="21" customHeight="1" thickBot="1">
      <c r="D215" s="358">
        <f>IF(ISNUMBER($G$211),D214+$G$211,"")</f>
        <v/>
      </c>
      <c r="E215" s="496" t="n"/>
      <c r="F215" s="358">
        <f>IF(ISNUMBER(E215),E215-D215,"")</f>
        <v/>
      </c>
      <c r="G215" s="358" t="n">
        <v>10</v>
      </c>
      <c r="H215" s="358">
        <f>IF(AND(ISNUMBER(E215),ISNUMBER(G215),$B$59=1),IF($G$59="discontinua",(E215+($H$136/2)-G215),(E215-G215)),"")</f>
        <v/>
      </c>
      <c r="I215" s="358">
        <f>IF(AND(ISNUMBER(D215),ISNUMBER(H215)),H215-D215,"")</f>
        <v/>
      </c>
      <c r="J215" s="494">
        <f>IF(ISNUMBER(E215),$E$18/SQRT(12),"")</f>
        <v/>
      </c>
      <c r="K215" s="494">
        <f>IF(ISNUMBER(E215),MAX(K$96,K$120,K$108,K$132),"")</f>
        <v/>
      </c>
      <c r="L215" s="494" t="n">
        <v>9.1</v>
      </c>
      <c r="M215" s="494">
        <f>IF(ISNUMBER(T$186),T$186/2,"")</f>
        <v/>
      </c>
      <c r="N215" s="494">
        <f>IF(ISNUMBER(E215),2*SQRT(SUMSQ(J215,K215,L215)),"")</f>
        <v/>
      </c>
      <c r="O215" s="39">
        <f>IF(ISNUMBER(E215),IF(D215&lt;=$F$49,I$49,IF(D215&lt;=$F$50,$I$50,$I$51)),"")</f>
        <v/>
      </c>
      <c r="P215" s="498">
        <f>IF(ISNUMBER(F215),IF('Identificación del Instrumento'!$B$17="periódica",IF(ABS(F215)&lt;=O215,0,1),IF(ABS(I215)&lt;=O215,0,1)),"")</f>
        <v/>
      </c>
    </row>
    <row r="216" hidden="1" ht="21" customHeight="1" thickBot="1">
      <c r="D216" s="358">
        <f>IF(ISNUMBER($G$211),D215+$G$211,"")</f>
        <v/>
      </c>
      <c r="E216" s="496" t="n"/>
      <c r="F216" s="358">
        <f>IF(ISNUMBER(E216),E216-D216,"")</f>
        <v/>
      </c>
      <c r="G216" s="358" t="n">
        <v>10</v>
      </c>
      <c r="H216" s="358">
        <f>IF(AND(ISNUMBER(E216),ISNUMBER(G216),$B$59=1),IF($G$59="discontinua",(E216+($H$136/2)-G216),(E216-G216)),"")</f>
        <v/>
      </c>
      <c r="I216" s="358">
        <f>IF(AND(ISNUMBER(D216),ISNUMBER(H216)),H216-D216,"")</f>
        <v/>
      </c>
      <c r="J216" s="494">
        <f>IF(ISNUMBER(E216),$E$18/SQRT(12),"")</f>
        <v/>
      </c>
      <c r="K216" s="494">
        <f>IF(ISNUMBER(E216),MAX(K$96,K$120,K$108,K$132),"")</f>
        <v/>
      </c>
      <c r="L216" s="494" t="n">
        <v>10.1</v>
      </c>
      <c r="M216" s="494">
        <f>IF(ISNUMBER(T$186),T$186/2,"")</f>
        <v/>
      </c>
      <c r="N216" s="494">
        <f>IF(ISNUMBER(E216),2*SQRT(SUMSQ(J216,K216,L216)),"")</f>
        <v/>
      </c>
      <c r="O216" s="39">
        <f>IF(ISNUMBER(E216),IF(D216&lt;=$F$49,I$49,IF(D216&lt;=$F$50,$I$50,$I$51)),"")</f>
        <v/>
      </c>
      <c r="P216" s="498">
        <f>IF(ISNUMBER(F216),IF('Identificación del Instrumento'!$B$17="periódica",IF(ABS(F216)&lt;=O216,0,1),IF(ABS(I216)&lt;=O216,0,1)),"")</f>
        <v/>
      </c>
    </row>
    <row r="217" hidden="1" ht="21" customHeight="1" thickBot="1">
      <c r="D217" s="358" t="n"/>
      <c r="E217" s="496" t="n"/>
      <c r="F217" s="358">
        <f>IF(ISNUMBER(E217),E217-D217,"")</f>
        <v/>
      </c>
      <c r="G217" s="497" t="n">
        <v>8</v>
      </c>
      <c r="H217" s="358">
        <f>IF(AND(ISNUMBER(E217),ISNUMBER(G217),$B$59=1),IF($G$59="discontinua",(E217+($H$136/2)-G217),(E217-G217)),"")</f>
        <v/>
      </c>
      <c r="I217" s="358">
        <f>IF(AND(ISNUMBER(D217),ISNUMBER(H217)),H217-D217,"")</f>
        <v/>
      </c>
      <c r="J217" s="494">
        <f>IF(ISNUMBER(E217),$E$18/SQRT(12),"")</f>
        <v/>
      </c>
      <c r="K217" s="494">
        <f>IF(ISNUMBER(E217),MAX(K$96,K$120,K$108,K$132),"")</f>
        <v/>
      </c>
      <c r="L217" s="494" t="n">
        <v>11.1</v>
      </c>
      <c r="M217" s="494">
        <f>IF(ISNUMBER(T$186),T$186/2,"")</f>
        <v/>
      </c>
      <c r="N217" s="494">
        <f>IF(ISNUMBER(E217),2*SQRT(SUMSQ(J217,K217,L217)),"")</f>
        <v/>
      </c>
      <c r="O217" s="39">
        <f>IF(ISNUMBER(E217),IF(D217&lt;=$F$49,I$49,IF(D217&lt;=$F$50,$I$50,$I$51)),"")</f>
        <v/>
      </c>
      <c r="P217" s="498">
        <f>IF(ISNUMBER(F217),IF('Identificación del Instrumento'!$B$17="periódica",IF(ABS(F217)&lt;=O217,0,1),IF(ABS(I217)&lt;=O217,0,1)),"")</f>
        <v/>
      </c>
    </row>
    <row r="218" hidden="1" ht="21" customHeight="1" thickBot="1">
      <c r="D218" s="358" t="n"/>
      <c r="E218" s="496" t="n"/>
      <c r="F218" s="358">
        <f>IF(ISNUMBER(E218),E218-D218,"")</f>
        <v/>
      </c>
      <c r="G218" s="497">
        <f>IF(ISNUMBER(F218),IF('Identificación del Instrumento'!$F$17="PRIMITIVA","",IF($G$59="DISCONTINUA",$E$84/2,0)),"")</f>
        <v/>
      </c>
      <c r="H218" s="358">
        <f>IF(AND(ISNUMBER(E218),ISNUMBER(G218),$B$59=1),IF($G$59="discontinua",(E218+($H$136/2)-G218),(E218-G218)),"")</f>
        <v/>
      </c>
      <c r="I218" s="358">
        <f>IF(AND(ISNUMBER(D218),ISNUMBER(H218)),H218-D218,"")</f>
        <v/>
      </c>
      <c r="J218" s="494">
        <f>IF(ISNUMBER(E218),$E$18/SQRT(12),"")</f>
        <v/>
      </c>
      <c r="K218" s="494">
        <f>IF(ISNUMBER(E218),MAX(K$96,K$120,K$108,K$132),"")</f>
        <v/>
      </c>
      <c r="L218" s="494" t="n">
        <v>12.1</v>
      </c>
      <c r="M218" s="494">
        <f>IF(ISNUMBER(T$186),T$186/2,"")</f>
        <v/>
      </c>
      <c r="N218" s="494">
        <f>IF(ISNUMBER(E218),2*SQRT(SUMSQ(J218,K218,L218)),"")</f>
        <v/>
      </c>
      <c r="O218" s="39">
        <f>IF(ISNUMBER(E218),IF(D218&lt;=$F$49,I$49,IF(D218&lt;=$F$50,$I$50,$I$51)),"")</f>
        <v/>
      </c>
      <c r="P218" s="498">
        <f>IF(ISNUMBER(F218),IF('Identificación del Instrumento'!$B$17="periódica",IF(ABS(F218)&lt;=O218,0,1),IF(ABS(I218)&lt;=O218,0,1)),"")</f>
        <v/>
      </c>
    </row>
    <row r="219" ht="34.5" customHeight="1">
      <c r="D219" s="507" t="inlineStr">
        <is>
          <t>Para hacer más de 2 sustituciones deberá cumplir con el 0,2e (Balancero con 16000 kg de pesas) ó 0,3e (Balanceros con más de 22500 kg de pesas)</t>
        </is>
      </c>
      <c r="O219" s="442" t="inlineStr">
        <is>
          <t>N° de No cumplimientos</t>
        </is>
      </c>
      <c r="P219" s="443">
        <f>IF(COUNT(V143:V186)&gt;0,SUM(V143:V186,P196:P203,P212:P218),1)</f>
        <v/>
      </c>
    </row>
    <row r="220" ht="21" customHeight="1"/>
    <row r="221" ht="21" customHeight="1"/>
    <row r="222" ht="21" customHeight="1" thickBot="1"/>
    <row r="223" ht="21" customHeight="1" thickBot="1">
      <c r="D223" s="1303" t="inlineStr">
        <is>
          <t>TERCERA SUSTITUCIÓN</t>
        </is>
      </c>
      <c r="E223" s="388" t="n"/>
      <c r="F223" s="389" t="n"/>
      <c r="G223" s="989" t="n"/>
    </row>
    <row r="224" ht="21" customHeight="1" thickBot="1">
      <c r="D224" s="935" t="inlineStr">
        <is>
          <t>Peso del camión c/carga inicial (kg)</t>
        </is>
      </c>
      <c r="E224" s="1228" t="n"/>
      <c r="F224" s="237" t="n"/>
      <c r="G224" s="118" t="n"/>
      <c r="H224" s="118" t="n"/>
      <c r="J224" s="60" t="n"/>
      <c r="K224" s="61" t="n"/>
      <c r="L224" s="61" t="n"/>
      <c r="M224" s="60" t="n"/>
      <c r="N224" s="60" t="n"/>
      <c r="O224" s="62" t="n"/>
    </row>
    <row r="225" ht="21" customHeight="1" thickBot="1">
      <c r="D225" s="966" t="inlineStr">
        <is>
          <t>Error de la balanza al pesar el camion (kg)</t>
        </is>
      </c>
      <c r="E225" s="1304" t="n"/>
      <c r="F225" s="239" t="n"/>
      <c r="G225" s="319" t="inlineStr">
        <is>
          <t>REDONDEO (kg)</t>
        </is>
      </c>
      <c r="H225" s="240" t="n"/>
      <c r="J225" s="60" t="n"/>
      <c r="K225" s="61" t="n"/>
      <c r="L225" s="61" t="n"/>
      <c r="M225" s="60" t="n"/>
      <c r="N225" s="60" t="n"/>
      <c r="O225" s="62" t="n"/>
    </row>
    <row r="226" ht="21" customHeight="1" thickBot="1">
      <c r="D226" s="1305" t="inlineStr">
        <is>
          <t>Valor 
nominal
 (kg)</t>
        </is>
      </c>
      <c r="E226" s="1306" t="inlineStr">
        <is>
          <t>Indicación ascendente
(kg)</t>
        </is>
      </c>
      <c r="F226" s="1307" t="inlineStr">
        <is>
          <t>Error      encontrado
(kg)</t>
        </is>
      </c>
      <c r="G226" s="1316" t="inlineStr">
        <is>
          <t xml:space="preserve">Incremento de carga: </t>
        </is>
      </c>
      <c r="H226" s="1268" t="n"/>
      <c r="I226" s="1307" t="inlineStr">
        <is>
          <t>Error corregido por redondeo  (kg)</t>
        </is>
      </c>
      <c r="J226" s="37" t="inlineStr">
        <is>
          <t>Incertidumbre de medición (kg)</t>
        </is>
      </c>
      <c r="K226" s="1226" t="n"/>
      <c r="L226" s="1226" t="n"/>
      <c r="M226" s="1226" t="n"/>
      <c r="N226" s="1233" t="n"/>
      <c r="O226" s="1309" t="inlineStr">
        <is>
          <t>Tolerancia según Resolución 2307  (kg)</t>
        </is>
      </c>
      <c r="P226" s="1310" t="inlineStr">
        <is>
          <t>Condición de cumplimiento</t>
        </is>
      </c>
    </row>
    <row r="227" ht="21" customHeight="1" thickBot="1">
      <c r="D227" s="1312" t="n"/>
      <c r="E227" s="1313" t="n"/>
      <c r="F227" s="1314" t="n"/>
      <c r="G227" s="240" t="n">
        <v>4000</v>
      </c>
      <c r="H227" s="241" t="inlineStr">
        <is>
          <t>kg</t>
        </is>
      </c>
      <c r="I227" s="1314" t="n"/>
      <c r="J227" s="37" t="inlineStr">
        <is>
          <t>resolución</t>
        </is>
      </c>
      <c r="K227" s="41" t="inlineStr">
        <is>
          <t>fidelidad</t>
        </is>
      </c>
      <c r="L227" s="37" t="inlineStr">
        <is>
          <t>pesas patrones</t>
        </is>
      </c>
      <c r="M227" s="37" t="inlineStr">
        <is>
          <t>carga 
sustituta</t>
        </is>
      </c>
      <c r="N227" s="37" t="inlineStr">
        <is>
          <t>expandida</t>
        </is>
      </c>
      <c r="O227" s="1300" t="n"/>
      <c r="P227" s="1315" t="n"/>
    </row>
    <row r="228" ht="21" customHeight="1" thickBot="1">
      <c r="D228" s="358">
        <f>IF(AND(ISNUMBER(F224),ISNUMBER(F225)),F224-F225,"")</f>
        <v/>
      </c>
      <c r="E228" s="358">
        <f>IF(ISNUMBER(F224),F224,"")</f>
        <v/>
      </c>
      <c r="F228" s="358">
        <f>IF(ISNUMBER(D228),E228-D228,"")</f>
        <v/>
      </c>
      <c r="G228" s="358">
        <f>H225</f>
        <v/>
      </c>
      <c r="H228" s="358">
        <f>IF(AND(ISNUMBER(E228),ISNUMBER(G228),$B$59=1),IF($G$59="discontinua",(E228+($H$136/2)-G228),(E228-G228)),"")</f>
        <v/>
      </c>
      <c r="I228" s="358">
        <f>IF(AND(ISNUMBER(D228),ISNUMBER(H228)),H228-D228,"")</f>
        <v/>
      </c>
      <c r="J228" s="494">
        <f>IF(ISNUMBER(E228),$E$18/SQRT(12),"")</f>
        <v/>
      </c>
      <c r="K228" s="494">
        <f>IF(ISNUMBER(E228),MAX(K$94,K$118,K$106,K$130),"")</f>
        <v/>
      </c>
      <c r="L228" s="494" t="n">
        <v>6.1</v>
      </c>
      <c r="M228" s="494">
        <f>IF(ISNUMBER(T$184),T$184/2,"")</f>
        <v/>
      </c>
      <c r="N228" s="494">
        <f>IF(ISNUMBER(E228),2*SQRT(SUMSQ(J228,K228,L228)),"")</f>
        <v/>
      </c>
      <c r="O228" s="39">
        <f>IF(ISNUMBER(E228),IF(D228&lt;=$F$49,I$49,IF(D228&lt;=$F$50,$I$50,$I$51)),"")</f>
        <v/>
      </c>
      <c r="P228" s="498" t="inlineStr"/>
    </row>
    <row r="229" ht="21" customHeight="1" thickBot="1">
      <c r="D229" s="358">
        <f>IF(ISNUMBER($G$227),D228+$G$227,"")</f>
        <v/>
      </c>
      <c r="E229" s="496" t="n"/>
      <c r="F229" s="358">
        <f>IF(ISNUMBER(E229),E229-D229,"")</f>
        <v/>
      </c>
      <c r="G229" s="499">
        <f>IF(ISNUMBER(F229),IF('Identificación del Instrumento'!$F$17="PRIMITIVA","",IF($G$59="DISCONTINUA",$E$84/2,0)),"")</f>
        <v/>
      </c>
      <c r="H229" s="358">
        <f>IF(AND(ISNUMBER(E229),ISNUMBER(G229),$B$59=1),IF($G$59="discontinua",(E229+($H$136/2)-G229),(E229-G229)),"")</f>
        <v/>
      </c>
      <c r="I229" s="358">
        <f>IF(AND(ISNUMBER(D229),ISNUMBER(H229)),H229-D229,"")</f>
        <v/>
      </c>
      <c r="J229" s="494">
        <f>IF(ISNUMBER(E229),$E$18/SQRT(12),"")</f>
        <v/>
      </c>
      <c r="K229" s="494">
        <f>IF(ISNUMBER(E229),MAX(K$94,K$118,K$106,K$130),"")</f>
        <v/>
      </c>
      <c r="L229" s="494" t="n">
        <v>7.1</v>
      </c>
      <c r="M229" s="494">
        <f>IF(ISNUMBER(T$184),T$184/2,"")</f>
        <v/>
      </c>
      <c r="N229" s="494">
        <f>IF(ISNUMBER(E229),2*SQRT(SUMSQ(J229,K229,L229)),"")</f>
        <v/>
      </c>
      <c r="O229" s="39">
        <f>IF(ISNUMBER(E229),IF(D229&lt;=$F$49,I$49,IF(D229&lt;=$F$50,$I$50,$I$51)),"")</f>
        <v/>
      </c>
      <c r="P229" s="498" t="inlineStr"/>
    </row>
    <row r="230" ht="21" customHeight="1" thickBot="1">
      <c r="D230" s="358">
        <f>IF(ISNUMBER($G$227),D229+$G$227,"")</f>
        <v/>
      </c>
      <c r="E230" s="496" t="n"/>
      <c r="F230" s="358">
        <f>IF(ISNUMBER(E230),E230-D230,"")</f>
        <v/>
      </c>
      <c r="G230" s="497">
        <f>IF(ISNUMBER(F230),IF('Identificación del Instrumento'!$F$17="PRIMITIVA","",IF($G$59="DISCONTINUA",$E$84/2,0)),"")</f>
        <v/>
      </c>
      <c r="H230" s="358">
        <f>IF(AND(ISNUMBER(E230),ISNUMBER(G230),$B$59=1),IF($G$59="discontinua",(E230+($H$136/2)-G230),(E230-G230)),"")</f>
        <v/>
      </c>
      <c r="I230" s="358">
        <f>IF(AND(ISNUMBER(D230),ISNUMBER(H230)),H230-D230,"")</f>
        <v/>
      </c>
      <c r="J230" s="494">
        <f>IF(ISNUMBER(E230),$E$18/SQRT(12),"")</f>
        <v/>
      </c>
      <c r="K230" s="494">
        <f>IF(ISNUMBER(E230),MAX(K$94,K$118,K$106,K$130),"")</f>
        <v/>
      </c>
      <c r="L230" s="494" t="n">
        <v>8.1</v>
      </c>
      <c r="M230" s="494">
        <f>IF(ISNUMBER(T$184),T$184/2,"")</f>
        <v/>
      </c>
      <c r="N230" s="494">
        <f>IF(ISNUMBER(E230),2*SQRT(SUMSQ(J230,K230,L230)),"")</f>
        <v/>
      </c>
      <c r="O230" s="39">
        <f>IF(ISNUMBER(E230),IF(D230&lt;=$F$49,I$49,IF(D230&lt;=$F$50,$I$50,$I$51)),"")</f>
        <v/>
      </c>
      <c r="P230" s="498" t="inlineStr"/>
    </row>
    <row r="231" ht="21" customHeight="1" thickBot="1">
      <c r="D231" s="358">
        <f>IF(ISNUMBER($G$227),D230+$G$227,"")</f>
        <v/>
      </c>
      <c r="E231" s="496" t="n"/>
      <c r="F231" s="358">
        <f>IF(ISNUMBER(E231),E231-D231,"")</f>
        <v/>
      </c>
      <c r="G231" s="497">
        <f>IF(ISNUMBER(F231),IF('Identificación del Instrumento'!$F$17="PRIMITIVA","",IF($G$59="DISCONTINUA",$E$84/2,0)),"")</f>
        <v/>
      </c>
      <c r="H231" s="358">
        <f>IF(AND(ISNUMBER(E231),ISNUMBER(G231),$B$59=1),IF($G$59="discontinua",(E231+($H$136/2)-G231),(E231-G231)),"")</f>
        <v/>
      </c>
      <c r="I231" s="358">
        <f>IF(AND(ISNUMBER(D231),ISNUMBER(H231)),H231-D231,"")</f>
        <v/>
      </c>
      <c r="J231" s="494">
        <f>IF(ISNUMBER(E231),$E$18/SQRT(12),"")</f>
        <v/>
      </c>
      <c r="K231" s="494">
        <f>IF(ISNUMBER(E231),MAX(K$94,K$118,K$106,K$130),"")</f>
        <v/>
      </c>
      <c r="L231" s="494" t="n">
        <v>9.1</v>
      </c>
      <c r="M231" s="494">
        <f>IF(ISNUMBER(T$184),T$184/2,"")</f>
        <v/>
      </c>
      <c r="N231" s="494">
        <f>IF(ISNUMBER(E231),2*SQRT(SUMSQ(J231,K231,L231)),"")</f>
        <v/>
      </c>
      <c r="O231" s="39">
        <f>IF(ISNUMBER(E231),IF(D231&lt;=$F$49,I$49,IF(D231&lt;=$F$50,$I$50,$I$51)),"")</f>
        <v/>
      </c>
      <c r="P231" s="498" t="inlineStr"/>
    </row>
    <row r="232" ht="21" customHeight="1" thickBot="1">
      <c r="D232" s="358">
        <f>IF(ISNUMBER($G$227),D231+$G$227,"")</f>
        <v/>
      </c>
      <c r="E232" s="496" t="n"/>
      <c r="F232" s="358">
        <f>IF(ISNUMBER(E232),E232-D232,"")</f>
        <v/>
      </c>
      <c r="G232" s="497">
        <f>IF(ISNUMBER(F232),IF('Identificación del Instrumento'!$F$17="PRIMITIVA","",IF($G$59="DISCONTINUA",$E$84/2,0)),"")</f>
        <v/>
      </c>
      <c r="H232" s="358">
        <f>IF(AND(ISNUMBER(E232),ISNUMBER(G232),$B$59=1),IF($G$59="discontinua",(E232+($H$136/2)-G232),(E232-G232)),"")</f>
        <v/>
      </c>
      <c r="I232" s="358">
        <f>IF(AND(ISNUMBER(D232),ISNUMBER(H232)),H232-D232,"")</f>
        <v/>
      </c>
      <c r="J232" s="494">
        <f>IF(ISNUMBER(E232),$E$18/SQRT(12),"")</f>
        <v/>
      </c>
      <c r="K232" s="494">
        <f>IF(ISNUMBER(E232),MAX(K$94,K$118,K$106,K$130),"")</f>
        <v/>
      </c>
      <c r="L232" s="494" t="n">
        <v>10.1</v>
      </c>
      <c r="M232" s="494">
        <f>IF(ISNUMBER(T$184),T$184/2,"")</f>
        <v/>
      </c>
      <c r="N232" s="494">
        <f>IF(ISNUMBER(E232),2*SQRT(SUMSQ(J232,K232,L232)),"")</f>
        <v/>
      </c>
      <c r="O232" s="39">
        <f>IF(ISNUMBER(E232),IF(D232&lt;=$F$49,I$49,IF(D232&lt;=$F$50,$I$50,$I$51)),"")</f>
        <v/>
      </c>
      <c r="P232" s="498" t="inlineStr"/>
    </row>
    <row r="233" ht="21" customHeight="1" thickBot="1">
      <c r="D233" s="358">
        <f>IF(ISNUMBER($G$227),D232+$G$227,"")</f>
        <v/>
      </c>
      <c r="E233" s="496" t="n"/>
      <c r="F233" s="358">
        <f>IF(ISNUMBER(E233),E233-D233,"")</f>
        <v/>
      </c>
      <c r="G233" s="497">
        <f>IF(ISNUMBER(F233),IF('Identificación del Instrumento'!$F$17="PRIMITIVA","",IF($G$59="DISCONTINUA",$E$84/2,0)),"")</f>
        <v/>
      </c>
      <c r="H233" s="358">
        <f>IF(AND(ISNUMBER(E233),ISNUMBER(G233),$B$59=1),IF($G$59="discontinua",(E233+($H$136/2)-G233),(E233-G233)),"")</f>
        <v/>
      </c>
      <c r="I233" s="358">
        <f>IF(AND(ISNUMBER(D233),ISNUMBER(H233)),H233-D233,"")</f>
        <v/>
      </c>
      <c r="J233" s="494">
        <f>IF(ISNUMBER(E233),$E$18/SQRT(12),"")</f>
        <v/>
      </c>
      <c r="K233" s="494">
        <f>IF(ISNUMBER(E233),MAX(K$94,K$118,K$106,K$130),"")</f>
        <v/>
      </c>
      <c r="L233" s="494" t="n">
        <v>10.1</v>
      </c>
      <c r="M233" s="494">
        <f>IF(ISNUMBER(T$184),T$184/2,"")</f>
        <v/>
      </c>
      <c r="N233" s="494">
        <f>IF(ISNUMBER(E233),2*SQRT(SUMSQ(J233,K233,L233)),"")</f>
        <v/>
      </c>
      <c r="O233" s="39">
        <f>IF(ISNUMBER(E233),IF(D233&lt;=$F$49,I$49,IF(D233&lt;=$F$50,$I$50,$I$51)),"")</f>
        <v/>
      </c>
      <c r="P233" s="498" t="inlineStr"/>
    </row>
    <row r="234" ht="21" customHeight="1" thickBot="1">
      <c r="D234" s="358">
        <f>IF(ISNUMBER($G$227),D233+$G$227,"")</f>
        <v/>
      </c>
      <c r="E234" s="496" t="n"/>
      <c r="F234" s="358">
        <f>IF(ISNUMBER(E234),E234-D234,"")</f>
        <v/>
      </c>
      <c r="G234" s="499">
        <f>IF(ISNUMBER(F234),IF('Identificación del Instrumento'!$F$17="PRIMITIVA","",IF($G$59="DISCONTINUA",$E$84/2,0)),"")</f>
        <v/>
      </c>
      <c r="H234" s="358">
        <f>IF(AND(ISNUMBER(E234),ISNUMBER(G234),$B$59=1),IF($G$59="discontinua",(E234+($H$136/2)-G234),(E234-G234)),"")</f>
        <v/>
      </c>
      <c r="I234" s="358">
        <f>IF(AND(ISNUMBER(D234),ISNUMBER(H234)),H234-D234,"")</f>
        <v/>
      </c>
      <c r="J234" s="494">
        <f>IF(ISNUMBER(E234),$E$18/SQRT(12),"")</f>
        <v/>
      </c>
      <c r="K234" s="494">
        <f>IF(ISNUMBER(E234),MAX(K$94,K$118,K$106,K$130),"")</f>
        <v/>
      </c>
      <c r="L234" s="494" t="n">
        <v>10.1</v>
      </c>
      <c r="M234" s="494">
        <f>IF(ISNUMBER(T$184),T$184/2,"")</f>
        <v/>
      </c>
      <c r="N234" s="494">
        <f>IF(ISNUMBER(E234),2*SQRT(SUMSQ(J234,K234,L234)),"")</f>
        <v/>
      </c>
      <c r="O234" s="39">
        <f>IF(ISNUMBER(E234),IF(D234&lt;=$F$49,I$49,IF(D234&lt;=$F$50,$I$50,$I$51)),"")</f>
        <v/>
      </c>
      <c r="P234" s="498" t="inlineStr"/>
    </row>
    <row r="235" ht="21" customHeight="1">
      <c r="O235" s="442" t="inlineStr">
        <is>
          <t>N° de No cumplimientos</t>
        </is>
      </c>
      <c r="P235" s="446">
        <f>IF(COUNT(V143:V186)&gt;0,SUM(V143:V186,P196:P203,P212:P218,P228:P234),1)</f>
        <v/>
      </c>
    </row>
    <row r="236" ht="21" customHeight="1"/>
    <row r="237" ht="21" customHeight="1"/>
    <row r="238" ht="21" customHeight="1" thickBot="1"/>
    <row r="239" ht="21" customHeight="1" thickBot="1">
      <c r="D239" s="1303" t="inlineStr">
        <is>
          <t>CUARTA SUSTITUCIÓN</t>
        </is>
      </c>
      <c r="E239" s="388" t="n"/>
      <c r="F239" s="389" t="n"/>
      <c r="G239" s="987" t="n"/>
    </row>
    <row r="240" ht="21" customHeight="1" thickBot="1">
      <c r="D240" s="935" t="inlineStr">
        <is>
          <t>Peso del camión c/carga inicial (kg)</t>
        </is>
      </c>
      <c r="E240" s="1228" t="n"/>
      <c r="F240" s="237" t="n"/>
      <c r="G240" s="118" t="n"/>
      <c r="H240" s="118" t="n"/>
      <c r="J240" s="60" t="n"/>
      <c r="K240" s="61" t="n"/>
      <c r="L240" s="61" t="n"/>
      <c r="M240" s="60" t="n"/>
      <c r="N240" s="60" t="n"/>
      <c r="O240" s="62" t="n"/>
    </row>
    <row r="241" ht="21" customHeight="1" thickBot="1">
      <c r="D241" s="966" t="inlineStr">
        <is>
          <t>Error de la balanza al pesar el camion (kg)</t>
        </is>
      </c>
      <c r="E241" s="1304" t="n"/>
      <c r="F241" s="239" t="n"/>
      <c r="G241" s="319" t="inlineStr">
        <is>
          <t>REDONDEO (kg)</t>
        </is>
      </c>
      <c r="H241" s="240" t="n"/>
      <c r="J241" s="60" t="n"/>
      <c r="K241" s="61" t="n"/>
      <c r="L241" s="61" t="n"/>
      <c r="M241" s="60" t="n"/>
      <c r="N241" s="60" t="n"/>
      <c r="O241" s="62" t="n"/>
    </row>
    <row r="242" ht="21" customHeight="1" thickBot="1">
      <c r="D242" s="1305" t="inlineStr">
        <is>
          <t>Valor 
nominal
 (kg)</t>
        </is>
      </c>
      <c r="E242" s="1306" t="inlineStr">
        <is>
          <t>Indicación ascendente
(kg)</t>
        </is>
      </c>
      <c r="F242" s="1307" t="inlineStr">
        <is>
          <t>Error      encontrado
(kg)</t>
        </is>
      </c>
      <c r="G242" s="1316" t="inlineStr">
        <is>
          <t xml:space="preserve">Incremento de carga: </t>
        </is>
      </c>
      <c r="H242" s="1268" t="n"/>
      <c r="I242" s="1307" t="inlineStr">
        <is>
          <t>Error corregido por redondeo  (kg)</t>
        </is>
      </c>
      <c r="J242" s="37" t="inlineStr">
        <is>
          <t>Incertidumbre de medición (kg)</t>
        </is>
      </c>
      <c r="K242" s="1226" t="n"/>
      <c r="L242" s="1226" t="n"/>
      <c r="M242" s="1226" t="n"/>
      <c r="N242" s="1233" t="n"/>
      <c r="O242" s="1309" t="inlineStr">
        <is>
          <t>Tolerancia según Resolución 2307  (kg)</t>
        </is>
      </c>
      <c r="P242" s="1310" t="inlineStr">
        <is>
          <t>Condición de cumplimiento</t>
        </is>
      </c>
    </row>
    <row r="243" ht="21" customHeight="1" thickBot="1">
      <c r="D243" s="1312" t="n"/>
      <c r="E243" s="1313" t="n"/>
      <c r="F243" s="1314" t="n"/>
      <c r="G243" s="240" t="n"/>
      <c r="H243" s="241" t="inlineStr">
        <is>
          <t>kg</t>
        </is>
      </c>
      <c r="I243" s="1314" t="n"/>
      <c r="J243" s="37" t="inlineStr">
        <is>
          <t>resolución</t>
        </is>
      </c>
      <c r="K243" s="41" t="inlineStr">
        <is>
          <t>fidelidad</t>
        </is>
      </c>
      <c r="L243" s="37" t="inlineStr">
        <is>
          <t>pesas patrones</t>
        </is>
      </c>
      <c r="M243" s="37" t="inlineStr">
        <is>
          <t>carga 
sustituta</t>
        </is>
      </c>
      <c r="N243" s="37" t="inlineStr">
        <is>
          <t>expandida</t>
        </is>
      </c>
      <c r="O243" s="1300" t="n"/>
      <c r="P243" s="1315" t="n"/>
    </row>
    <row r="244" ht="21" customHeight="1" thickBot="1">
      <c r="D244" s="358">
        <f>IF(AND(ISNUMBER(F240),ISNUMBER(F241)),F240-F241,"")</f>
        <v/>
      </c>
      <c r="E244" s="358">
        <f>IF(ISNUMBER(F240),F240,"")</f>
        <v/>
      </c>
      <c r="F244" s="358">
        <f>IF(ISNUMBER(E244),E244-D244,"")</f>
        <v/>
      </c>
      <c r="G244" s="358">
        <f>H241</f>
        <v/>
      </c>
      <c r="H244" s="358">
        <f>IF(AND(ISNUMBER(E244),ISNUMBER(G244),$B$59=1),IF($G$59="discontinua",(E244+($H$136/2)-G244),(E244-G244)),"")</f>
        <v/>
      </c>
      <c r="I244" s="358">
        <f>IF(AND(ISNUMBER(D244),ISNUMBER(H244)),H244-D244,"")</f>
        <v/>
      </c>
      <c r="J244" s="494">
        <f>IF(ISNUMBER(E244),$E$18/SQRT(12),"")</f>
        <v/>
      </c>
      <c r="K244" s="494">
        <f>IF(ISNUMBER(E244),MAX(K$94,K$118,K$106,K$130),"")</f>
        <v/>
      </c>
      <c r="L244" s="494" t="n">
        <v>6.1</v>
      </c>
      <c r="M244" s="494">
        <f>IF(ISNUMBER(T$184),T$184/2,"")</f>
        <v/>
      </c>
      <c r="N244" s="494">
        <f>IF(ISNUMBER(E244),2*SQRT(SUMSQ(J244,K244,L244)),"")</f>
        <v/>
      </c>
      <c r="O244" s="39">
        <f>IF(ISNUMBER(E244),IF(D244&lt;=$F$49,I$49,IF(D244&lt;=$F$50,$I$50,$I$51)),"")</f>
        <v/>
      </c>
      <c r="P244" s="498" t="inlineStr"/>
    </row>
    <row r="245" ht="21" customHeight="1" thickBot="1">
      <c r="D245" s="358">
        <f>IF(ISNUMBER($G$243),D244+$G$243,"")</f>
        <v/>
      </c>
      <c r="E245" s="496" t="n"/>
      <c r="F245" s="358">
        <f>IF(ISNUMBER(E245),E245-D245,"")</f>
        <v/>
      </c>
      <c r="G245" s="497">
        <f>IF(ISNUMBER(F245),IF('Identificación del Instrumento'!$F$17="PRIMITIVA","",IF($G$59="DISCONTINUA",$E$84/2,0)),"")</f>
        <v/>
      </c>
      <c r="H245" s="358">
        <f>IF(AND(ISNUMBER(E245),ISNUMBER(G245),$B$59=1),IF($G$59="discontinua",(E245+($H$136/2)-G245),(E245-G245)),"")</f>
        <v/>
      </c>
      <c r="I245" s="358">
        <f>IF(AND(ISNUMBER(D245),ISNUMBER(H245)),H245-D245,"")</f>
        <v/>
      </c>
      <c r="J245" s="494">
        <f>IF(ISNUMBER(E245),$E$18/SQRT(12),"")</f>
        <v/>
      </c>
      <c r="K245" s="494">
        <f>IF(ISNUMBER(E245),MAX(K$94,K$118,K$106,K$130),"")</f>
        <v/>
      </c>
      <c r="L245" s="494" t="n">
        <v>7.1</v>
      </c>
      <c r="M245" s="494">
        <f>IF(ISNUMBER(T$184),T$184/2,"")</f>
        <v/>
      </c>
      <c r="N245" s="494">
        <f>IF(ISNUMBER(E245),2*SQRT(SUMSQ(J245,K245,L245)),"")</f>
        <v/>
      </c>
      <c r="O245" s="39">
        <f>IF(ISNUMBER(E245),IF(D245&lt;=$F$49,I$49,IF(D245&lt;=$F$50,$I$50,$I$51)),"")</f>
        <v/>
      </c>
      <c r="P245" s="498" t="inlineStr"/>
    </row>
    <row r="246" ht="21" customHeight="1" thickBot="1">
      <c r="D246" s="358">
        <f>IF(ISNUMBER($G$243),D245+$G$243,"")</f>
        <v/>
      </c>
      <c r="E246" s="496" t="n"/>
      <c r="F246" s="358">
        <f>IF(ISNUMBER(E246),E246-D246,"")</f>
        <v/>
      </c>
      <c r="G246" s="497">
        <f>IF(ISNUMBER(F246),IF('Identificación del Instrumento'!$F$17="PRIMITIVA","",IF($G$59="DISCONTINUA",$E$84/2,0)),"")</f>
        <v/>
      </c>
      <c r="H246" s="358">
        <f>IF(AND(ISNUMBER(E246),ISNUMBER(G246),$B$59=1),IF($G$59="discontinua",(E246+($H$136/2)-G246),(E246-G246)),"")</f>
        <v/>
      </c>
      <c r="I246" s="358">
        <f>IF(AND(ISNUMBER(D246),ISNUMBER(H246)),H246-D246,"")</f>
        <v/>
      </c>
      <c r="J246" s="494">
        <f>IF(ISNUMBER(E246),$E$18/SQRT(12),"")</f>
        <v/>
      </c>
      <c r="K246" s="494">
        <f>IF(ISNUMBER(E246),MAX(K$94,K$118,K$106,K$130),"")</f>
        <v/>
      </c>
      <c r="L246" s="494" t="n">
        <v>8.1</v>
      </c>
      <c r="M246" s="494">
        <f>IF(ISNUMBER(T$184),T$184/2,"")</f>
        <v/>
      </c>
      <c r="N246" s="494">
        <f>IF(ISNUMBER(E246),2*SQRT(SUMSQ(J246,K246,L246)),"")</f>
        <v/>
      </c>
      <c r="O246" s="39">
        <f>IF(ISNUMBER(E246),IF(D246&lt;=$F$49,I$49,IF(D246&lt;=$F$50,$I$50,$I$51)),"")</f>
        <v/>
      </c>
      <c r="P246" s="498" t="inlineStr"/>
    </row>
    <row r="247" ht="21" customHeight="1" thickBot="1">
      <c r="D247" s="358">
        <f>IF(ISNUMBER($G$243),D246+$G$243,"")</f>
        <v/>
      </c>
      <c r="E247" s="496" t="n"/>
      <c r="F247" s="358">
        <f>IF(ISNUMBER(E247),E247-D247,"")</f>
        <v/>
      </c>
      <c r="G247" s="497">
        <f>IF(ISNUMBER(F247),IF('Identificación del Instrumento'!$F$17="PRIMITIVA","",IF($G$59="DISCONTINUA",$E$84/2,0)),"")</f>
        <v/>
      </c>
      <c r="H247" s="358">
        <f>IF(AND(ISNUMBER(E247),ISNUMBER(G247),$B$59=1),IF($G$59="discontinua",(E247+($H$136/2)-G247),(E247-G247)),"")</f>
        <v/>
      </c>
      <c r="I247" s="358">
        <f>IF(AND(ISNUMBER(D247),ISNUMBER(H247)),H247-D247,"")</f>
        <v/>
      </c>
      <c r="J247" s="494">
        <f>IF(ISNUMBER(E247),$E$18/SQRT(12),"")</f>
        <v/>
      </c>
      <c r="K247" s="494">
        <f>IF(ISNUMBER(E247),MAX(K$94,K$118,K$106,K$130),"")</f>
        <v/>
      </c>
      <c r="L247" s="494" t="n">
        <v>9.1</v>
      </c>
      <c r="M247" s="494">
        <f>IF(ISNUMBER(T$184),T$184/2,"")</f>
        <v/>
      </c>
      <c r="N247" s="494">
        <f>IF(ISNUMBER(E247),2*SQRT(SUMSQ(J247,K247,L247)),"")</f>
        <v/>
      </c>
      <c r="O247" s="39">
        <f>IF(ISNUMBER(E247),IF(D247&lt;=$F$49,I$49,IF(D247&lt;=$F$50,$I$50,$I$51)),"")</f>
        <v/>
      </c>
      <c r="P247" s="498" t="inlineStr"/>
    </row>
    <row r="248" ht="21" customHeight="1" thickBot="1">
      <c r="D248" s="358">
        <f>IF(ISNUMBER($G$243),D247+$G$243,"")</f>
        <v/>
      </c>
      <c r="E248" s="496" t="n"/>
      <c r="F248" s="358">
        <f>IF(ISNUMBER(E248),E248-D248,"")</f>
        <v/>
      </c>
      <c r="G248" s="497">
        <f>IF(ISNUMBER(F248),IF('Identificación del Instrumento'!$F$17="PRIMITIVA","",IF($G$59="DISCONTINUA",$E$84/2,0)),"")</f>
        <v/>
      </c>
      <c r="H248" s="358">
        <f>IF(AND(ISNUMBER(E248),ISNUMBER(G248),$B$59=1),IF($G$59="discontinua",(E248+($H$136/2)-G248),(E248-G248)),"")</f>
        <v/>
      </c>
      <c r="I248" s="358">
        <f>IF(AND(ISNUMBER(D248),ISNUMBER(H248)),H248-D248,"")</f>
        <v/>
      </c>
      <c r="J248" s="494">
        <f>IF(ISNUMBER(E248),$E$18/SQRT(12),"")</f>
        <v/>
      </c>
      <c r="K248" s="494">
        <f>IF(ISNUMBER(E248),MAX(K$94,K$118,K$106,K$130),"")</f>
        <v/>
      </c>
      <c r="L248" s="494" t="n">
        <v>10.1</v>
      </c>
      <c r="M248" s="494">
        <f>IF(ISNUMBER(T$184),T$184/2,"")</f>
        <v/>
      </c>
      <c r="N248" s="494">
        <f>IF(ISNUMBER(E248),2*SQRT(SUMSQ(J248,K248,L248)),"")</f>
        <v/>
      </c>
      <c r="O248" s="39">
        <f>IF(ISNUMBER(E248),IF(D248&lt;=$F$49,I$49,IF(D248&lt;=$F$50,$I$50,$I$51)),"")</f>
        <v/>
      </c>
      <c r="P248" s="498" t="inlineStr"/>
    </row>
    <row r="249" ht="21" customHeight="1" thickBot="1">
      <c r="D249" s="358">
        <f>IF(ISNUMBER($G$243),D248+$G$243,"")</f>
        <v/>
      </c>
      <c r="E249" s="496" t="n"/>
      <c r="F249" s="358">
        <f>IF(ISNUMBER(E249),E249-D249,"")</f>
        <v/>
      </c>
      <c r="G249" s="497">
        <f>IF(ISNUMBER(F249),IF('Identificación del Instrumento'!$F$17="PRIMITIVA","",IF($G$59="DISCONTINUA",$E$84/2,0)),"")</f>
        <v/>
      </c>
      <c r="H249" s="358">
        <f>IF(AND(ISNUMBER(E249),ISNUMBER(G249),$B$59=1),IF($G$59="discontinua",(E249+($H$136/2)-G249),(E249-G249)),"")</f>
        <v/>
      </c>
      <c r="I249" s="358">
        <f>IF(AND(ISNUMBER(D249),ISNUMBER(H249)),H249-D249,"")</f>
        <v/>
      </c>
      <c r="J249" s="494">
        <f>IF(ISNUMBER(E249),$E$18/SQRT(12),"")</f>
        <v/>
      </c>
      <c r="K249" s="494">
        <f>IF(ISNUMBER(E249),MAX(K$94,K$118,K$106,K$130),"")</f>
        <v/>
      </c>
      <c r="L249" s="494" t="n">
        <v>10.1</v>
      </c>
      <c r="M249" s="494">
        <f>IF(ISNUMBER(T$184),T$184/2,"")</f>
        <v/>
      </c>
      <c r="N249" s="494">
        <f>IF(ISNUMBER(E249),2*SQRT(SUMSQ(J249,K249,L249)),"")</f>
        <v/>
      </c>
      <c r="O249" s="39">
        <f>IF(ISNUMBER(E249),IF(D249&lt;=$F$49,I$49,IF(D249&lt;=$F$50,$I$50,$I$51)),"")</f>
        <v/>
      </c>
      <c r="P249" s="498" t="inlineStr"/>
    </row>
    <row r="250" ht="21" customHeight="1" thickBot="1">
      <c r="D250" s="358">
        <f>IF(ISNUMBER($G$243),D249+$G$243,"")</f>
        <v/>
      </c>
      <c r="E250" s="496" t="n"/>
      <c r="F250" s="358">
        <f>IF(ISNUMBER(E250),E250-D250,"")</f>
        <v/>
      </c>
      <c r="G250" s="499">
        <f>IF(ISNUMBER(F250),IF('Identificación del Instrumento'!$F$17="PRIMITIVA","",IF($G$59="DISCONTINUA",$E$84/2,0)),"")</f>
        <v/>
      </c>
      <c r="H250" s="358">
        <f>IF(AND(ISNUMBER(E250),ISNUMBER(G250),$B$59=1),IF($G$59="discontinua",(E250+($H$136/2)-G250),(E250-G250)),"")</f>
        <v/>
      </c>
      <c r="I250" s="358">
        <f>IF(AND(ISNUMBER(D250),ISNUMBER(H250)),H250-D250,"")</f>
        <v/>
      </c>
      <c r="J250" s="494">
        <f>IF(ISNUMBER(E250),$E$18/SQRT(12),"")</f>
        <v/>
      </c>
      <c r="K250" s="494">
        <f>IF(ISNUMBER(E250),MAX(K$94,K$118,K$106,K$130),"")</f>
        <v/>
      </c>
      <c r="L250" s="494" t="n">
        <v>10.1</v>
      </c>
      <c r="M250" s="494">
        <f>IF(ISNUMBER(T$184),T$184/2,"")</f>
        <v/>
      </c>
      <c r="N250" s="494">
        <f>IF(ISNUMBER(E250),2*SQRT(SUMSQ(J250,K250,L250)),"")</f>
        <v/>
      </c>
      <c r="O250" s="39">
        <f>IF(ISNUMBER(E250),IF(D250&lt;=$F$49,I$49,IF(D250&lt;=$F$50,$I$50,$I$51)),"")</f>
        <v/>
      </c>
      <c r="P250" s="498" t="inlineStr"/>
    </row>
    <row r="251" ht="21" customHeight="1">
      <c r="O251" s="445" t="inlineStr">
        <is>
          <t>N° de No cumplimientos</t>
        </is>
      </c>
      <c r="P251" s="444">
        <f>IF(COUNT(V143:V186)&gt;0,SUM(V143:V186,P196:P203,P212:P218,P228:P234,P244:P250),1)</f>
        <v/>
      </c>
    </row>
    <row r="252" ht="21" customHeight="1"/>
    <row r="253" ht="21" customHeight="1"/>
    <row r="254" ht="21.95" customHeight="1"/>
    <row r="255" ht="21.95" customHeight="1"/>
    <row r="256" ht="21.95" customHeight="1"/>
    <row r="257" ht="21.95" customHeight="1"/>
    <row r="258" ht="21.95" customHeight="1"/>
    <row r="259" ht="21.95" customHeight="1"/>
    <row r="260" ht="21.95" customHeight="1"/>
    <row r="261" ht="21.95" customHeight="1"/>
    <row r="262" ht="21.95" customHeight="1"/>
    <row r="263" ht="21.95" customHeight="1"/>
    <row r="264" ht="21.95" customHeight="1"/>
    <row r="265" ht="21.95" customHeight="1"/>
    <row r="266" ht="21.95" customHeight="1"/>
    <row r="267" ht="21.95" customHeight="1"/>
    <row r="268" ht="21.95" customHeight="1"/>
    <row r="269" ht="21.95" customHeight="1"/>
    <row r="270" ht="21.95" customHeight="1"/>
    <row r="271" ht="21.95" customHeight="1"/>
    <row r="272" ht="21.95" customHeight="1"/>
    <row r="273" ht="21.95" customHeight="1"/>
    <row r="274" ht="21.95" customHeight="1"/>
    <row r="275" ht="21.95" customHeight="1"/>
    <row r="276" ht="21.95" customHeight="1"/>
    <row r="277" ht="21.95" customHeight="1"/>
    <row r="278" ht="21.95" customHeight="1"/>
    <row r="279" ht="21.95" customHeight="1"/>
    <row r="280" ht="21.95" customHeight="1"/>
    <row r="281" ht="21.95" customHeight="1"/>
    <row r="282" ht="21.95" customHeight="1"/>
    <row r="283" ht="21.95" customHeight="1"/>
    <row r="284" ht="21.95" customHeight="1"/>
    <row r="285" ht="21.95" customHeight="1"/>
    <row r="286" ht="21.95" customHeight="1"/>
    <row r="287" ht="21.95" customHeight="1"/>
    <row r="288" ht="21.95" customHeight="1"/>
    <row r="289" ht="21.95" customHeight="1"/>
    <row r="290" ht="21.95" customHeight="1"/>
    <row r="291" ht="21.95" customHeight="1"/>
    <row r="292" ht="21.95" customHeight="1"/>
    <row r="293" ht="21.95" customHeight="1"/>
    <row r="294" ht="21.95" customHeight="1"/>
    <row r="295" ht="21.95" customHeight="1"/>
    <row r="296" ht="21.95" customHeight="1"/>
    <row r="297" ht="21.95" customHeight="1"/>
    <row r="298" ht="21.95" customHeight="1"/>
    <row r="299" ht="21.95" customHeight="1"/>
    <row r="300" ht="21.95" customHeight="1"/>
    <row r="301" ht="21.95" customHeight="1"/>
    <row r="302" ht="21.95" customHeight="1"/>
    <row r="303" ht="21.95" customHeight="1"/>
  </sheetData>
  <mergeCells count="142">
    <mergeCell ref="E39:E40"/>
    <mergeCell ref="E13:G13"/>
    <mergeCell ref="F187:G187"/>
    <mergeCell ref="K37:L41"/>
    <mergeCell ref="P41:T41"/>
    <mergeCell ref="D82:G82"/>
    <mergeCell ref="G194:H194"/>
    <mergeCell ref="E15:G15"/>
    <mergeCell ref="G207:N208"/>
    <mergeCell ref="I210:I211"/>
    <mergeCell ref="M4:P4"/>
    <mergeCell ref="E38:I38"/>
    <mergeCell ref="G139:G140"/>
    <mergeCell ref="D121:I121"/>
    <mergeCell ref="P36:T36"/>
    <mergeCell ref="L132:M132"/>
    <mergeCell ref="D223:F223"/>
    <mergeCell ref="D207:F207"/>
    <mergeCell ref="I226:I227"/>
    <mergeCell ref="H139:H140"/>
    <mergeCell ref="P141:T141"/>
    <mergeCell ref="D191:F191"/>
    <mergeCell ref="H59:K59"/>
    <mergeCell ref="D193:E193"/>
    <mergeCell ref="F226:F227"/>
    <mergeCell ref="E101:F101"/>
    <mergeCell ref="F46:J46"/>
    <mergeCell ref="P37:T37"/>
    <mergeCell ref="E113:F113"/>
    <mergeCell ref="D109:I109"/>
    <mergeCell ref="D241:E241"/>
    <mergeCell ref="D2:L2"/>
    <mergeCell ref="I6:J6"/>
    <mergeCell ref="L120:M120"/>
    <mergeCell ref="G66:J67"/>
    <mergeCell ref="D20:L21"/>
    <mergeCell ref="E16:K16"/>
    <mergeCell ref="D97:I97"/>
    <mergeCell ref="D140:E140"/>
    <mergeCell ref="E8:L8"/>
    <mergeCell ref="I13:L13"/>
    <mergeCell ref="L141:L142"/>
    <mergeCell ref="E226:E227"/>
    <mergeCell ref="J210:N210"/>
    <mergeCell ref="D141:D142"/>
    <mergeCell ref="I242:I243"/>
    <mergeCell ref="I14:K14"/>
    <mergeCell ref="D35:G35"/>
    <mergeCell ref="F141:F142"/>
    <mergeCell ref="J226:N226"/>
    <mergeCell ref="G55:I55"/>
    <mergeCell ref="E10:L10"/>
    <mergeCell ref="O242:O243"/>
    <mergeCell ref="F47:G47"/>
    <mergeCell ref="O194:O195"/>
    <mergeCell ref="D23:L34"/>
    <mergeCell ref="O226:O227"/>
    <mergeCell ref="D57:J57"/>
    <mergeCell ref="H35:J35"/>
    <mergeCell ref="G223:O223"/>
    <mergeCell ref="D1:L1"/>
    <mergeCell ref="E41:I41"/>
    <mergeCell ref="K6:L6"/>
    <mergeCell ref="D239:F239"/>
    <mergeCell ref="AE1:AH1"/>
    <mergeCell ref="P45:T45"/>
    <mergeCell ref="P194:P195"/>
    <mergeCell ref="G141:G142"/>
    <mergeCell ref="P38:T38"/>
    <mergeCell ref="D208:E208"/>
    <mergeCell ref="E9:G9"/>
    <mergeCell ref="D242:D243"/>
    <mergeCell ref="P44:T44"/>
    <mergeCell ref="F242:F243"/>
    <mergeCell ref="E4:L4"/>
    <mergeCell ref="D139:E139"/>
    <mergeCell ref="D54:J54"/>
    <mergeCell ref="P40:T40"/>
    <mergeCell ref="I9:L9"/>
    <mergeCell ref="D210:D211"/>
    <mergeCell ref="E11:G11"/>
    <mergeCell ref="H47:J47"/>
    <mergeCell ref="I11:L11"/>
    <mergeCell ref="G210:H210"/>
    <mergeCell ref="I39:I40"/>
    <mergeCell ref="E12:G12"/>
    <mergeCell ref="D59:F59"/>
    <mergeCell ref="I15:K15"/>
    <mergeCell ref="P43:T43"/>
    <mergeCell ref="D55:E55"/>
    <mergeCell ref="E242:E243"/>
    <mergeCell ref="E14:G14"/>
    <mergeCell ref="E125:F125"/>
    <mergeCell ref="E6:H6"/>
    <mergeCell ref="G226:H226"/>
    <mergeCell ref="P42:T42"/>
    <mergeCell ref="F39:H40"/>
    <mergeCell ref="L108:M108"/>
    <mergeCell ref="I194:I195"/>
    <mergeCell ref="D138:H138"/>
    <mergeCell ref="E3:L3"/>
    <mergeCell ref="E141:E142"/>
    <mergeCell ref="O210:O211"/>
    <mergeCell ref="P35:T35"/>
    <mergeCell ref="D46:E46"/>
    <mergeCell ref="G239:O239"/>
    <mergeCell ref="I141:I142"/>
    <mergeCell ref="D194:D195"/>
    <mergeCell ref="F194:F195"/>
    <mergeCell ref="U141:U142"/>
    <mergeCell ref="D56:F56"/>
    <mergeCell ref="P46:T46"/>
    <mergeCell ref="D225:E225"/>
    <mergeCell ref="D135:H135"/>
    <mergeCell ref="P39:T39"/>
    <mergeCell ref="P210:P211"/>
    <mergeCell ref="E17:H17"/>
    <mergeCell ref="D209:E209"/>
    <mergeCell ref="M141:M142"/>
    <mergeCell ref="D133:I133"/>
    <mergeCell ref="P48:T48"/>
    <mergeCell ref="K141:K142"/>
    <mergeCell ref="D224:E224"/>
    <mergeCell ref="J242:N242"/>
    <mergeCell ref="F210:F211"/>
    <mergeCell ref="P47:T47"/>
    <mergeCell ref="D192:E192"/>
    <mergeCell ref="L96:M96"/>
    <mergeCell ref="P242:P243"/>
    <mergeCell ref="D226:D227"/>
    <mergeCell ref="H141:H142"/>
    <mergeCell ref="E7:L7"/>
    <mergeCell ref="J141:J142"/>
    <mergeCell ref="I12:L12"/>
    <mergeCell ref="D240:E240"/>
    <mergeCell ref="P226:P227"/>
    <mergeCell ref="E210:E211"/>
    <mergeCell ref="D22:L22"/>
    <mergeCell ref="G242:H242"/>
    <mergeCell ref="J194:N194"/>
    <mergeCell ref="E194:E195"/>
    <mergeCell ref="V141:V142"/>
  </mergeCells>
  <conditionalFormatting sqref="D97:I98 D109:I110 D121:I122 D133:I134 R98:W110 R122:W132">
    <cfRule type="expression" priority="21" dxfId="45" stopIfTrue="1">
      <formula>$I$113&gt;$E$89</formula>
    </cfRule>
  </conditionalFormatting>
  <conditionalFormatting sqref="D82:D85 E82:E83 E85 F82:G85">
    <cfRule type="expression" priority="13" dxfId="16" stopIfTrue="1">
      <formula>$K$82&gt;0</formula>
    </cfRule>
  </conditionalFormatting>
  <conditionalFormatting sqref="F196:F203 F212:F218">
    <cfRule type="expression" priority="33" dxfId="16" stopIfTrue="1">
      <formula>ABS($F196)&gt;$O196</formula>
    </cfRule>
  </conditionalFormatting>
  <conditionalFormatting sqref="F228:F234">
    <cfRule type="expression" priority="9" dxfId="16" stopIfTrue="1">
      <formula>ABS($F228)&gt;$O228</formula>
    </cfRule>
  </conditionalFormatting>
  <conditionalFormatting sqref="F244:F250">
    <cfRule type="expression" priority="6" dxfId="16" stopIfTrue="1">
      <formula>ABS($F244)&gt;$O244</formula>
    </cfRule>
  </conditionalFormatting>
  <conditionalFormatting sqref="G60">
    <cfRule type="cellIs" priority="14" operator="equal" dxfId="40" stopIfTrue="1">
      <formula>"Complete G59"</formula>
    </cfRule>
  </conditionalFormatting>
  <conditionalFormatting sqref="H70:H81">
    <cfRule type="cellIs" priority="11" operator="greaterThan" dxfId="16" stopIfTrue="1">
      <formula>$E70+$I70</formula>
    </cfRule>
    <cfRule type="cellIs" priority="12" operator="lessThan" dxfId="16" stopIfTrue="1">
      <formula>$E70-$I70</formula>
    </cfRule>
  </conditionalFormatting>
  <conditionalFormatting sqref="I196:I203">
    <cfRule type="expression" priority="34" dxfId="16" stopIfTrue="1">
      <formula>ABS($I196)&gt;$O196</formula>
    </cfRule>
  </conditionalFormatting>
  <conditionalFormatting sqref="I212:I218">
    <cfRule type="expression" priority="35" dxfId="16" stopIfTrue="1">
      <formula>ABS($I212&gt;$O212)</formula>
    </cfRule>
  </conditionalFormatting>
  <conditionalFormatting sqref="I228:I234">
    <cfRule type="expression" priority="8" dxfId="16" stopIfTrue="1">
      <formula>ABS($I228&gt;$O228)</formula>
    </cfRule>
  </conditionalFormatting>
  <conditionalFormatting sqref="I244:I250">
    <cfRule type="expression" priority="5" dxfId="16" stopIfTrue="1">
      <formula>ABS($I244&gt;$O244)</formula>
    </cfRule>
  </conditionalFormatting>
  <conditionalFormatting sqref="I143:J186">
    <cfRule type="expression" priority="30" dxfId="16" stopIfTrue="1">
      <formula>ABS($I143)&gt;$U143</formula>
    </cfRule>
  </conditionalFormatting>
  <conditionalFormatting sqref="J70:J81">
    <cfRule type="expression" priority="29" dxfId="16" stopIfTrue="1">
      <formula>ABS($J70)&gt;$I70</formula>
    </cfRule>
  </conditionalFormatting>
  <conditionalFormatting sqref="K70:K81">
    <cfRule type="cellIs" priority="27" operator="equal" dxfId="31" stopIfTrue="1">
      <formula>1</formula>
    </cfRule>
  </conditionalFormatting>
  <conditionalFormatting sqref="L143:L186">
    <cfRule type="expression" priority="31" dxfId="16" stopIfTrue="1">
      <formula>ABS($L143)&gt;$U143</formula>
    </cfRule>
  </conditionalFormatting>
  <conditionalFormatting sqref="M97">
    <cfRule type="cellIs" priority="23" operator="between" dxfId="27" stopIfTrue="1">
      <formula>1</formula>
      <formula>1</formula>
    </cfRule>
  </conditionalFormatting>
  <conditionalFormatting sqref="M143:M186">
    <cfRule type="expression" priority="28" dxfId="15" stopIfTrue="1">
      <formula>ABS($I143)&gt;$U143</formula>
    </cfRule>
  </conditionalFormatting>
  <conditionalFormatting sqref="N97 N109 N121 N133 N135">
    <cfRule type="cellIs" priority="24" operator="equal" dxfId="27" stopIfTrue="1">
      <formula>1</formula>
    </cfRule>
  </conditionalFormatting>
  <conditionalFormatting sqref="P228:P234">
    <cfRule type="cellIs" priority="10" operator="equal" dxfId="24" stopIfTrue="1">
      <formula>1</formula>
    </cfRule>
  </conditionalFormatting>
  <conditionalFormatting sqref="P244:P250">
    <cfRule type="cellIs" priority="7" operator="equal" dxfId="24" stopIfTrue="1">
      <formula>1</formula>
    </cfRule>
  </conditionalFormatting>
  <conditionalFormatting sqref="P196:P203 P212:P218 V143:V186">
    <cfRule type="cellIs" priority="22" operator="equal" dxfId="24" stopIfTrue="1">
      <formula>1</formula>
    </cfRule>
  </conditionalFormatting>
  <dataValidations xWindow="521" yWindow="600" count="7">
    <dataValidation sqref="G59" showDropDown="0" showInputMessage="1" showErrorMessage="1" allowBlank="1" errorTitle="ERROR!!!" error="Respete las opciones de la lista" promptTitle="TIPO DE INDICACIÓN" prompt="Seleccione la opción que corresponda (ENA = Equilibrio no automático)_x000a_" type="list">
      <formula1>$AE$59:$AE$62</formula1>
    </dataValidation>
    <dataValidation sqref="G56" showDropDown="0" showInputMessage="1" showErrorMessage="1" allowBlank="1" errorTitle="ERROR!!!" error="Respete las opciones de la lista." promptTitle="EFECTO MÁXIMO DEL DISPOSITIVO:" prompt="Seleccionar &quot;SUPERA&quot; o &quot;NO SUPERA&quot; según corresponda. En caso que no sea aplicable el ensayo, seleccionar &quot;X&quot;." type="list">
      <formula1>$AF$59:$AF$62</formula1>
    </dataValidation>
    <dataValidation sqref="F55" showDropDown="0" showInputMessage="1" showErrorMessage="1" allowBlank="1" errorTitle="ERROR!!!!!!" error="Respete las opciones de la lista." promptTitle="PARTE DE CERO???" prompt="Seleccione la opción correspondiente." type="list">
      <formula1>$AG$59:$AG$61</formula1>
    </dataValidation>
    <dataValidation sqref="J61:J63" showDropDown="0" showInputMessage="1" showErrorMessage="1" allowBlank="1" errorTitle="ERROR!!!!" error="Respete las opciones de la lista." promptTitle="MOVIMIENTO VISIBLE" prompt="Seleccione la opción correspondiente. SÓLO DEBE COMPLETARSE PARA BALANZAS E.N.A." type="list">
      <formula1>$AG$59:$AG$60</formula1>
    </dataValidation>
    <dataValidation sqref="G87 G99 G111 G123" showDropDown="0" showInputMessage="1" showErrorMessage="1" allowBlank="1" type="list">
      <formula1>$S$87:$S$88</formula1>
    </dataValidation>
    <dataValidation sqref="I87 I99 I111 I123" showDropDown="0" showInputMessage="1" showErrorMessage="1" allowBlank="1" type="list">
      <formula1>$T$87:$T$88</formula1>
    </dataValidation>
    <dataValidation sqref="E3:L4" showDropDown="0" showInputMessage="1" showErrorMessage="1" allowBlank="1" type="list">
      <formula1>$AC$3:$AC$34</formula1>
    </dataValidation>
  </dataValidations>
  <hyperlinks>
    <hyperlink xmlns:r="http://schemas.openxmlformats.org/officeDocument/2006/relationships" ref="AG3" r:id="rId1"/>
    <hyperlink xmlns:r="http://schemas.openxmlformats.org/officeDocument/2006/relationships" ref="AG4" r:id="rId2"/>
    <hyperlink xmlns:r="http://schemas.openxmlformats.org/officeDocument/2006/relationships" ref="AG5" r:id="rId3"/>
    <hyperlink xmlns:r="http://schemas.openxmlformats.org/officeDocument/2006/relationships" ref="AG6" r:id="rId4"/>
    <hyperlink xmlns:r="http://schemas.openxmlformats.org/officeDocument/2006/relationships" ref="AG7" r:id="rId5"/>
    <hyperlink xmlns:r="http://schemas.openxmlformats.org/officeDocument/2006/relationships" ref="AG8" r:id="rId6"/>
    <hyperlink xmlns:r="http://schemas.openxmlformats.org/officeDocument/2006/relationships" ref="AG9" r:id="rId7"/>
    <hyperlink xmlns:r="http://schemas.openxmlformats.org/officeDocument/2006/relationships" ref="AG10" r:id="rId8"/>
    <hyperlink xmlns:r="http://schemas.openxmlformats.org/officeDocument/2006/relationships" ref="AG11" r:id="rId9"/>
    <hyperlink xmlns:r="http://schemas.openxmlformats.org/officeDocument/2006/relationships" ref="AG12" r:id="rId10"/>
    <hyperlink xmlns:r="http://schemas.openxmlformats.org/officeDocument/2006/relationships" ref="AG13" r:id="rId11"/>
    <hyperlink xmlns:r="http://schemas.openxmlformats.org/officeDocument/2006/relationships" ref="AG14" r:id="rId12"/>
    <hyperlink xmlns:r="http://schemas.openxmlformats.org/officeDocument/2006/relationships" ref="AG15" r:id="rId13"/>
    <hyperlink xmlns:r="http://schemas.openxmlformats.org/officeDocument/2006/relationships" ref="AG16" r:id="rId14"/>
    <hyperlink xmlns:r="http://schemas.openxmlformats.org/officeDocument/2006/relationships" ref="AG17" r:id="rId15"/>
    <hyperlink xmlns:r="http://schemas.openxmlformats.org/officeDocument/2006/relationships" ref="AG18" r:id="rId16"/>
    <hyperlink xmlns:r="http://schemas.openxmlformats.org/officeDocument/2006/relationships" ref="AG19" r:id="rId17"/>
    <hyperlink xmlns:r="http://schemas.openxmlformats.org/officeDocument/2006/relationships" ref="AG20" r:id="rId18"/>
    <hyperlink xmlns:r="http://schemas.openxmlformats.org/officeDocument/2006/relationships" ref="AG21" r:id="rId19"/>
    <hyperlink xmlns:r="http://schemas.openxmlformats.org/officeDocument/2006/relationships" ref="AG22" r:id="rId20"/>
  </hyperlinks>
  <pageMargins left="0.21" right="0.32" top="0.62" bottom="1" header="0" footer="0"/>
  <pageSetup orientation="portrait" paperSize="9" scale="95" horizontalDpi="300" verticalDpi="300"/>
  <legacyDrawing xmlns:r="http://schemas.openxmlformats.org/officeDocument/2006/relationships" r:id="anysvml"/>
</worksheet>
</file>

<file path=xl/worksheets/sheet3.xml><?xml version="1.0" encoding="utf-8"?>
<worksheet xmlns="http://schemas.openxmlformats.org/spreadsheetml/2006/main">
  <sheetPr codeName="Hoja5">
    <outlinePr summaryBelow="1" summaryRight="1"/>
    <pageSetUpPr/>
  </sheetPr>
  <dimension ref="A1:V65"/>
  <sheetViews>
    <sheetView view="pageBreakPreview" zoomScaleNormal="100" zoomScaleSheetLayoutView="100" workbookViewId="0">
      <selection activeCell="J23" sqref="J23:L23"/>
    </sheetView>
  </sheetViews>
  <sheetFormatPr baseColWidth="10" defaultColWidth="11.42578125" defaultRowHeight="12.75"/>
  <cols>
    <col width="12.7109375" customWidth="1" style="320" min="1" max="8"/>
    <col width="11.42578125" customWidth="1" style="320" min="9" max="9"/>
    <col width="11.85546875" customWidth="1" style="320" min="10" max="10"/>
    <col width="19.5703125" customWidth="1" style="320" min="11" max="11"/>
    <col width="26" bestFit="1" customWidth="1" style="320" min="12" max="12"/>
    <col width="11.42578125" customWidth="1" style="320" min="13" max="16"/>
    <col width="10.28515625" customWidth="1" style="320" min="17" max="17"/>
    <col hidden="1" width="11.42578125" customWidth="1" style="320" min="18" max="18"/>
    <col width="20" customWidth="1" style="320" min="19" max="19"/>
    <col width="34.42578125" customWidth="1" style="320" min="20" max="20"/>
    <col width="11.42578125" customWidth="1" style="320" min="21" max="21"/>
    <col width="36.5703125" customWidth="1" style="320" min="22" max="22"/>
    <col width="11.42578125" customWidth="1" style="320" min="23" max="16384"/>
  </cols>
  <sheetData>
    <row r="1" ht="15" customHeight="1">
      <c r="A1" s="1022" t="e">
        <v>#VALUE!</v>
      </c>
      <c r="J1" s="321">
        <f>CONCATENATE("En la localidad de ",'Identificación del Instrumento'!$D$4,", provincia de ",'Identificación del Instrumento'!$D$5,", siendo las ",$J$18," horas del día ",'Identificación del Instrumento'!J2,", en virtud de la solicitud presentada por la firma ",'Identificación del Instrumento'!$C$14,", conforme a lo establecido en la Resolución Nº 611/2019 de la SECRETARÍA DE COMERCIO INTERIOR y sus modificatorias, el ",$T$18,", ",$T$19,", habilitado por el INSTITUTO NACIONAL DE TECNOLOGÍA INDUSTRIAL (I.N.T.I.), con credencial acreditante N° ",$T$20,", que en este acto se exhibe")</f>
        <v/>
      </c>
    </row>
    <row r="2" ht="15" customHeight="1">
      <c r="J2" s="321">
        <f>CONCATENATE(", en ejecución y en ejercicio de las facultades conferidas por la ley Nº 19.511,"&amp;" el Decreto Reglamentario N° 960/2017, la Resolución Nº 611/2019 y sus modifiatorias, procede a hacerse presente en ",$J$24,"la firma citada, ubicada en ",$J$23,", siendo recibido por quien acredita ser ",$K$19,"; ",$J$20," Nº ",$K$20,", quien se desempeña en la firma como ",$J$22," y suscribe este instrumento en prueba de conformidad.")</f>
        <v/>
      </c>
    </row>
    <row r="3" ht="15" customHeight="1">
      <c r="J3" s="321">
        <f>CONCATENATE("A continuación se deja constancia que se verificó la concordancia con el modelo aprobado y se realizaron los ensayos de ",$N$44," respecto de los siguientes elementos: ",'Identificación del Instrumento'!$B$22," de tipo ",'Identificación del Instrumento'!$F$23,", compuesta por una plataforma receptora de cargas ",$N$30,"marca ",'Identificación del Instrumento'!$B$24,", modelo ",'Identificación del Instrumento'!$B$25,", N° de serie ",'Identificación del Instrumento'!$B$26,", código de aprobación de modelo ",'Identificación del Instrumento'!$B$27,", e indicador ",$P$30," de cargas marca ",'Identificación del Instrumento'!$F$24,", modelo ",'Identificación del Instrumento'!$F$25,", N° de serie ",'Identificación del Instrumento'!$F$26,", código de aprobación de modelo ",'Identificación del Instrumento'!$F$27,";")</f>
        <v/>
      </c>
    </row>
    <row r="4" ht="15" customHeight="1">
      <c r="J4" s="321">
        <f>CONCATENATE(" características metrológicas: capacidad máxima Máx.= ",'Identificación del Instrumento'!$D$29," kg; capacidad mínima Mín. = ",'Identificación del Instrumento'!$F$29," kg; e=dd=dt=",'Identificación del Instrumento'!$D$30," kg; clase ",'Identificación del Instrumento'!$F$30,", comprobando que los mismos cumplen con los requisitos de la verificación encomendada.")</f>
        <v/>
      </c>
    </row>
    <row r="5" ht="15" customHeight="1">
      <c r="J5" s="321">
        <f>CONCATENATE("Completada la presente verificación se cierra el acto, comprometiéndose el I.N.T.I. a emitir el ",$J$25,$J$26," en tiempo y forma, firmando como constancia el agente verificador y  ",$J$19,"",$K$19," por la firma ",'Identificación del Instrumento'!$C$14,".")</f>
        <v/>
      </c>
    </row>
    <row r="6" ht="15" customHeight="1">
      <c r="J6" s="321">
        <f>CONCATENATE("Del presente se suscriben ",L30, " ejemplares de igual tenor, quedandosé uno en su poder ",$K$19," por la firma visitada.")</f>
        <v/>
      </c>
    </row>
    <row r="7" ht="15" customHeight="1"/>
    <row r="8" hidden="1" ht="15" customHeight="1">
      <c r="A8" s="1022" t="n"/>
      <c r="B8" s="1022" t="n"/>
      <c r="C8" s="1022" t="n"/>
      <c r="D8" s="1022" t="n"/>
      <c r="E8" s="1022" t="n"/>
      <c r="F8" s="1022" t="n"/>
      <c r="G8" s="1022" t="n"/>
      <c r="H8" s="1022" t="n"/>
    </row>
    <row r="9" hidden="1" ht="15" customHeight="1">
      <c r="A9" s="1022" t="n"/>
      <c r="B9" s="1022" t="n"/>
      <c r="C9" s="1022" t="n"/>
      <c r="D9" s="1022" t="n"/>
      <c r="E9" s="1022" t="n"/>
      <c r="F9" s="1022" t="n"/>
      <c r="G9" s="1022" t="n"/>
      <c r="H9" s="1022" t="n"/>
    </row>
    <row r="10" hidden="1" ht="15" customHeight="1">
      <c r="A10" s="1022" t="n"/>
      <c r="B10" s="1022" t="n"/>
      <c r="C10" s="1022" t="n"/>
      <c r="D10" s="1022" t="n"/>
      <c r="E10" s="1022" t="n"/>
      <c r="F10" s="1022" t="n"/>
      <c r="G10" s="1022" t="n"/>
      <c r="H10" s="1022" t="n"/>
    </row>
    <row r="11" hidden="1" ht="15" customHeight="1">
      <c r="A11" s="1022" t="n"/>
      <c r="B11" s="1022" t="n"/>
      <c r="C11" s="1022" t="n"/>
      <c r="D11" s="1022" t="n"/>
      <c r="E11" s="1022" t="n"/>
      <c r="F11" s="1022" t="n"/>
      <c r="G11" s="1022" t="n"/>
      <c r="H11" s="1022" t="n"/>
    </row>
    <row r="12" hidden="1" ht="15" customHeight="1">
      <c r="A12" s="1022" t="n"/>
      <c r="B12" s="1022" t="n"/>
      <c r="C12" s="1022" t="n"/>
      <c r="D12" s="1022" t="n"/>
      <c r="E12" s="1022" t="n"/>
      <c r="F12" s="1022" t="n"/>
      <c r="G12" s="1022" t="n"/>
      <c r="H12" s="1022" t="n"/>
    </row>
    <row r="13" ht="15" customHeight="1">
      <c r="A13" s="1022" t="n"/>
      <c r="B13" s="1022" t="n"/>
      <c r="C13" s="1022" t="n"/>
      <c r="D13" s="1022" t="n"/>
      <c r="E13" s="1022" t="n"/>
      <c r="F13" s="1022" t="n"/>
      <c r="G13" s="1022" t="n"/>
      <c r="H13" s="1022" t="n"/>
      <c r="J13" s="1024" t="n"/>
    </row>
    <row r="14" ht="15" customHeight="1">
      <c r="A14" s="1035">
        <f>IF(ISBLANK('Identificación del Instrumento'!B17),"",CONCATENATE("ACTA DE ",'Identificación del Instrumento'!B17))</f>
        <v/>
      </c>
      <c r="J14" s="1024" t="n"/>
      <c r="L14" s="628" t="n"/>
    </row>
    <row r="15" ht="15" customHeight="1" thickBot="1">
      <c r="A15" s="1022" t="n"/>
      <c r="B15" s="1022" t="n"/>
      <c r="C15" s="1022" t="n"/>
      <c r="D15" s="1022" t="n"/>
      <c r="E15" s="1022" t="n"/>
      <c r="F15" s="1022" t="n"/>
      <c r="G15" s="1022" t="n"/>
      <c r="H15" s="1022" t="n"/>
    </row>
    <row r="16" ht="15" customHeight="1" thickBot="1">
      <c r="A16" s="1036">
        <f>CONCATENATE("N° O.T.: ",'Identificación del Instrumento'!B4,"           ",'Identificación del Instrumento'!A5,"  ",'Identificación del Instrumento'!B5)</f>
        <v/>
      </c>
      <c r="G16" s="1138" t="n"/>
      <c r="H16" s="1138" t="n"/>
      <c r="J16" s="524" t="inlineStr">
        <is>
          <t>Completar datos en celdas J18; K19; K20 y K21</t>
        </is>
      </c>
      <c r="T16" s="379" t="inlineStr">
        <is>
          <t>DATOS DEL AGENTE VERIFICADOR</t>
        </is>
      </c>
      <c r="V16" s="322" t="inlineStr">
        <is>
          <t>TIPO DE DOCUMENTO RESPONSABLE</t>
        </is>
      </c>
    </row>
    <row r="17" ht="15" customHeight="1" thickBot="1">
      <c r="A17" s="1017" t="n"/>
      <c r="B17" s="1017" t="n"/>
      <c r="C17" s="1017" t="n"/>
      <c r="D17" s="1017" t="n"/>
      <c r="E17" s="1017" t="n"/>
      <c r="F17" s="1017" t="n"/>
      <c r="G17" s="1017" t="n"/>
      <c r="H17" s="1017" t="n"/>
    </row>
    <row r="18" ht="16.5" customHeight="1" thickBot="1">
      <c r="A18" s="997">
        <f>IF($J$29=6,CONCATENATE($J$1,$J$2),"¡Completar datos del acta!")</f>
        <v/>
      </c>
      <c r="B18" s="1223" t="n"/>
      <c r="C18" s="1223" t="n"/>
      <c r="D18" s="1223" t="n"/>
      <c r="E18" s="1223" t="n"/>
      <c r="F18" s="1223" t="n"/>
      <c r="G18" s="1223" t="n"/>
      <c r="H18" s="1223" t="n"/>
      <c r="J18" s="1317" t="inlineStr">
        <is>
          <t>15:00</t>
        </is>
      </c>
      <c r="K18" s="1318" t="n"/>
      <c r="L18" s="1319" t="n"/>
      <c r="M18" s="636" t="inlineStr">
        <is>
          <t>Hora de finalización de la tarea</t>
        </is>
      </c>
      <c r="N18" s="523" t="n"/>
      <c r="O18" s="523" t="n"/>
      <c r="P18" s="523" t="n"/>
      <c r="Q18" s="521" t="n"/>
      <c r="S18" s="637" t="inlineStr">
        <is>
          <t>Nombre</t>
        </is>
      </c>
      <c r="T18" s="638">
        <f>+'Datos de Ensayos'!E4</f>
        <v/>
      </c>
      <c r="V18" s="323" t="inlineStr">
        <is>
          <t>D.N.I.</t>
        </is>
      </c>
    </row>
    <row r="19" ht="16.5" customHeight="1">
      <c r="A19" s="1223" t="n"/>
      <c r="B19" s="1223" t="n"/>
      <c r="C19" s="1223" t="n"/>
      <c r="D19" s="1223" t="n"/>
      <c r="E19" s="1223" t="n"/>
      <c r="F19" s="1223" t="n"/>
      <c r="G19" s="1223" t="n"/>
      <c r="H19" s="1223" t="n"/>
      <c r="J19" s="666" t="n"/>
      <c r="K19" s="1320" t="inlineStr">
        <is>
          <t>Jaime Angel</t>
        </is>
      </c>
      <c r="L19" s="1319" t="n"/>
      <c r="M19" s="636" t="inlineStr">
        <is>
          <t>Responsable de la firma (QUIEN SE HACE CARGO)</t>
        </is>
      </c>
      <c r="N19" s="523" t="n"/>
      <c r="O19" s="523" t="n"/>
      <c r="P19" s="523" t="n"/>
      <c r="Q19" s="521" t="n"/>
      <c r="S19" s="639" t="inlineStr">
        <is>
          <t>Tipo y Nº Doc.</t>
        </is>
      </c>
      <c r="T19" s="640">
        <f>VLOOKUP($T$18,'Datos de Ensayos'!$AC$3:$AG$21,2,0)</f>
        <v/>
      </c>
      <c r="V19" s="324" t="inlineStr">
        <is>
          <t>L.E.</t>
        </is>
      </c>
    </row>
    <row r="20" ht="16.5" customHeight="1">
      <c r="A20" s="1223" t="n"/>
      <c r="B20" s="1223" t="n"/>
      <c r="C20" s="1223" t="n"/>
      <c r="D20" s="1223" t="n"/>
      <c r="E20" s="1223" t="n"/>
      <c r="F20" s="1223" t="n"/>
      <c r="G20" s="1223" t="n"/>
      <c r="H20" s="1223" t="n"/>
      <c r="J20" s="667" t="inlineStr">
        <is>
          <t>D.N.I.</t>
        </is>
      </c>
      <c r="K20" s="1317" t="inlineStr">
        <is>
          <t>41819858</t>
        </is>
      </c>
      <c r="L20" s="1319" t="n"/>
      <c r="M20" s="636" t="inlineStr">
        <is>
          <t>Tipo y Nº documento del Responsable</t>
        </is>
      </c>
      <c r="N20" s="523" t="n"/>
      <c r="O20" s="523" t="n"/>
      <c r="P20" s="523" t="n"/>
      <c r="Q20" s="521" t="n"/>
      <c r="S20" s="639" t="inlineStr">
        <is>
          <t>Carnet Nº</t>
        </is>
      </c>
      <c r="T20" s="640">
        <f>VLOOKUP($T$18,'Datos de Ensayos'!$AC$3:$AG$21,3,0)</f>
        <v/>
      </c>
      <c r="V20" s="324" t="inlineStr">
        <is>
          <t>L.C.</t>
        </is>
      </c>
    </row>
    <row r="21" ht="16.5" customHeight="1">
      <c r="A21" s="1223" t="n"/>
      <c r="B21" s="1223" t="n"/>
      <c r="C21" s="1223" t="n"/>
      <c r="D21" s="1223" t="n"/>
      <c r="E21" s="1223" t="n"/>
      <c r="F21" s="1223" t="n"/>
      <c r="G21" s="1223" t="n"/>
      <c r="H21" s="1223" t="n"/>
      <c r="J21" s="667" t="inlineStr">
        <is>
          <t>e-mail - TE</t>
        </is>
      </c>
      <c r="K21" s="1321" t="inlineStr">
        <is>
          <t>angeljaime809@gmail.com</t>
        </is>
      </c>
      <c r="L21" s="1319" t="n"/>
      <c r="M21" s="522" t="inlineStr">
        <is>
          <t>contacto del Responsable</t>
        </is>
      </c>
      <c r="N21" s="523" t="n"/>
      <c r="O21" s="523" t="n"/>
      <c r="P21" s="523" t="n"/>
      <c r="Q21" s="521" t="n"/>
      <c r="S21" s="641" t="n"/>
      <c r="T21" s="642" t="n"/>
      <c r="V21" s="324" t="inlineStr">
        <is>
          <t>C.I.</t>
        </is>
      </c>
    </row>
    <row r="22" ht="16.5" customHeight="1">
      <c r="A22" s="1223" t="n"/>
      <c r="B22" s="1223" t="n"/>
      <c r="C22" s="1223" t="n"/>
      <c r="D22" s="1223" t="n"/>
      <c r="E22" s="1223" t="n"/>
      <c r="F22" s="1223" t="n"/>
      <c r="G22" s="1223" t="n"/>
      <c r="H22" s="1223" t="n"/>
      <c r="J22" s="1322" t="inlineStr">
        <is>
          <t>operario de báscula</t>
        </is>
      </c>
      <c r="K22" s="1318" t="n"/>
      <c r="L22" s="1319" t="n"/>
      <c r="M22" s="636" t="inlineStr">
        <is>
          <t>Cargo dentro de la firma</t>
        </is>
      </c>
      <c r="N22" s="523" t="n"/>
      <c r="O22" s="523" t="n"/>
      <c r="P22" s="523" t="n"/>
      <c r="Q22" s="521" t="n"/>
      <c r="S22" s="643" t="inlineStr">
        <is>
          <t>Resolución habilitante</t>
        </is>
      </c>
      <c r="T22" s="644">
        <f>VLOOKUP($T$18,'Datos de Ensayos'!$AC$3:$AG$21,4,0)</f>
        <v/>
      </c>
      <c r="V22" s="324" t="inlineStr">
        <is>
          <t>Pasaporte</t>
        </is>
      </c>
    </row>
    <row r="23" ht="16.5" customHeight="1" thickBot="1">
      <c r="A23" s="1223" t="n"/>
      <c r="B23" s="1223" t="n"/>
      <c r="C23" s="1223" t="n"/>
      <c r="D23" s="1223" t="n"/>
      <c r="E23" s="1223" t="n"/>
      <c r="F23" s="1223" t="n"/>
      <c r="G23" s="1223" t="n"/>
      <c r="H23" s="1223" t="n"/>
      <c r="J23" s="1323">
        <f>IF(COUNTA('Identificación del Instrumento'!$B$19)=1,'Identificación del Instrumento'!$B$19,CONCATENATE('Identificación del Instrumento'!$B$15," de la localidad de ",'Identificación del Instrumento'!$B$16,", provincia de ",'Identificación del Instrumento'!$F$16))</f>
        <v/>
      </c>
      <c r="K23" s="388" t="n"/>
      <c r="L23" s="389" t="n"/>
      <c r="M23" s="520" t="inlineStr">
        <is>
          <t>Lugar de Ubicación del instrumento (automático)</t>
        </is>
      </c>
      <c r="N23" s="521" t="n"/>
      <c r="O23" s="521" t="n"/>
      <c r="P23" s="521" t="n"/>
      <c r="Q23" s="521" t="n"/>
      <c r="V23" s="324" t="n"/>
    </row>
    <row r="24" ht="16.5" customHeight="1" thickBot="1">
      <c r="A24" s="1223" t="n"/>
      <c r="B24" s="1223" t="n"/>
      <c r="C24" s="1223" t="n"/>
      <c r="D24" s="1223" t="n"/>
      <c r="E24" s="1223" t="n"/>
      <c r="F24" s="1223" t="n"/>
      <c r="G24" s="1223" t="n"/>
      <c r="H24" s="1223" t="n"/>
      <c r="J24" s="1323">
        <f>IF(ISBLANK('Identificación del Instrumento'!$C$18),"",CONCATENATE('Identificación del Instrumento'!$C$18," de "))</f>
        <v/>
      </c>
      <c r="K24" s="388" t="n"/>
      <c r="L24" s="389" t="n"/>
      <c r="M24" s="520" t="inlineStr">
        <is>
          <t>Nombre específico del lugar del instrumento (automático)</t>
        </is>
      </c>
      <c r="N24" s="521" t="n"/>
      <c r="O24" s="521" t="n"/>
      <c r="P24" s="521" t="n"/>
      <c r="Q24" s="521" t="n"/>
      <c r="V24" s="324" t="inlineStr">
        <is>
          <t>e-mail - TE</t>
        </is>
      </c>
    </row>
    <row r="25" ht="16.5" customHeight="1" thickBot="1">
      <c r="A25" s="1223" t="n"/>
      <c r="B25" s="1223" t="n"/>
      <c r="C25" s="1223" t="n"/>
      <c r="D25" s="1223" t="n"/>
      <c r="E25" s="1223" t="n"/>
      <c r="F25" s="1223" t="n"/>
      <c r="G25" s="1223" t="n"/>
      <c r="H25" s="1223" t="n"/>
      <c r="J25" s="1323">
        <f>IF('Identificación del Instrumento'!$B$17="VERIFICACIÓN PERIÓDICA","informe")</f>
        <v/>
      </c>
      <c r="K25" s="388" t="n"/>
      <c r="L25" s="389" t="n"/>
      <c r="M25" s="1083" t="n"/>
      <c r="V25" s="460" t="n"/>
    </row>
    <row r="26" ht="16.5" customHeight="1" thickBot="1">
      <c r="A26" s="1223" t="n"/>
      <c r="B26" s="1223" t="n"/>
      <c r="C26" s="1223" t="n"/>
      <c r="D26" s="1223" t="n"/>
      <c r="E26" s="1223" t="n"/>
      <c r="F26" s="1223" t="n"/>
      <c r="G26" s="1223" t="n"/>
      <c r="H26" s="1223" t="n"/>
      <c r="J26" s="1324">
        <f>IF('Identificación del Instrumento'!$B$17="VERIFICACIÓN PERIÓDICA"," previsto en la Resolución Nº 611/2019 de la SECRETARÍA DE COMERCIO INTERIOR y sus modificatorias",IF('Identificación del Instrumento'!$B$17="APROBACIÓN DE MODELO DE EFECTO LIMITADO"," previsto por el punto 2, Cap. II del Anexo I de la Resolución Nº 611/2019 de la SECRETARÍA DE COMERCIO INTERIOR"," previsto por el punto 3, Cap. II del Anexo I de la Resolución Nº 611/2019 de la SECRETARÍA DE COMERCIO INTERIOR"))</f>
        <v/>
      </c>
      <c r="K26" s="388" t="n"/>
      <c r="L26" s="389" t="n"/>
    </row>
    <row r="27" ht="10.5" customHeight="1" thickBot="1">
      <c r="A27" s="1223" t="n"/>
      <c r="B27" s="1223" t="n"/>
      <c r="C27" s="1223" t="n"/>
      <c r="D27" s="1223" t="n"/>
      <c r="E27" s="1223" t="n"/>
      <c r="F27" s="1223" t="n"/>
      <c r="G27" s="1223" t="n"/>
      <c r="H27" s="1223" t="n"/>
      <c r="J27" s="1325">
        <f>IF('Identificación del Instrumento'!$B$17="VERIFICACIÓN PERIÓDICA","1 del Cap. I y 1 del Cap. III",(IF('Identificación del Instrumento'!$B$17="APROBACIÓN DE MODELO DE EFECTO LIMITADO","1 del Cap. I y 2 del Cap. II","1 del Cap. I y 3 del Cap. II")))</f>
        <v/>
      </c>
      <c r="K27" s="388" t="n"/>
      <c r="L27" s="389" t="n"/>
      <c r="N27" s="1326" t="inlineStr">
        <is>
          <t>TIPOS DE COMPONENTES DE LA BALANZA</t>
        </is>
      </c>
      <c r="O27" s="193" t="n"/>
      <c r="P27" s="1268" t="n"/>
    </row>
    <row r="28" ht="8.25" customHeight="1" thickBot="1">
      <c r="A28" s="1223" t="n"/>
      <c r="B28" s="1223" t="n"/>
      <c r="C28" s="1223" t="n"/>
      <c r="D28" s="1223" t="n"/>
      <c r="E28" s="1223" t="n"/>
      <c r="F28" s="1223" t="n"/>
      <c r="G28" s="1223" t="n"/>
      <c r="H28" s="1223" t="n"/>
      <c r="J28" s="1325">
        <f>IF('Identificación del Instrumento'!$B$17="VERIFICACIÓN PERIÓDICA","1 del Cap. III del Anexo I",(IF('Identificación del Instrumento'!$B$17="APROBACIÓN DE MODELO DE EFECTO LIMITADO","2 del Cap. II del Anexo I","3 del Cap. II del Anexo I")))</f>
        <v/>
      </c>
      <c r="K28" s="388" t="n"/>
      <c r="L28" s="389" t="n"/>
      <c r="N28" s="206" t="n"/>
      <c r="P28" s="207" t="n"/>
    </row>
    <row r="29" ht="10.5" customHeight="1" thickBot="1">
      <c r="A29" s="1223" t="n"/>
      <c r="B29" s="1223" t="n"/>
      <c r="C29" s="1223" t="n"/>
      <c r="D29" s="1223" t="n"/>
      <c r="E29" s="1223" t="n"/>
      <c r="F29" s="1223" t="n"/>
      <c r="G29" s="1223" t="n"/>
      <c r="H29" s="1223" t="n"/>
      <c r="J29" s="380">
        <f>COUNTIF(K29:K34,"=FALSO")</f>
        <v/>
      </c>
      <c r="K29" s="381">
        <f>ISBLANK(J18)</f>
        <v/>
      </c>
      <c r="L29" s="578">
        <f>IF('Identificación del Instrumento'!$B$17="VERIFICACIÓN PERIÓDICA","b)","a)")</f>
        <v/>
      </c>
      <c r="N29" s="325" t="inlineStr">
        <is>
          <t>PLATAFORMA</t>
        </is>
      </c>
      <c r="O29" s="326" t="n"/>
      <c r="P29" s="327" t="inlineStr">
        <is>
          <t>INDICADOR</t>
        </is>
      </c>
    </row>
    <row r="30" ht="10.5" customHeight="1" thickBot="1">
      <c r="A30" s="1223" t="n"/>
      <c r="B30" s="1223" t="n"/>
      <c r="C30" s="1223" t="n"/>
      <c r="D30" s="1223" t="n"/>
      <c r="E30" s="1223" t="n"/>
      <c r="F30" s="1223" t="n"/>
      <c r="G30" s="1223" t="n"/>
      <c r="H30" s="1223" t="n"/>
      <c r="K30" s="378">
        <f>ISBLANK(K19)</f>
        <v/>
      </c>
      <c r="L30" s="578">
        <f>IF('Identificación del Instrumento'!$B$17="VERIFICACIÓN PERIÓDICA","dos (2)","tres (3)")</f>
        <v/>
      </c>
      <c r="N30" s="328">
        <f>IF('Identificación del Instrumento'!$F$23="electrónica","","tipo mecánica ")</f>
        <v/>
      </c>
      <c r="O30" s="329" t="n"/>
      <c r="P30" s="330">
        <f>IF(ISBLANK('Identificación del Instrumento'!$F$23),"",IF('Identificación del Instrumento'!$F$23="mecánica","mecánico","electrónico"))</f>
        <v/>
      </c>
    </row>
    <row r="31" ht="16.5" customHeight="1">
      <c r="A31" s="1017">
        <f>IF(COUNTBLANK(Informe!$F$20:$F$25)=6,CONCATENATE($J$3,$J$4),"¡LA BALANZA NO CUMPLE!")</f>
        <v/>
      </c>
      <c r="J31" s="320" t="inlineStr">
        <is>
          <t>  </t>
        </is>
      </c>
      <c r="K31" s="378">
        <f>ISBLANK(K20)</f>
        <v/>
      </c>
    </row>
    <row r="32" ht="16.5" customHeight="1">
      <c r="K32" s="378">
        <f>ISBLANK(J22)</f>
        <v/>
      </c>
    </row>
    <row r="33" ht="16.5" customHeight="1">
      <c r="K33" s="378">
        <f>AND(ISBLANK('Identificación del Instrumento'!$B$19),ISBLANK('Identificación del Instrumento'!$B$15),ISBLANK('Identificación del Instrumento'!$B$16),ISBLANK('Identificación del Instrumento'!$F$16))</f>
        <v/>
      </c>
      <c r="N33" s="1015" t="n"/>
    </row>
    <row r="34" ht="16.5" customHeight="1" thickBot="1">
      <c r="K34" s="399">
        <f>ISBLANK(J24)</f>
        <v/>
      </c>
      <c r="N34" s="331" t="n"/>
      <c r="O34" s="331" t="n"/>
      <c r="P34" s="331" t="n"/>
    </row>
    <row r="35" ht="16.5" customHeight="1" thickBot="1">
      <c r="N35" s="332" t="n"/>
      <c r="O35" s="331" t="n"/>
      <c r="P35" s="333" t="n"/>
    </row>
    <row r="36" ht="16.5" customHeight="1" thickBot="1">
      <c r="N36" s="334" t="n"/>
      <c r="O36" s="335" t="n"/>
      <c r="P36" s="336" t="n"/>
    </row>
    <row r="37" ht="16.5" customHeight="1" thickBot="1">
      <c r="N37" s="1327" t="inlineStr">
        <is>
          <t>ENSAYOS EFECTUADOS</t>
        </is>
      </c>
      <c r="O37" s="388" t="n"/>
      <c r="P37" s="389" t="n"/>
    </row>
    <row r="38" ht="16.5" customHeight="1" thickBot="1">
      <c r="N38" s="1328">
        <f>IF(Informe!$G$23=Informe!$J$2,""," fidelidad")</f>
        <v/>
      </c>
      <c r="O38" s="388" t="n"/>
      <c r="P38" s="389" t="n"/>
    </row>
    <row r="39" ht="16.5" customHeight="1" thickBot="1">
      <c r="N39" s="1328">
        <f>IF(Informe!$G$22=Informe!$J$2,"",", excentricidad")</f>
        <v/>
      </c>
      <c r="O39" s="388" t="n"/>
      <c r="P39" s="389" t="n"/>
    </row>
    <row r="40" ht="16.5" customHeight="1" thickBot="1">
      <c r="A40" s="997">
        <f>IF($J$29=6,J5,"¡Completar datos del acta!")</f>
        <v/>
      </c>
      <c r="B40" s="1223" t="n"/>
      <c r="C40" s="1223" t="n"/>
      <c r="D40" s="1223" t="n"/>
      <c r="E40" s="1223" t="n"/>
      <c r="F40" s="1223" t="n"/>
      <c r="G40" s="1223" t="n"/>
      <c r="H40" s="1223" t="n"/>
      <c r="N40" s="1328">
        <f>IF(Informe!$G$24=Informe!$J$2,"",", movilidad")</f>
        <v/>
      </c>
      <c r="O40" s="388" t="n"/>
      <c r="P40" s="389" t="n"/>
    </row>
    <row r="41" ht="16.5" customHeight="1" thickBot="1">
      <c r="A41" s="1223" t="n"/>
      <c r="B41" s="1223" t="n"/>
      <c r="C41" s="1223" t="n"/>
      <c r="D41" s="1223" t="n"/>
      <c r="E41" s="1223" t="n"/>
      <c r="F41" s="1223" t="n"/>
      <c r="G41" s="1223" t="n"/>
      <c r="H41" s="1223" t="n"/>
      <c r="N41" s="1328">
        <f>IF(Informe!$G$20=Informe!$J$2,"",IF(AND(N42="",N43="")," y errores de indicación",", errores de indicación"))</f>
        <v/>
      </c>
      <c r="O41" s="388" t="n"/>
      <c r="P41" s="389" t="n"/>
    </row>
    <row r="42" ht="16.5" customHeight="1" thickBot="1">
      <c r="A42" s="1223" t="n"/>
      <c r="B42" s="1223" t="n"/>
      <c r="C42" s="1223" t="n"/>
      <c r="D42" s="1223" t="n"/>
      <c r="E42" s="1223" t="n"/>
      <c r="F42" s="1223" t="n"/>
      <c r="G42" s="1223" t="n"/>
      <c r="H42" s="1223" t="n"/>
      <c r="N42" s="1328">
        <f>IF(Informe!$G$21=Informe!$J$2,"",", desvíos entre resultados")</f>
        <v/>
      </c>
      <c r="O42" s="388" t="n"/>
      <c r="P42" s="389" t="n"/>
    </row>
    <row r="43" ht="30" customHeight="1" thickBot="1">
      <c r="A43" s="1223" t="n"/>
      <c r="B43" s="1223" t="n"/>
      <c r="C43" s="1223" t="n"/>
      <c r="D43" s="1223" t="n"/>
      <c r="E43" s="1223" t="n"/>
      <c r="F43" s="1223" t="n"/>
      <c r="G43" s="1223" t="n"/>
      <c r="H43" s="1223" t="n"/>
      <c r="N43" s="1328">
        <f>IF(Informe!$G$25=Informe!$J$2,""," y efecto máximo del dispositivo de puesta a cero")</f>
        <v/>
      </c>
      <c r="O43" s="388" t="n"/>
      <c r="P43" s="389" t="n"/>
    </row>
    <row r="44" ht="15" customHeight="1">
      <c r="A44" s="997">
        <f>IF($J$29=6,J6,"¡Completar datos del acta!")</f>
        <v/>
      </c>
      <c r="B44" s="1223" t="n"/>
      <c r="C44" s="1223" t="n"/>
      <c r="D44" s="1223" t="n"/>
      <c r="E44" s="1223" t="n"/>
      <c r="F44" s="1223" t="n"/>
      <c r="G44" s="1223" t="n"/>
      <c r="H44" s="1223" t="n"/>
      <c r="N44" s="721">
        <f>CONCATENATE($N$38,$N$39,$N$40,$N$41,$N$42,$N$43)</f>
        <v/>
      </c>
      <c r="O44" s="424" t="n"/>
      <c r="P44" s="424" t="n"/>
    </row>
    <row r="45" ht="15" customHeight="1">
      <c r="A45" s="1223" t="n"/>
      <c r="B45" s="1223" t="n"/>
      <c r="C45" s="1223" t="n"/>
      <c r="D45" s="1223" t="n"/>
      <c r="E45" s="1223" t="n"/>
      <c r="F45" s="1223" t="n"/>
      <c r="G45" s="1223" t="n"/>
      <c r="H45" s="1223" t="n"/>
      <c r="N45" s="721" t="n"/>
      <c r="O45" s="424" t="n"/>
      <c r="P45" s="424" t="n"/>
    </row>
    <row r="46" ht="15" customHeight="1">
      <c r="A46" s="1223" t="n"/>
      <c r="B46" s="1223" t="n"/>
      <c r="C46" s="1223" t="n"/>
      <c r="D46" s="1223" t="n"/>
      <c r="E46" s="1223" t="n"/>
      <c r="F46" s="1223" t="n"/>
      <c r="G46" s="1223" t="n"/>
      <c r="H46" s="1223" t="n"/>
      <c r="N46" s="424" t="n"/>
      <c r="O46" s="424" t="n"/>
      <c r="P46" s="424" t="n"/>
    </row>
    <row r="47" ht="15" customHeight="1">
      <c r="A47" s="1223" t="n"/>
      <c r="B47" s="1223" t="n"/>
      <c r="C47" s="1223" t="n"/>
      <c r="D47" s="1223" t="n"/>
      <c r="E47" s="1223" t="n"/>
      <c r="F47" s="1223" t="n"/>
      <c r="G47" s="1223" t="n"/>
      <c r="H47" s="1223" t="n"/>
      <c r="N47" s="424" t="n"/>
      <c r="O47" s="424" t="n"/>
      <c r="P47" s="424" t="n"/>
    </row>
    <row r="48" ht="15" customHeight="1">
      <c r="A48" s="1223" t="n"/>
      <c r="B48" s="1223" t="n"/>
      <c r="C48" s="1223" t="n"/>
      <c r="D48" s="1223" t="n"/>
      <c r="E48" s="1223" t="n"/>
      <c r="F48" s="1223" t="n"/>
      <c r="G48" s="1223" t="n"/>
      <c r="H48" s="1223" t="n"/>
      <c r="N48" s="424" t="n"/>
      <c r="O48" s="424" t="n"/>
      <c r="P48" s="424" t="n"/>
    </row>
    <row r="49" ht="15" customHeight="1">
      <c r="A49" s="1223" t="n"/>
      <c r="B49" s="1223" t="n"/>
      <c r="C49" s="1223" t="n"/>
      <c r="D49" s="1223" t="n"/>
      <c r="E49" s="1223" t="n"/>
      <c r="F49" s="1223" t="n"/>
      <c r="G49" s="1223" t="n"/>
      <c r="H49" s="1223" t="n"/>
      <c r="N49" s="424" t="n"/>
      <c r="O49" s="424" t="n"/>
      <c r="P49" s="424" t="n"/>
    </row>
    <row r="50" ht="15" customHeight="1">
      <c r="A50" s="1223" t="n"/>
      <c r="B50" s="1223" t="n"/>
      <c r="C50" s="1223" t="n"/>
      <c r="D50" s="1223" t="n"/>
      <c r="E50" s="1223" t="n"/>
      <c r="F50" s="1223" t="n"/>
      <c r="G50" s="1223" t="n"/>
      <c r="H50" s="1223" t="n"/>
      <c r="N50" s="424" t="n"/>
      <c r="O50" s="424" t="n"/>
      <c r="P50" s="424" t="n"/>
    </row>
    <row r="51" ht="15" customHeight="1">
      <c r="A51" s="1223" t="n"/>
      <c r="B51" s="1223" t="n"/>
      <c r="C51" s="1223" t="n"/>
      <c r="D51" s="1223" t="n"/>
      <c r="E51" s="1223" t="n"/>
      <c r="F51" s="1223" t="n"/>
      <c r="G51" s="1223" t="n"/>
      <c r="H51" s="1223" t="n"/>
    </row>
    <row r="52" ht="15" customFormat="1" customHeight="1" s="377">
      <c r="A52" s="1017" t="n"/>
      <c r="B52" s="1017" t="n"/>
      <c r="C52" s="1017" t="n"/>
      <c r="D52" s="1017" t="n"/>
      <c r="E52" s="1017" t="n"/>
      <c r="F52" s="1017" t="n"/>
      <c r="G52" s="1017" t="n"/>
      <c r="H52" s="1017" t="n"/>
    </row>
    <row r="53" ht="15" customFormat="1" customHeight="1" s="377">
      <c r="A53" s="1017" t="n"/>
      <c r="B53" s="1017" t="n"/>
      <c r="C53" s="1017" t="n"/>
      <c r="D53" s="1017" t="n"/>
      <c r="E53" s="1017" t="n"/>
      <c r="F53" s="1017" t="n"/>
      <c r="G53" s="1017" t="n"/>
      <c r="H53" s="1017" t="n"/>
    </row>
    <row r="54" ht="15" customFormat="1" customHeight="1" s="377">
      <c r="A54" s="1017" t="n"/>
      <c r="B54" s="1017" t="n"/>
      <c r="C54" s="1017" t="n"/>
      <c r="D54" s="1017" t="n"/>
      <c r="E54" s="1017" t="n"/>
      <c r="F54" s="1017" t="n"/>
      <c r="G54" s="1017" t="n"/>
      <c r="H54" s="1017" t="n"/>
    </row>
    <row r="55" ht="15" customHeight="1">
      <c r="A55" s="1017" t="n"/>
      <c r="B55" s="1017" t="n"/>
      <c r="C55" s="1017" t="n"/>
      <c r="D55" s="1017" t="n"/>
      <c r="E55" s="1017" t="n"/>
      <c r="F55" s="1017" t="n"/>
      <c r="G55" s="1017" t="n"/>
      <c r="H55" s="1017" t="n"/>
      <c r="I55" s="722" t="n"/>
    </row>
    <row r="56" ht="15" customHeight="1">
      <c r="A56" s="1017" t="n"/>
      <c r="B56" s="1017" t="n"/>
      <c r="C56" s="1017" t="n"/>
      <c r="D56" s="1017" t="n"/>
      <c r="E56" s="1017" t="n"/>
      <c r="F56" s="1017" t="n"/>
      <c r="G56" s="1017" t="n"/>
      <c r="H56" s="1017" t="n"/>
      <c r="I56" s="722" t="n"/>
    </row>
    <row r="57" ht="15" customHeight="1">
      <c r="A57" s="1018">
        <f>+K19</f>
        <v/>
      </c>
      <c r="B57" s="1241" t="n"/>
      <c r="C57" s="1241" t="n"/>
      <c r="D57" s="580" t="n"/>
      <c r="E57" s="580" t="n"/>
      <c r="F57" s="1018">
        <f>+T18</f>
        <v/>
      </c>
      <c r="G57" s="1241" t="n"/>
      <c r="H57" s="1241" t="n"/>
      <c r="I57" s="376" t="n"/>
      <c r="K57" s="218" t="n"/>
    </row>
    <row r="58" ht="15" customHeight="1">
      <c r="A58" s="1026">
        <f>+'Identificación del Instrumento'!C14</f>
        <v/>
      </c>
      <c r="D58" s="580" t="n"/>
      <c r="E58" s="580" t="n"/>
      <c r="F58" s="1026" t="inlineStr">
        <is>
          <t>Programa de Metrología Legal - INTI</t>
        </is>
      </c>
    </row>
    <row r="59" ht="15" customHeight="1">
      <c r="A59" s="1023">
        <f>K21</f>
        <v/>
      </c>
      <c r="D59" s="580" t="n"/>
      <c r="E59" s="580" t="n"/>
      <c r="F59" s="1026" t="n"/>
      <c r="G59" s="1026" t="n"/>
      <c r="H59" s="1026" t="n"/>
    </row>
    <row r="60" ht="15" customFormat="1" customHeight="1" s="471">
      <c r="A60" s="1017" t="n"/>
      <c r="B60" s="1017" t="n"/>
      <c r="C60" s="1017" t="n"/>
      <c r="D60" s="1017" t="n"/>
      <c r="E60" s="1017" t="n"/>
      <c r="F60" s="1017" t="n"/>
      <c r="G60" s="1017" t="n"/>
      <c r="H60" s="1017" t="n"/>
    </row>
    <row r="61" ht="15" customFormat="1" customHeight="1" s="471">
      <c r="A61" s="1017" t="n"/>
      <c r="B61" s="1017" t="n"/>
      <c r="C61" s="1017" t="n"/>
      <c r="D61" s="1017" t="n"/>
      <c r="E61" s="1017" t="n"/>
      <c r="F61" s="1017" t="n"/>
      <c r="G61" s="1017" t="n"/>
      <c r="H61" s="1017" t="n"/>
    </row>
    <row r="62" ht="15" customFormat="1" customHeight="1" s="471">
      <c r="A62" s="1017" t="n"/>
      <c r="B62" s="1017" t="n"/>
      <c r="C62" s="1017" t="n"/>
      <c r="D62" s="1017" t="n"/>
      <c r="E62" s="1017" t="n"/>
      <c r="F62" s="1017" t="n"/>
      <c r="G62" s="1017" t="n"/>
      <c r="H62" s="1017" t="n"/>
    </row>
    <row r="63" ht="15" customHeight="1">
      <c r="A63" s="1027" t="n"/>
    </row>
    <row r="64" ht="15" customHeight="1">
      <c r="A64" s="1025" t="n"/>
    </row>
    <row r="65" ht="15" customHeight="1">
      <c r="A65" s="1025" t="n"/>
    </row>
    <row r="66" ht="15" customHeight="1"/>
    <row r="67" ht="15" customHeight="1"/>
  </sheetData>
  <mergeCells count="37">
    <mergeCell ref="A16:F16"/>
    <mergeCell ref="J24:L24"/>
    <mergeCell ref="N33:P33"/>
    <mergeCell ref="N42:P42"/>
    <mergeCell ref="J14:K14"/>
    <mergeCell ref="N27:P28"/>
    <mergeCell ref="A64:H64"/>
    <mergeCell ref="J27:L27"/>
    <mergeCell ref="N39:P39"/>
    <mergeCell ref="A18:H30"/>
    <mergeCell ref="J26:L26"/>
    <mergeCell ref="J13:K13"/>
    <mergeCell ref="A57:C57"/>
    <mergeCell ref="K21:L21"/>
    <mergeCell ref="J25:L25"/>
    <mergeCell ref="N38:P38"/>
    <mergeCell ref="K20:L20"/>
    <mergeCell ref="A65:H65"/>
    <mergeCell ref="J22:L22"/>
    <mergeCell ref="N40:P40"/>
    <mergeCell ref="F58:H58"/>
    <mergeCell ref="A31:H39"/>
    <mergeCell ref="A1:H7"/>
    <mergeCell ref="J18:L18"/>
    <mergeCell ref="F57:H57"/>
    <mergeCell ref="A58:C58"/>
    <mergeCell ref="J23:L23"/>
    <mergeCell ref="A14:H14"/>
    <mergeCell ref="A40:H43"/>
    <mergeCell ref="A59:C59"/>
    <mergeCell ref="A44:H51"/>
    <mergeCell ref="N41:P41"/>
    <mergeCell ref="J28:L28"/>
    <mergeCell ref="A63:H63"/>
    <mergeCell ref="K19:L19"/>
    <mergeCell ref="N37:P37"/>
    <mergeCell ref="N43:P43"/>
  </mergeCells>
  <conditionalFormatting sqref="A18 A40 A44:A45">
    <cfRule type="cellIs" priority="1" operator="equal" dxfId="16" stopIfTrue="1">
      <formula>"¡Completar datos del acta!"</formula>
    </cfRule>
  </conditionalFormatting>
  <conditionalFormatting sqref="A31">
    <cfRule type="cellIs" priority="2" operator="equal" dxfId="15" stopIfTrue="1">
      <formula>"¡LA BALANZA NO CUMPLE!"</formula>
    </cfRule>
  </conditionalFormatting>
  <dataValidations count="2">
    <dataValidation sqref="J20" showDropDown="0" showInputMessage="1" showErrorMessage="1" allowBlank="1" errorTitle="Tipo de documento" error="Valor incorrecto. Respete las opciones de la lista" promptTitle="Tipo de documento" prompt="Seleccione una opción de la lista" type="list">
      <formula1>$V$18:$V$23</formula1>
    </dataValidation>
    <dataValidation sqref="J21" showDropDown="0" showInputMessage="1" showErrorMessage="1" allowBlank="1" errorTitle="Tipo de documento" error="Valor incorrecto. Respete las opciones de la lista" promptTitle="Tipo de documento" prompt="Seleccione una opción de la lista" type="list">
      <formula1>$V$18:$V$25</formula1>
    </dataValidation>
  </dataValidations>
  <hyperlinks>
    <hyperlink xmlns:r="http://schemas.openxmlformats.org/officeDocument/2006/relationships" ref="K21" r:id="rId1"/>
  </hyperlinks>
  <pageMargins left="0.984251968503937" right="0.3937007874015748" top="0.3937007874015748" bottom="0.3937007874015748" header="0" footer="0"/>
  <pageSetup orientation="portrait" paperSize="9" scale="86" verticalDpi="300"/>
</worksheet>
</file>

<file path=xl/worksheets/sheet4.xml><?xml version="1.0" encoding="utf-8"?>
<worksheet xmlns="http://schemas.openxmlformats.org/spreadsheetml/2006/main">
  <sheetPr codeName="Hoja6">
    <outlinePr summaryBelow="1" summaryRight="1"/>
    <pageSetUpPr/>
  </sheetPr>
  <dimension ref="A1:S76"/>
  <sheetViews>
    <sheetView view="pageBreakPreview" topLeftCell="A12" zoomScaleSheetLayoutView="100" workbookViewId="0">
      <selection activeCell="E29" sqref="E29:G29"/>
    </sheetView>
  </sheetViews>
  <sheetFormatPr baseColWidth="10" defaultColWidth="10.7109375" defaultRowHeight="12.75"/>
  <cols>
    <col width="9.7109375" customWidth="1" min="1" max="1"/>
    <col width="18.28515625" customWidth="1" min="2" max="2"/>
    <col width="10.7109375" customWidth="1" min="3" max="3"/>
    <col width="10" customWidth="1" min="4" max="4"/>
    <col width="20.7109375" customWidth="1" min="5" max="5"/>
    <col width="10.7109375" customWidth="1" min="6" max="6"/>
    <col width="14.28515625" customWidth="1" min="7" max="7"/>
    <col width="9.7109375" customWidth="1" min="8" max="8"/>
    <col width="12.7109375" customWidth="1" min="9" max="9"/>
    <col width="3.85546875" customWidth="1" min="10" max="10"/>
    <col width="11.42578125" customWidth="1" min="11" max="14"/>
    <col width="2.85546875" customWidth="1" min="15" max="15"/>
    <col width="3" customWidth="1" min="16" max="16"/>
    <col width="1.85546875" customWidth="1" min="17" max="17"/>
    <col width="3.42578125" customWidth="1" min="18" max="18"/>
  </cols>
  <sheetData>
    <row r="1" ht="15" customHeight="1">
      <c r="A1" s="1072" t="n"/>
      <c r="I1" s="364" t="n"/>
      <c r="J1" s="723" t="n"/>
      <c r="K1" s="723" t="n"/>
      <c r="L1" s="723" t="n"/>
      <c r="M1" s="723" t="n"/>
      <c r="N1" s="723" t="n"/>
      <c r="O1" s="723" t="n"/>
      <c r="P1" s="723" t="n"/>
    </row>
    <row r="2" ht="15" customHeight="1">
      <c r="I2" s="364" t="n"/>
      <c r="J2" s="723" t="n"/>
      <c r="K2" s="723" t="n"/>
      <c r="L2" s="723" t="n"/>
      <c r="M2" s="723" t="n"/>
      <c r="N2" s="723" t="n"/>
      <c r="O2" s="723" t="n"/>
      <c r="P2" s="723" t="n"/>
    </row>
    <row r="3" ht="15" customHeight="1">
      <c r="I3" s="364" t="n"/>
      <c r="J3" s="723" t="n"/>
      <c r="K3" s="723" t="n"/>
      <c r="L3" s="723" t="n"/>
      <c r="M3" s="723" t="n"/>
      <c r="N3" s="723" t="n"/>
      <c r="O3" s="723" t="n"/>
      <c r="P3" s="723" t="n"/>
    </row>
    <row r="4" ht="15" customHeight="1">
      <c r="I4" s="364" t="n"/>
      <c r="J4" s="723" t="n"/>
      <c r="K4" s="723" t="n"/>
      <c r="L4" s="723" t="n"/>
      <c r="M4" s="723" t="n"/>
      <c r="N4" s="723" t="n"/>
      <c r="O4" s="723" t="n"/>
      <c r="P4" s="723" t="n"/>
    </row>
    <row r="5" ht="15" customHeight="1">
      <c r="I5" s="364" t="n"/>
      <c r="J5" s="723" t="n"/>
      <c r="K5" s="723" t="n"/>
      <c r="L5" s="723" t="n"/>
      <c r="M5" s="723" t="n"/>
      <c r="N5" s="723" t="n"/>
      <c r="O5" s="723" t="n"/>
      <c r="P5" s="723" t="n"/>
    </row>
    <row r="6" ht="15" customHeight="1">
      <c r="I6" s="364" t="n"/>
      <c r="J6" s="723" t="n"/>
      <c r="K6" s="723" t="n"/>
      <c r="L6" s="723" t="n"/>
      <c r="M6" s="723" t="n"/>
      <c r="N6" s="723" t="n"/>
      <c r="O6" s="723" t="n"/>
      <c r="P6" s="723" t="n"/>
    </row>
    <row r="7" ht="15" customHeight="1">
      <c r="I7" s="364" t="n"/>
      <c r="J7" s="723" t="n"/>
      <c r="K7" s="723" t="n"/>
      <c r="L7" s="723" t="n"/>
      <c r="M7" s="723" t="n"/>
      <c r="N7" s="723" t="n"/>
      <c r="O7" s="723" t="n"/>
      <c r="P7" s="723" t="n"/>
    </row>
    <row r="8" ht="15" customHeight="1">
      <c r="A8" s="364" t="n"/>
      <c r="B8" s="363" t="n"/>
      <c r="C8" s="363" t="n"/>
      <c r="D8" s="363" t="n"/>
      <c r="E8" s="363" t="n"/>
      <c r="F8" s="363" t="n"/>
      <c r="G8" s="363" t="n"/>
      <c r="H8" s="363" t="n"/>
      <c r="I8" s="364" t="n"/>
      <c r="J8" s="723" t="n"/>
      <c r="K8" s="723" t="n"/>
      <c r="L8" s="723" t="n"/>
      <c r="M8" s="723" t="n"/>
      <c r="N8" s="723" t="n"/>
      <c r="O8" s="723" t="n"/>
      <c r="P8" s="723" t="n"/>
    </row>
    <row r="9" ht="15" customHeight="1">
      <c r="A9" s="364" t="n"/>
      <c r="B9" s="363" t="n"/>
      <c r="C9" s="363" t="n"/>
      <c r="D9" s="363" t="n"/>
      <c r="E9" s="363" t="n"/>
      <c r="F9" s="363" t="n"/>
      <c r="G9" s="363" t="n"/>
      <c r="H9" s="363" t="n"/>
      <c r="I9" s="364" t="n"/>
      <c r="J9" s="723" t="n"/>
      <c r="K9" s="723" t="n"/>
      <c r="L9" s="723" t="n"/>
      <c r="M9" s="723" t="n"/>
      <c r="N9" s="723" t="n"/>
      <c r="O9" s="723" t="n"/>
      <c r="P9" s="723" t="n"/>
    </row>
    <row r="10" ht="20.25" customHeight="1">
      <c r="A10" s="1068" t="inlineStr">
        <is>
          <t>ACTA DE PRECINTADO</t>
        </is>
      </c>
      <c r="I10" s="526" t="n"/>
      <c r="J10" s="723" t="n"/>
      <c r="K10" s="723" t="n"/>
      <c r="L10" s="723" t="n"/>
      <c r="M10" s="723" t="n"/>
      <c r="N10" s="723" t="n"/>
      <c r="O10" s="723" t="n"/>
      <c r="P10" s="723" t="n"/>
    </row>
    <row r="11" hidden="1" ht="15" customHeight="1">
      <c r="A11" s="364" t="n"/>
      <c r="B11" s="363" t="n"/>
      <c r="C11" s="363" t="n"/>
      <c r="D11" s="363" t="n"/>
      <c r="E11" s="363" t="n"/>
      <c r="F11" s="363" t="n"/>
      <c r="G11" s="363" t="n"/>
      <c r="H11" s="363" t="n"/>
      <c r="I11" s="364" t="n"/>
      <c r="J11" s="723" t="n"/>
      <c r="K11" s="723" t="inlineStr">
        <is>
          <t>En las Balanzas tipo Electronicas se debe precintar en:</t>
        </is>
      </c>
      <c r="L11" s="723" t="n"/>
      <c r="M11" s="723" t="n"/>
      <c r="N11" s="723" t="n"/>
      <c r="O11" s="723" t="n"/>
      <c r="P11" s="723" t="n"/>
    </row>
    <row r="12" ht="15" customHeight="1">
      <c r="A12" s="363" t="n"/>
      <c r="B12" s="363" t="n"/>
      <c r="C12" s="363" t="n"/>
      <c r="D12" s="363" t="n"/>
      <c r="E12" s="363" t="n"/>
      <c r="F12" s="363" t="n"/>
      <c r="G12" s="363" t="n"/>
      <c r="H12" s="363" t="n"/>
      <c r="I12" s="363" t="n"/>
      <c r="K12" s="206" t="n"/>
      <c r="L12" s="723" t="n"/>
      <c r="O12" s="207" t="n"/>
    </row>
    <row r="13" ht="18" customHeight="1">
      <c r="A13" s="1048" t="inlineStr">
        <is>
          <t>Fecha:</t>
        </is>
      </c>
      <c r="B13" s="1077">
        <f>IF(ISBLANK('Identificación del Instrumento'!J2),"",'Identificación del Instrumento'!J2)</f>
        <v/>
      </c>
      <c r="F13" s="1048" t="n"/>
      <c r="G13" s="1048" t="n"/>
      <c r="H13" s="1048" t="n"/>
      <c r="I13" s="1048" t="n"/>
      <c r="K13" s="724" t="inlineStr">
        <is>
          <t>Cabezal electrónico</t>
        </is>
      </c>
      <c r="M13" s="747" t="n"/>
      <c r="N13" s="747" t="n"/>
      <c r="O13" s="207" t="n"/>
    </row>
    <row r="14" ht="18" customHeight="1">
      <c r="A14" s="1048" t="inlineStr">
        <is>
          <t>Objeto:</t>
        </is>
      </c>
      <c r="B14" s="1049">
        <f>IF(ISBLANK('Identificación del Instrumento'!B22)," ",'Identificación del Instrumento'!B22)</f>
        <v/>
      </c>
      <c r="I14" s="363" t="n"/>
      <c r="K14" s="724" t="inlineStr">
        <is>
          <t>Cajas de ecualización</t>
        </is>
      </c>
      <c r="L14" s="747" t="n"/>
      <c r="M14" s="747" t="n"/>
      <c r="N14" s="747" t="n"/>
      <c r="O14" s="207" t="n"/>
    </row>
    <row r="15" ht="18" customHeight="1">
      <c r="A15" s="1048" t="inlineStr">
        <is>
          <t>Fabricante / Importador:</t>
        </is>
      </c>
      <c r="B15" s="1048" t="n"/>
      <c r="C15" s="1049" t="inlineStr">
        <is>
          <t>Receptor:</t>
        </is>
      </c>
      <c r="D15" s="1049">
        <f>IF(ISBLANK('Identificación del Instrumento'!B24),"",'Identificación del Instrumento'!B24)</f>
        <v/>
      </c>
      <c r="F15" s="363" t="inlineStr">
        <is>
          <t>Indicador:</t>
        </is>
      </c>
      <c r="G15" s="1048">
        <f>IF(ISBLANK('Identificación del Instrumento'!F24),"",'Identificación del Instrumento'!F24)</f>
        <v/>
      </c>
      <c r="H15" s="363" t="n"/>
      <c r="I15" s="363" t="n"/>
      <c r="K15" s="724" t="inlineStr">
        <is>
          <t>Celdas de carga</t>
        </is>
      </c>
      <c r="L15" s="747" t="n"/>
      <c r="M15" s="747" t="n"/>
      <c r="N15" s="747" t="n"/>
      <c r="O15" s="207" t="n"/>
    </row>
    <row r="16" ht="18" customHeight="1">
      <c r="A16" s="1048" t="inlineStr">
        <is>
          <t xml:space="preserve">Modelo: </t>
        </is>
      </c>
      <c r="B16" s="1048" t="inlineStr">
        <is>
          <t> </t>
        </is>
      </c>
      <c r="C16" s="1049" t="inlineStr">
        <is>
          <t>Receptor:</t>
        </is>
      </c>
      <c r="D16" s="1049">
        <f>IF(ISBLANK('Identificación del Instrumento'!B25),"",'Identificación del Instrumento'!B25)</f>
        <v/>
      </c>
      <c r="F16" s="363" t="inlineStr">
        <is>
          <t>Indicador:</t>
        </is>
      </c>
      <c r="G16" s="1048">
        <f>IF(ISBLANK('Identificación del Instrumento'!F25),"",'Identificación del Instrumento'!F25)</f>
        <v/>
      </c>
      <c r="H16" s="363" t="n"/>
      <c r="I16" s="363" t="n"/>
      <c r="K16" s="724" t="inlineStr">
        <is>
          <t>Cableado</t>
        </is>
      </c>
      <c r="L16" s="747" t="n"/>
      <c r="M16" s="747" t="n"/>
      <c r="N16" s="747" t="n"/>
      <c r="O16" s="207" t="n"/>
    </row>
    <row r="17" ht="18" customHeight="1" thickBot="1">
      <c r="A17" s="1048" t="inlineStr">
        <is>
          <t>Número de Serie:</t>
        </is>
      </c>
      <c r="B17" s="1048" t="n"/>
      <c r="C17" s="1049" t="inlineStr">
        <is>
          <t>Receptor:</t>
        </is>
      </c>
      <c r="D17" s="1049">
        <f>IF(ISBLANK('Identificación del Instrumento'!B26),"",'Identificación del Instrumento'!B26)</f>
        <v/>
      </c>
      <c r="F17" s="363" t="inlineStr">
        <is>
          <t>Indicador:</t>
        </is>
      </c>
      <c r="G17" s="1048">
        <f>IF(ISBLANK('Identificación del Instrumento'!F26),"",'Identificación del Instrumento'!F26)</f>
        <v/>
      </c>
      <c r="H17" s="363" t="n"/>
      <c r="I17" s="363" t="n"/>
      <c r="K17" s="208" t="n"/>
      <c r="L17" s="190" t="n"/>
      <c r="M17" s="190" t="n"/>
      <c r="N17" s="190" t="n"/>
      <c r="O17" s="209" t="n"/>
    </row>
    <row r="18" ht="18" customHeight="1">
      <c r="A18" s="1048" t="inlineStr">
        <is>
          <t>Cód. de aprob. de modelo:</t>
        </is>
      </c>
      <c r="B18" s="1048" t="n"/>
      <c r="C18" s="1049" t="inlineStr">
        <is>
          <t>Receptor:</t>
        </is>
      </c>
      <c r="D18" s="1049">
        <f>IF(ISBLANK('Identificación del Instrumento'!B27),"",'Identificación del Instrumento'!B27)</f>
        <v/>
      </c>
      <c r="F18" s="363" t="inlineStr">
        <is>
          <t>Indicador:</t>
        </is>
      </c>
      <c r="G18" s="1048">
        <f>IF(ISBLANK('Identificación del Instrumento'!F27),"",'Identificación del Instrumento'!F27)</f>
        <v/>
      </c>
      <c r="H18" s="363" t="n"/>
      <c r="I18" s="363" t="n"/>
    </row>
    <row r="19" ht="18" customHeight="1">
      <c r="A19" s="1048" t="inlineStr">
        <is>
          <t>Propietario o Permisionario:</t>
        </is>
      </c>
      <c r="B19" s="1048" t="n"/>
      <c r="C19" s="1056">
        <f>IF(ISBLANK('Identificación del Instrumento'!C14),"",'Identificación del Instrumento'!C14)</f>
        <v/>
      </c>
      <c r="I19" s="1069" t="n"/>
      <c r="J19" s="747" t="n"/>
      <c r="K19" s="747" t="n"/>
    </row>
    <row r="20" ht="18" customHeight="1" thickBot="1">
      <c r="A20" s="1069">
        <f>'Acta Verificación '!A16:F16</f>
        <v/>
      </c>
      <c r="I20" s="533" t="n"/>
      <c r="L20" s="747" t="n"/>
    </row>
    <row r="21" ht="15" customHeight="1" thickBot="1">
      <c r="I21" s="363" t="n"/>
      <c r="K21" s="387" t="inlineStr">
        <is>
          <t>En las Balanzas tipo Híbridas se debe precintar en:</t>
        </is>
      </c>
      <c r="M21" s="388" t="n"/>
      <c r="N21" s="388" t="n"/>
      <c r="O21" s="389" t="n"/>
    </row>
    <row r="22" ht="18.95" customHeight="1" thickBot="1">
      <c r="A22" s="363" t="n"/>
      <c r="B22" s="1060">
        <f>IF(ISBLANK('Identificación del Instrumento'!F23)," ",CONCATENATE("Balanza ",'Identificación del Instrumento'!F23))</f>
        <v/>
      </c>
      <c r="C22" s="388" t="n"/>
      <c r="D22" s="388" t="n"/>
      <c r="E22" s="388" t="n"/>
      <c r="F22" s="388" t="n"/>
      <c r="G22" s="388" t="n"/>
      <c r="H22" s="540" t="n"/>
      <c r="I22" s="363" t="n"/>
      <c r="J22" s="725" t="n"/>
      <c r="K22" s="726" t="inlineStr">
        <is>
          <t>Contrapeso de cero</t>
        </is>
      </c>
      <c r="L22" s="388" t="n"/>
      <c r="M22" s="727" t="n"/>
      <c r="N22" s="727" t="n"/>
      <c r="O22" s="728" t="n"/>
    </row>
    <row r="23" ht="18.95" customHeight="1" thickBot="1">
      <c r="A23" s="363" t="n"/>
      <c r="B23" s="1329" t="inlineStr">
        <is>
          <t>Ubicación</t>
        </is>
      </c>
      <c r="C23" s="388" t="n"/>
      <c r="D23" s="389" t="n"/>
      <c r="E23" s="1062" t="inlineStr">
        <is>
          <t>Nº Precinto / Tipo (1)</t>
        </is>
      </c>
      <c r="F23" s="388" t="n"/>
      <c r="G23" s="388" t="n"/>
      <c r="H23" s="541" t="n"/>
      <c r="I23" s="363" t="n"/>
      <c r="J23" s="725" t="n"/>
      <c r="K23" s="724" t="inlineStr">
        <is>
          <t>Contrapeso móvil del brazo</t>
        </is>
      </c>
      <c r="L23" s="727" t="n"/>
      <c r="M23" s="747" t="n"/>
      <c r="N23" s="747" t="n"/>
      <c r="O23" s="729" t="n"/>
    </row>
    <row r="24" ht="24.95" customHeight="1">
      <c r="A24" s="363" t="n"/>
      <c r="B24" s="1053" t="inlineStr">
        <is>
          <t>Placa identificatoria</t>
        </is>
      </c>
      <c r="C24" s="1055" t="inlineStr">
        <is>
          <t>del receptor</t>
        </is>
      </c>
      <c r="D24" s="1330" t="n"/>
      <c r="E24" s="1050" t="inlineStr">
        <is>
          <t>(a) I18850</t>
        </is>
      </c>
      <c r="F24" s="1246" t="n"/>
      <c r="G24" s="1246" t="n"/>
      <c r="H24" s="542" t="n"/>
      <c r="I24" s="363" t="n"/>
      <c r="K24" s="724" t="inlineStr">
        <is>
          <t>Tapa columna contra leva</t>
        </is>
      </c>
      <c r="L24" s="747" t="n"/>
      <c r="M24" s="747" t="n"/>
      <c r="N24" s="747" t="n"/>
      <c r="O24" s="729" t="n"/>
      <c r="Q24">
        <f>IF(ISBLANK(F24),"",F24)</f>
        <v/>
      </c>
      <c r="S24" s="214">
        <f>IF(ISBLANK(E24),"",IF(ISBLANK(E25),CONCATENATE("",B24," ",C24, " ",E24),CONCATENATE("",B24," ",C24," ",E24)))</f>
        <v/>
      </c>
    </row>
    <row r="25" ht="24.95" customHeight="1">
      <c r="A25" s="363" t="n"/>
      <c r="B25" s="1331" t="n"/>
      <c r="C25" s="1055" t="inlineStr">
        <is>
          <t>del indicador</t>
        </is>
      </c>
      <c r="D25" s="1330" t="n"/>
      <c r="E25" s="1039" t="inlineStr">
        <is>
          <t>(a) K26189</t>
        </is>
      </c>
      <c r="F25" s="1224" t="n"/>
      <c r="G25" s="1224" t="n"/>
      <c r="H25" s="542" t="n"/>
      <c r="I25" s="363" t="n"/>
      <c r="K25" s="724" t="inlineStr">
        <is>
          <t>Levas</t>
        </is>
      </c>
      <c r="L25" s="747" t="n"/>
      <c r="M25" s="747" t="n"/>
      <c r="N25" s="747" t="n"/>
      <c r="O25" s="729" t="n"/>
      <c r="S25" s="215">
        <f>IF(ISBLANK(E25),"",IF(ISBLANK(E26),CONCATENATE(" y ",B24," ",C25," ",E25),CONCATENATE(", ",B24," ",C25," ",E25)))</f>
        <v/>
      </c>
    </row>
    <row r="26" ht="25.5" customHeight="1">
      <c r="A26" s="363" t="n"/>
      <c r="B26" s="1332" t="inlineStr">
        <is>
          <t>Indicador</t>
        </is>
      </c>
      <c r="C26" s="1224" t="n"/>
      <c r="D26" s="1235" t="n"/>
      <c r="E26" s="1039" t="inlineStr">
        <is>
          <t>(a) B 79079, B 79080 (07/10/25)</t>
        </is>
      </c>
      <c r="F26" s="1224" t="n"/>
      <c r="G26" s="1224" t="n"/>
      <c r="H26" s="542" t="n"/>
      <c r="I26" s="363" t="n"/>
      <c r="K26" s="724" t="inlineStr">
        <is>
          <t>Barras de mando</t>
        </is>
      </c>
      <c r="L26" s="747" t="n"/>
      <c r="M26" s="747" t="n"/>
      <c r="N26" s="747" t="n"/>
      <c r="O26" s="729" t="n"/>
      <c r="S26" s="215">
        <f>IF(ISBLANK(E26),"",IF(ISBLANK(E27),CONCATENATE(", ",B26, " ",E26),CONCATENATE(", ",B26," ",E26)))</f>
        <v/>
      </c>
    </row>
    <row r="27" ht="25.5" customHeight="1">
      <c r="A27" s="363" t="n"/>
      <c r="B27" s="1332" t="inlineStr">
        <is>
          <t>Caja de ecualización</t>
        </is>
      </c>
      <c r="C27" s="1224" t="n"/>
      <c r="D27" s="1235" t="n"/>
      <c r="E27" s="1039" t="inlineStr">
        <is>
          <t>(a)  B 79081, B 79082 (07/10/25)</t>
        </is>
      </c>
      <c r="F27" s="1224" t="n"/>
      <c r="G27" s="1224" t="n"/>
      <c r="H27" s="542" t="n"/>
      <c r="I27" s="363" t="n"/>
      <c r="K27" s="724" t="inlineStr">
        <is>
          <t>Barra de transmisión</t>
        </is>
      </c>
      <c r="L27" s="747" t="n"/>
      <c r="M27" s="747" t="n"/>
      <c r="N27" s="747" t="n"/>
      <c r="O27" s="729" t="n"/>
      <c r="S27" s="215">
        <f>IF(ISBLANK(E27),"",IF(ISBLANK(E28),CONCATENATE(", ",B27, " ",E27),CONCATENATE(", ",B27," ",E27)))</f>
        <v/>
      </c>
    </row>
    <row r="28" ht="25.5" customHeight="1">
      <c r="A28" s="363" t="n"/>
      <c r="B28" s="1332" t="inlineStr">
        <is>
          <t>Cable de celda</t>
        </is>
      </c>
      <c r="C28" s="1224" t="n"/>
      <c r="D28" s="1235" t="n"/>
      <c r="E28" s="1333" t="inlineStr">
        <is>
          <t>(a) 2143932</t>
        </is>
      </c>
      <c r="F28" s="1224" t="n"/>
      <c r="G28" s="1235" t="n"/>
      <c r="H28" s="542" t="n"/>
      <c r="I28" s="363" t="n"/>
      <c r="K28" s="724" t="inlineStr">
        <is>
          <t>Entrada de hombre a fosa</t>
        </is>
      </c>
      <c r="L28" s="747" t="n"/>
      <c r="M28" s="747" t="n"/>
      <c r="N28" s="747" t="n"/>
      <c r="O28" s="729" t="n"/>
      <c r="S28" s="215">
        <f>IF(ISBLANK(E28),"",IF(ISBLANK(E29),CONCATENATE(" y ",B28, " ",E28),CONCATENATE(", ",B28," ",E28)))</f>
        <v/>
      </c>
    </row>
    <row r="29" ht="45.75" customHeight="1" thickBot="1">
      <c r="A29" s="363" t="n"/>
      <c r="B29" s="1334" t="inlineStr">
        <is>
          <t>Verificado</t>
        </is>
      </c>
      <c r="C29" s="1237" t="n"/>
      <c r="D29" s="1266" t="n"/>
      <c r="E29" s="1335" t="inlineStr">
        <is>
          <t>(a) 1036542 (07/10/25)</t>
        </is>
      </c>
      <c r="F29" s="1237" t="n"/>
      <c r="G29" s="1266" t="n"/>
      <c r="H29" s="542" t="n"/>
      <c r="I29" s="363" t="n"/>
      <c r="K29" s="724" t="n"/>
      <c r="L29" s="747" t="n"/>
      <c r="M29" s="747" t="n"/>
      <c r="N29" s="747" t="n"/>
      <c r="O29" s="729" t="n"/>
      <c r="S29" s="215">
        <f>IF(ISBLANK(E29),"",IF(ISBLANK(E30),CONCATENATE(" y ",B29, " ",E29),CONCATENATE(", ",B29," ",E29)))</f>
        <v/>
      </c>
    </row>
    <row r="30" hidden="1" ht="2.25" customHeight="1">
      <c r="A30" s="363" t="n"/>
      <c r="B30" s="1039" t="n"/>
      <c r="C30" s="1040" t="n"/>
      <c r="D30" s="1041" t="n"/>
      <c r="E30" s="1076" t="n"/>
      <c r="F30" s="1221" t="n"/>
      <c r="G30" s="1221" t="n"/>
      <c r="H30" s="542" t="n"/>
      <c r="I30" s="363" t="n"/>
      <c r="K30" s="724" t="n"/>
      <c r="L30" s="747" t="n"/>
      <c r="M30" s="747" t="n"/>
      <c r="N30" s="747" t="n"/>
      <c r="O30" s="729" t="n"/>
      <c r="S30" s="215">
        <f>IF(ISBLANK(E30),"",IF(ISBLANK(E31),CONCATENATE(" y ",B30, " ",E30),CONCATENATE(", ",B30," ",E30)))</f>
        <v/>
      </c>
    </row>
    <row r="31" hidden="1" ht="15" customHeight="1">
      <c r="A31" s="363" t="n"/>
      <c r="B31" s="1039" t="n"/>
      <c r="C31" s="1040" t="n"/>
      <c r="D31" s="1041" t="n"/>
      <c r="E31" s="1039" t="n"/>
      <c r="F31" s="1224" t="n"/>
      <c r="G31" s="1224" t="n"/>
      <c r="H31" s="542" t="n"/>
      <c r="I31" s="363" t="n"/>
      <c r="K31" s="724" t="inlineStr">
        <is>
          <t>Cabezal electrónico</t>
        </is>
      </c>
      <c r="L31" s="747" t="n"/>
      <c r="M31" s="747" t="n"/>
      <c r="N31" s="747" t="n"/>
      <c r="O31" s="729" t="n"/>
      <c r="S31" s="215">
        <f>IF(ISBLANK(E31),"",IF(ISBLANK(E32),CONCATENATE(" y ",B31, " ",E31),CONCATENATE(", ",B31," ",E31)))</f>
        <v/>
      </c>
    </row>
    <row r="32" hidden="1" ht="15" customHeight="1">
      <c r="A32" s="363" t="n"/>
      <c r="B32" s="1039" t="n"/>
      <c r="C32" s="1040" t="n"/>
      <c r="D32" s="1041" t="n"/>
      <c r="E32" s="1039" t="n"/>
      <c r="F32" s="1224" t="n"/>
      <c r="G32" s="1224" t="n"/>
      <c r="H32" s="542" t="n"/>
      <c r="I32" s="363" t="n"/>
      <c r="K32" s="724" t="inlineStr">
        <is>
          <t>Celda de carga</t>
        </is>
      </c>
      <c r="L32" s="747" t="n"/>
      <c r="M32" s="747" t="n"/>
      <c r="N32" s="747" t="n"/>
      <c r="O32" s="729" t="n"/>
      <c r="S32" s="215">
        <f>IF(ISBLANK(E32),"",IF(ISBLANK(E33),CONCATENATE(" y ",B32, " ",E32),CONCATENATE(", ",B32," ",E32)))</f>
        <v/>
      </c>
    </row>
    <row r="33" hidden="1" ht="15" customHeight="1">
      <c r="A33" s="363" t="n"/>
      <c r="B33" s="1039" t="n"/>
      <c r="C33" s="1040" t="n"/>
      <c r="D33" s="1041" t="n"/>
      <c r="E33" s="1039" t="n"/>
      <c r="F33" s="1224" t="n"/>
      <c r="G33" s="1224" t="n"/>
      <c r="H33" s="542" t="n"/>
      <c r="I33" s="363" t="n"/>
      <c r="K33" s="724" t="inlineStr">
        <is>
          <t>Cableado</t>
        </is>
      </c>
      <c r="L33" s="747" t="n"/>
      <c r="M33" s="747" t="n"/>
      <c r="N33" s="747" t="n"/>
      <c r="O33" s="729" t="n"/>
      <c r="S33" s="215">
        <f>IF(ISBLANK(E33),"",IF(ISBLANK(E34),CONCATENATE(" y ",B33, " ",E33),CONCATENATE(", ",B33," ",E33)))</f>
        <v/>
      </c>
    </row>
    <row r="34" hidden="1" ht="15" customHeight="1" thickBot="1">
      <c r="A34" s="535" t="n"/>
      <c r="B34" s="1039" t="n"/>
      <c r="C34" s="1040" t="n"/>
      <c r="D34" s="1041" t="n"/>
      <c r="E34" s="1039" t="n"/>
      <c r="F34" s="1224" t="n"/>
      <c r="G34" s="1224" t="n"/>
      <c r="H34" s="542" t="n"/>
      <c r="I34" s="535" t="n"/>
      <c r="K34" s="208" t="n"/>
      <c r="L34" s="747" t="n"/>
      <c r="M34" s="190" t="n"/>
      <c r="N34" s="190" t="n"/>
      <c r="O34" s="209" t="n"/>
      <c r="S34" s="215">
        <f>IF(ISBLANK(E34),"",IF(ISBLANK(E35),CONCATENATE(" y ",B34, " ",E34),CONCATENATE(", ",B34," ",E34)))</f>
        <v/>
      </c>
    </row>
    <row r="35" hidden="1" ht="15" customHeight="1" thickBot="1">
      <c r="A35" s="535" t="n"/>
      <c r="B35" s="1039" t="n"/>
      <c r="C35" s="1040" t="n"/>
      <c r="D35" s="1041" t="n"/>
      <c r="E35" s="1039" t="n"/>
      <c r="F35" s="1224" t="n"/>
      <c r="G35" s="1224" t="n"/>
      <c r="H35" s="542" t="n"/>
      <c r="I35" s="535" t="n"/>
      <c r="L35" s="190" t="n"/>
      <c r="S35" s="215">
        <f>IF(ISBLANK(E35),"",IF(ISBLANK(E36),CONCATENATE(" y ",B35, " ",E35),CONCATENATE(", ",B35," ",E35)))</f>
        <v/>
      </c>
    </row>
    <row r="36" hidden="1" ht="15" customHeight="1">
      <c r="A36" s="535" t="n"/>
      <c r="B36" s="1039" t="n"/>
      <c r="C36" s="1040" t="n"/>
      <c r="D36" s="1041" t="n"/>
      <c r="E36" s="1039" t="n"/>
      <c r="F36" s="1224" t="n"/>
      <c r="G36" s="1224" t="n"/>
      <c r="H36" s="542" t="n"/>
      <c r="I36" s="535" t="n"/>
      <c r="S36" s="215">
        <f>IF(ISBLANK(E36),"",IF(ISBLANK(E37),CONCATENATE(" y ",B36, " ",E36),CONCATENATE(", ",B36," ",E36)))</f>
        <v/>
      </c>
    </row>
    <row r="37" hidden="1" ht="15" customHeight="1">
      <c r="A37" s="535" t="n"/>
      <c r="B37" s="1039" t="n"/>
      <c r="C37" s="1040" t="n"/>
      <c r="D37" s="1041" t="n"/>
      <c r="E37" s="1039" t="n"/>
      <c r="F37" s="1224" t="n"/>
      <c r="G37" s="1224" t="n"/>
      <c r="H37" s="542" t="n"/>
      <c r="I37" s="535" t="n"/>
      <c r="S37" s="215">
        <f>IF(ISBLANK(E37),"",IF(ISBLANK(E38),CONCATENATE(" y ",B37, " ",E37),CONCATENATE(", ",B37," ",E37)))</f>
        <v/>
      </c>
    </row>
    <row r="38" hidden="1" ht="15" customHeight="1">
      <c r="A38" s="535" t="n"/>
      <c r="B38" s="1039" t="n"/>
      <c r="C38" s="1040" t="n"/>
      <c r="D38" s="1041" t="n"/>
      <c r="E38" s="1039" t="n"/>
      <c r="F38" s="1224" t="n"/>
      <c r="G38" s="1224" t="n"/>
      <c r="H38" s="542" t="n"/>
      <c r="I38" s="535" t="n"/>
      <c r="S38" s="215">
        <f>IF(ISBLANK(E38),"",IF(ISBLANK(E39),CONCATENATE(" y ",B38, " ",E38),CONCATENATE(", ",B38," ",E38)))</f>
        <v/>
      </c>
    </row>
    <row r="39" hidden="1" ht="15" customHeight="1">
      <c r="A39" s="535" t="n"/>
      <c r="B39" s="1039" t="n"/>
      <c r="C39" s="1040" t="n"/>
      <c r="D39" s="1041" t="n"/>
      <c r="E39" s="1039" t="n"/>
      <c r="F39" s="1224" t="n"/>
      <c r="G39" s="1224" t="n"/>
      <c r="H39" s="542" t="n"/>
      <c r="I39" s="535" t="n"/>
      <c r="S39" s="215">
        <f>IF(ISBLANK(E39),"",IF(ISBLANK(E40),CONCATENATE(" y ",B39, " ",E39),CONCATENATE(", ",B39," ",E39)))</f>
        <v/>
      </c>
    </row>
    <row r="40" hidden="1" ht="15" customHeight="1">
      <c r="A40" s="535" t="n"/>
      <c r="B40" s="1039" t="n"/>
      <c r="C40" s="1040" t="n"/>
      <c r="D40" s="1041" t="n"/>
      <c r="E40" s="1039" t="n"/>
      <c r="F40" s="1224" t="n"/>
      <c r="G40" s="1224" t="n"/>
      <c r="H40" s="542" t="n"/>
      <c r="I40" s="535" t="n"/>
      <c r="S40" s="215">
        <f>IF(ISBLANK(E40),"",IF(ISBLANK(E41),CONCATENATE(" y ",B40, " ",E40),CONCATENATE(", ",B40," ",E40)))</f>
        <v/>
      </c>
    </row>
    <row r="41" hidden="1" ht="15" customHeight="1">
      <c r="A41" s="535" t="n"/>
      <c r="B41" s="1333" t="n"/>
      <c r="C41" s="1224" t="n"/>
      <c r="D41" s="1235" t="n"/>
      <c r="E41" s="1039" t="n"/>
      <c r="F41" s="1224" t="n"/>
      <c r="G41" s="1224" t="n"/>
      <c r="H41" s="542" t="n"/>
      <c r="I41" s="535" t="n"/>
      <c r="S41" s="215">
        <f>IF(ISBLANK(E41),"",IF(ISBLANK(E42),CONCATENATE(" y ",B41, " ",E41),CONCATENATE(", ",B41," ",E41)))</f>
        <v/>
      </c>
    </row>
    <row r="42" hidden="1" ht="15" customHeight="1">
      <c r="A42" s="535" t="n"/>
      <c r="B42" s="1333" t="n"/>
      <c r="C42" s="1224" t="n"/>
      <c r="D42" s="1235" t="n"/>
      <c r="E42" s="1039" t="n"/>
      <c r="F42" s="1224" t="n"/>
      <c r="G42" s="1224" t="n"/>
      <c r="H42" s="542" t="n"/>
      <c r="I42" s="535" t="n"/>
      <c r="S42" s="215">
        <f>IF(ISBLANK(E42),"",IF(ISBLANK(E43),CONCATENATE(" y ",B42, " ",E42),CONCATENATE(", ",B42," ",E42)))</f>
        <v/>
      </c>
    </row>
    <row r="43" hidden="1" ht="15" customHeight="1">
      <c r="A43" s="535" t="n"/>
      <c r="B43" s="1333" t="n"/>
      <c r="C43" s="1224" t="n"/>
      <c r="D43" s="1235" t="n"/>
      <c r="E43" s="1039" t="n"/>
      <c r="F43" s="1224" t="n"/>
      <c r="G43" s="1224" t="n"/>
      <c r="H43" s="542" t="n"/>
      <c r="I43" s="535" t="n"/>
      <c r="S43" s="215">
        <f>IF(ISBLANK(E43),"",IF(ISBLANK(E44),CONCATENATE(" y ",B43, " ",E43),CONCATENATE(", ",B43," ",E43)))</f>
        <v/>
      </c>
    </row>
    <row r="44" hidden="1" ht="15" customHeight="1">
      <c r="A44" s="535" t="n"/>
      <c r="B44" s="1333" t="n"/>
      <c r="C44" s="1224" t="n"/>
      <c r="D44" s="1235" t="n"/>
      <c r="E44" s="1039" t="n"/>
      <c r="F44" s="1224" t="n"/>
      <c r="G44" s="1224" t="n"/>
      <c r="H44" s="542" t="n"/>
      <c r="I44" s="535" t="n"/>
      <c r="S44" s="215">
        <f>IF(ISBLANK(E44),"",IF(ISBLANK(E45),CONCATENATE(" y ",B44, " ",E44),CONCATENATE(", ",B44," ",E44)))</f>
        <v/>
      </c>
    </row>
    <row r="45" hidden="1" ht="15" customHeight="1">
      <c r="A45" s="535" t="n"/>
      <c r="B45" s="1333" t="n"/>
      <c r="C45" s="1224" t="n"/>
      <c r="D45" s="1235" t="n"/>
      <c r="E45" s="1039" t="n"/>
      <c r="F45" s="1224" t="n"/>
      <c r="G45" s="1224" t="n"/>
      <c r="H45" s="542" t="n"/>
      <c r="I45" s="535" t="n"/>
      <c r="S45" s="215">
        <f>IF(ISBLANK(E45),"",IF(ISBLANK(E46),CONCATENATE(" y ",B45, " ",E45),CONCATENATE(", ",B45," ",E45)))</f>
        <v/>
      </c>
    </row>
    <row r="46" hidden="1" ht="15" customHeight="1">
      <c r="A46" s="535" t="n"/>
      <c r="B46" s="1333" t="n"/>
      <c r="C46" s="1224" t="n"/>
      <c r="D46" s="1235" t="n"/>
      <c r="E46" s="1039" t="n"/>
      <c r="F46" s="1224" t="n"/>
      <c r="G46" s="1224" t="n"/>
      <c r="H46" s="542" t="n"/>
      <c r="I46" s="535" t="n"/>
      <c r="S46" s="215">
        <f>IF(ISBLANK(E46),"",IF(ISBLANK(E47),CONCATENATE(" y ",B46, " ",E46),CONCATENATE(", ",B46," ",E46)))</f>
        <v/>
      </c>
    </row>
    <row r="47" hidden="1" ht="15" customHeight="1" thickBot="1">
      <c r="A47" s="535" t="n"/>
      <c r="B47" s="1336" t="n"/>
      <c r="C47" s="1249" t="n"/>
      <c r="D47" s="1240" t="n"/>
      <c r="E47" s="1043" t="n"/>
      <c r="F47" s="1249" t="n"/>
      <c r="G47" s="1249" t="n"/>
      <c r="H47" s="542" t="n"/>
      <c r="I47" s="535" t="n"/>
      <c r="S47" s="215">
        <f>IF(ISBLANK(E47),"",IF(ISBLANK(E49),CONCATENATE(" y ",B47, " ",E47),CONCATENATE(", ",B47," ",E47)))</f>
        <v/>
      </c>
    </row>
    <row r="48" ht="15" customHeight="1" thickBot="1">
      <c r="A48" s="535" t="n"/>
      <c r="B48" s="657" t="n"/>
      <c r="C48" s="657" t="n"/>
      <c r="D48" s="657" t="n"/>
      <c r="E48" s="657" t="n"/>
      <c r="F48" s="657" t="n"/>
      <c r="G48" s="657" t="n"/>
      <c r="H48" s="658" t="n"/>
      <c r="I48" s="535" t="n"/>
      <c r="S48" s="659" t="n"/>
    </row>
    <row r="49" ht="15" customHeight="1" thickBot="1">
      <c r="A49" s="1046" t="inlineStr">
        <is>
          <t xml:space="preserve">Los precintos sólo se pueden romper ante la presencia del INTI o por reparador auditado de acuerdo a lo establecido en la Resolución 611-2019 y sus modificatorias. </t>
        </is>
      </c>
      <c r="I49" s="539" t="n"/>
      <c r="K49" s="387" t="inlineStr">
        <is>
          <t>En las Balanzas  tipo Mecánicas se debe precintar en:</t>
        </is>
      </c>
      <c r="M49" s="388" t="n"/>
      <c r="N49" s="388" t="n"/>
      <c r="O49" s="389" t="n"/>
      <c r="S49" s="216">
        <f>CONCATENATE(S24,S25,S26,S27,S28,S29,S30,S31,S32,S33,S34,S35,S36,S37,S38,S39,S40,S41,S42,S43,S44,S45,S46,S47)</f>
        <v/>
      </c>
    </row>
    <row r="50" ht="15" customHeight="1" thickBot="1">
      <c r="I50" s="539" t="n"/>
      <c r="K50" s="206" t="n"/>
      <c r="L50" s="388" t="n"/>
      <c r="O50" s="207" t="n"/>
    </row>
    <row r="51" ht="15" customHeight="1">
      <c r="A51" s="1046" t="inlineStr">
        <is>
          <t xml:space="preserve">Listado de reparadores auditados: </t>
        </is>
      </c>
      <c r="I51" s="363" t="n"/>
      <c r="K51" s="724" t="inlineStr">
        <is>
          <t>Contrapeso de cero</t>
        </is>
      </c>
      <c r="M51" s="747" t="n"/>
      <c r="N51" s="747" t="n"/>
      <c r="O51" s="729" t="n"/>
    </row>
    <row r="52" ht="15" customHeight="1">
      <c r="A52" s="1070" t="inlineStr">
        <is>
          <t>https://www.inti.gob.ar/areas/metrologia-y-calidad/metrologia/metrologia-legal/empresas-reparadoras-auditadas</t>
        </is>
      </c>
      <c r="I52" s="363" t="n"/>
      <c r="K52" s="724" t="inlineStr">
        <is>
          <t>Contrapeso móvil del brazo</t>
        </is>
      </c>
      <c r="L52" s="747" t="n"/>
      <c r="M52" s="747" t="n"/>
      <c r="N52" s="747" t="n"/>
      <c r="O52" s="729" t="n"/>
    </row>
    <row r="53" ht="15" customHeight="1">
      <c r="A53" s="1047" t="inlineStr">
        <is>
          <t xml:space="preserve">https://www.argentina.gob.ar/empresas-acreditadascertificadas </t>
        </is>
      </c>
      <c r="I53" s="363" t="n"/>
      <c r="K53" s="724" t="inlineStr">
        <is>
          <t>Tapa columna contra leva</t>
        </is>
      </c>
      <c r="L53" s="747" t="n"/>
      <c r="M53" s="747" t="n"/>
      <c r="N53" s="747" t="n"/>
      <c r="O53" s="729" t="n"/>
    </row>
    <row r="54" ht="15" customHeight="1">
      <c r="A54" s="581" t="n"/>
      <c r="B54" s="1038" t="n"/>
      <c r="I54" s="539" t="n"/>
      <c r="K54" s="724" t="inlineStr">
        <is>
          <t>Levas</t>
        </is>
      </c>
      <c r="L54" s="747" t="n"/>
      <c r="M54" s="747" t="n"/>
      <c r="N54" s="747" t="n"/>
      <c r="O54" s="729" t="n"/>
    </row>
    <row r="55" hidden="1" ht="15" customHeight="1">
      <c r="A55" s="581" t="n"/>
      <c r="I55" s="539" t="n"/>
      <c r="K55" s="724" t="inlineStr">
        <is>
          <t>Barras de mando</t>
        </is>
      </c>
      <c r="L55" s="747" t="n"/>
      <c r="M55" s="747" t="n"/>
      <c r="N55" s="747" t="n"/>
      <c r="O55" s="729" t="n"/>
    </row>
    <row r="56" ht="15" customHeight="1">
      <c r="A56" s="581" t="n"/>
      <c r="I56" s="539" t="n"/>
      <c r="K56" s="724" t="inlineStr">
        <is>
          <t>Barra de transmisión</t>
        </is>
      </c>
      <c r="L56" s="747" t="n"/>
      <c r="M56" s="747" t="n"/>
      <c r="N56" s="747" t="n"/>
      <c r="O56" s="729" t="n"/>
    </row>
    <row r="57" ht="15" customHeight="1">
      <c r="A57" s="363" t="n"/>
      <c r="B57" s="363" t="n"/>
      <c r="C57" s="363" t="n"/>
      <c r="D57" s="363" t="n"/>
      <c r="E57" s="363" t="n"/>
      <c r="F57" s="363" t="n"/>
      <c r="G57" s="363" t="n"/>
      <c r="H57" s="363" t="n"/>
      <c r="I57" s="363" t="n"/>
      <c r="K57" s="724" t="inlineStr">
        <is>
          <t>Entrada de hombre a fosa</t>
        </is>
      </c>
      <c r="L57" s="747" t="n"/>
      <c r="M57" s="747" t="n"/>
      <c r="N57" s="747" t="n"/>
      <c r="O57" s="729" t="n"/>
    </row>
    <row r="58" hidden="1" ht="15" customHeight="1" thickBot="1">
      <c r="A58" s="363" t="n"/>
      <c r="B58" s="363" t="n"/>
      <c r="C58" s="363" t="n"/>
      <c r="D58" s="363" t="n"/>
      <c r="E58" s="363" t="n"/>
      <c r="F58" s="363" t="n"/>
      <c r="G58" s="363" t="n"/>
      <c r="H58" s="363" t="n"/>
      <c r="I58" s="363" t="n"/>
      <c r="K58" s="208" t="n"/>
      <c r="L58" s="747" t="n"/>
      <c r="M58" s="190" t="n"/>
      <c r="N58" s="190" t="n"/>
      <c r="O58" s="209" t="n"/>
    </row>
    <row r="59" ht="15" customHeight="1" thickBot="1">
      <c r="A59" s="1042" t="inlineStr">
        <is>
          <t xml:space="preserve">(1) Indicar tipo de precinto.   (l): lazo   (a): autoadhesivo </t>
        </is>
      </c>
      <c r="I59" s="363" t="n"/>
      <c r="L59" s="190" t="n"/>
    </row>
    <row r="60" ht="15" customHeight="1">
      <c r="A60" s="1042" t="inlineStr">
        <is>
          <t>(2) Indicar que parte de la balanza no se puede precintar y por qué.</t>
        </is>
      </c>
      <c r="I60" s="363" t="n"/>
    </row>
    <row r="61" ht="15" customHeight="1">
      <c r="A61" s="363" t="n"/>
      <c r="B61" s="363" t="n"/>
      <c r="C61" s="363" t="n"/>
      <c r="D61" s="363" t="n"/>
      <c r="E61" s="363" t="n"/>
      <c r="F61" s="363" t="n"/>
      <c r="G61" s="363" t="n"/>
      <c r="H61" s="363" t="n"/>
      <c r="I61" s="363" t="n"/>
    </row>
    <row r="62" ht="15" customHeight="1">
      <c r="A62" s="363" t="n"/>
      <c r="B62" s="363" t="n"/>
      <c r="C62" s="363" t="n"/>
      <c r="D62" s="363" t="n"/>
      <c r="E62" s="363" t="n"/>
      <c r="F62" s="363" t="n"/>
      <c r="G62" s="363" t="n"/>
      <c r="H62" s="363" t="n"/>
      <c r="I62" s="533" t="n"/>
    </row>
    <row r="63" hidden="1" ht="15" customHeight="1">
      <c r="A63" s="363" t="n"/>
      <c r="B63" s="363" t="n"/>
      <c r="C63" s="363" t="n"/>
      <c r="D63" s="363" t="n"/>
      <c r="E63" s="363" t="n"/>
      <c r="F63" s="363" t="n"/>
      <c r="G63" s="363" t="n"/>
      <c r="H63" s="363" t="n"/>
      <c r="I63" s="363" t="n"/>
    </row>
    <row r="64" hidden="1" ht="15" customHeight="1">
      <c r="A64" s="363" t="n"/>
      <c r="B64" s="363" t="n"/>
      <c r="C64" s="363" t="n"/>
      <c r="D64" s="363" t="n"/>
      <c r="E64" s="363" t="n"/>
      <c r="F64" s="363" t="n"/>
      <c r="G64" s="363" t="n"/>
      <c r="H64" s="363" t="n"/>
      <c r="I64" s="543" t="n"/>
    </row>
    <row r="65" hidden="1" ht="15" customHeight="1">
      <c r="A65" s="363" t="n"/>
      <c r="B65" s="363" t="n"/>
      <c r="C65" s="363" t="n"/>
      <c r="D65" s="363" t="n"/>
      <c r="E65" s="363" t="n"/>
      <c r="F65" s="363" t="n"/>
      <c r="G65" s="363" t="n"/>
      <c r="H65" s="363" t="n"/>
    </row>
    <row r="66" ht="15" customHeight="1">
      <c r="A66" s="363" t="n"/>
      <c r="B66" s="363" t="n"/>
      <c r="C66" s="363" t="n"/>
      <c r="D66" s="363" t="n"/>
      <c r="E66" s="363" t="n"/>
      <c r="F66" s="363" t="n"/>
      <c r="G66" s="363" t="n"/>
      <c r="H66" s="363" t="n"/>
    </row>
    <row r="67" ht="22.5" customHeight="1">
      <c r="A67" s="363" t="n"/>
      <c r="B67" s="363" t="n"/>
      <c r="C67" s="363" t="n"/>
      <c r="D67" s="363" t="n"/>
      <c r="E67" s="363" t="n"/>
      <c r="F67" s="363" t="n"/>
      <c r="G67" s="363" t="n"/>
      <c r="H67" s="363" t="n"/>
      <c r="I67" s="363" t="n"/>
    </row>
    <row r="68" ht="15" customHeight="1">
      <c r="A68" s="363" t="n"/>
      <c r="B68" s="363" t="n"/>
      <c r="C68" s="363" t="n"/>
      <c r="D68" s="363" t="n"/>
      <c r="E68" s="363" t="n"/>
      <c r="F68" s="363" t="n"/>
      <c r="G68" s="363" t="n"/>
      <c r="H68" s="363" t="n"/>
      <c r="I68" s="363" t="n"/>
    </row>
    <row r="69" ht="15" customHeight="1">
      <c r="A69" s="1018">
        <f>+'Acta Verificación '!K19</f>
        <v/>
      </c>
      <c r="B69" s="1241" t="n"/>
      <c r="C69" s="1241" t="n"/>
      <c r="D69" s="580" t="n"/>
      <c r="E69" s="580" t="n"/>
      <c r="F69" s="1018">
        <f>+'Acta Verificación '!F57:H57</f>
        <v/>
      </c>
      <c r="G69" s="1241" t="n"/>
      <c r="H69" s="1241" t="n"/>
    </row>
    <row r="70" ht="28.9" customFormat="1" customHeight="1" s="468">
      <c r="A70" s="1026">
        <f>+'Identificación del Instrumento'!C14</f>
        <v/>
      </c>
      <c r="D70" s="580" t="n"/>
      <c r="E70" s="580" t="n"/>
      <c r="F70" s="1026">
        <f>+'Identificación del Instrumento'!E61</f>
        <v/>
      </c>
    </row>
    <row r="71" ht="15" customHeight="1">
      <c r="A71" s="363" t="n"/>
      <c r="B71" s="363" t="n"/>
      <c r="C71" s="363" t="n"/>
      <c r="D71" s="363" t="n"/>
      <c r="E71" s="363" t="n"/>
      <c r="F71" s="363" t="n"/>
      <c r="G71" s="363" t="n"/>
      <c r="H71" s="363" t="n"/>
    </row>
    <row r="72" ht="15" customHeight="1">
      <c r="A72" s="363" t="n"/>
      <c r="B72" s="363" t="n"/>
      <c r="C72" s="363" t="n"/>
      <c r="D72" s="363" t="n"/>
      <c r="E72" s="363" t="n"/>
      <c r="F72" s="363" t="n"/>
      <c r="G72" s="363" t="n"/>
      <c r="H72" s="363" t="n"/>
    </row>
    <row r="73" ht="15" customHeight="1">
      <c r="A73" s="363" t="n"/>
      <c r="B73" s="363" t="n"/>
      <c r="C73" s="363" t="n"/>
      <c r="D73" s="363" t="n"/>
      <c r="E73" s="363" t="n"/>
      <c r="F73" s="363" t="n"/>
      <c r="G73" s="363" t="n"/>
      <c r="H73" s="363" t="n"/>
    </row>
    <row r="74" ht="15" customHeight="1">
      <c r="A74" s="1027" t="n"/>
    </row>
    <row r="75" ht="15" customHeight="1">
      <c r="A75" s="1025" t="n"/>
    </row>
    <row r="76" ht="15" customHeight="1">
      <c r="A76" s="1025" t="n"/>
    </row>
  </sheetData>
  <mergeCells count="65">
    <mergeCell ref="B42:D42"/>
    <mergeCell ref="E28:G28"/>
    <mergeCell ref="C24:D24"/>
    <mergeCell ref="A59:H59"/>
    <mergeCell ref="B23:D23"/>
    <mergeCell ref="A51:H51"/>
    <mergeCell ref="E31:G31"/>
    <mergeCell ref="A60:H60"/>
    <mergeCell ref="E40:G40"/>
    <mergeCell ref="F70:H70"/>
    <mergeCell ref="E34:G34"/>
    <mergeCell ref="B44:D44"/>
    <mergeCell ref="E30:G30"/>
    <mergeCell ref="B29:D29"/>
    <mergeCell ref="E46:G46"/>
    <mergeCell ref="B28:D28"/>
    <mergeCell ref="E36:G36"/>
    <mergeCell ref="B54:H56"/>
    <mergeCell ref="E27:G27"/>
    <mergeCell ref="E45:G45"/>
    <mergeCell ref="C25:D25"/>
    <mergeCell ref="A20:H21"/>
    <mergeCell ref="E26:G26"/>
    <mergeCell ref="A1:H7"/>
    <mergeCell ref="A75:H75"/>
    <mergeCell ref="D17:E17"/>
    <mergeCell ref="B24:B25"/>
    <mergeCell ref="E25:G25"/>
    <mergeCell ref="A74:H74"/>
    <mergeCell ref="E32:G32"/>
    <mergeCell ref="D16:E16"/>
    <mergeCell ref="C19:H19"/>
    <mergeCell ref="E41:G41"/>
    <mergeCell ref="E44:G44"/>
    <mergeCell ref="B45:D45"/>
    <mergeCell ref="B43:D43"/>
    <mergeCell ref="B41:D41"/>
    <mergeCell ref="E37:G37"/>
    <mergeCell ref="E47:G47"/>
    <mergeCell ref="B26:D26"/>
    <mergeCell ref="A49:H50"/>
    <mergeCell ref="A76:H76"/>
    <mergeCell ref="D18:E18"/>
    <mergeCell ref="E43:G43"/>
    <mergeCell ref="F69:H69"/>
    <mergeCell ref="B47:D47"/>
    <mergeCell ref="B14:H14"/>
    <mergeCell ref="E42:G42"/>
    <mergeCell ref="E24:G24"/>
    <mergeCell ref="A53:H53"/>
    <mergeCell ref="E33:G33"/>
    <mergeCell ref="B22:G22"/>
    <mergeCell ref="D15:E15"/>
    <mergeCell ref="B46:D46"/>
    <mergeCell ref="B13:E13"/>
    <mergeCell ref="E23:G23"/>
    <mergeCell ref="E39:G39"/>
    <mergeCell ref="A52:H52"/>
    <mergeCell ref="A10:H10"/>
    <mergeCell ref="A70:C70"/>
    <mergeCell ref="B27:D27"/>
    <mergeCell ref="E35:G35"/>
    <mergeCell ref="A69:C69"/>
    <mergeCell ref="E29:G29"/>
    <mergeCell ref="E38:G38"/>
  </mergeCells>
  <hyperlinks>
    <hyperlink xmlns:r="http://schemas.openxmlformats.org/officeDocument/2006/relationships" ref="A52" r:id="rId1"/>
    <hyperlink xmlns:r="http://schemas.openxmlformats.org/officeDocument/2006/relationships" ref="A53" r:id="rId2"/>
  </hyperlinks>
  <pageMargins left="0.984251968503937" right="0.3937007874015748" top="0.3937007874015748" bottom="0.3937007874015748" header="0" footer="0"/>
  <pageSetup orientation="portrait" paperSize="9" scale="85" verticalDpi="300"/>
  <colBreaks count="2" manualBreakCount="2">
    <brk id="8" min="0" max="71" man="1"/>
    <brk id="9" min="0" max="1048575" man="1"/>
  </colBreaks>
</worksheet>
</file>

<file path=xl/worksheets/sheet5.xml><?xml version="1.0" encoding="utf-8"?>
<worksheet xmlns="http://schemas.openxmlformats.org/spreadsheetml/2006/main">
  <sheetPr codeName="Hoja4">
    <outlinePr summaryBelow="1" summaryRight="1"/>
    <pageSetUpPr/>
  </sheetPr>
  <dimension ref="A1:AR121"/>
  <sheetViews>
    <sheetView showGridLines="0" view="pageBreakPreview" topLeftCell="A11" zoomScaleNormal="100" zoomScaleSheetLayoutView="100" workbookViewId="0">
      <selection activeCell="A29" sqref="A29:C29"/>
    </sheetView>
  </sheetViews>
  <sheetFormatPr baseColWidth="10" defaultColWidth="11.42578125" defaultRowHeight="15"/>
  <cols>
    <col width="11.42578125" customWidth="1" style="1" min="1" max="1"/>
    <col width="12.85546875" customWidth="1" style="1" min="2" max="2"/>
    <col width="20" customWidth="1" style="1" min="3" max="3"/>
    <col width="7.5703125" customWidth="1" style="33" min="4" max="4"/>
    <col width="7.5703125" customWidth="1" style="3" min="5" max="5"/>
    <col width="15.140625" customWidth="1" style="1" min="6" max="6"/>
    <col width="7.5703125" customWidth="1" style="1" min="7" max="7"/>
    <col width="7.5703125" customWidth="1" style="3" min="8" max="8"/>
    <col width="11.5703125" customWidth="1" style="1" min="9" max="9"/>
    <col width="7.140625" customWidth="1" style="1" min="10" max="10"/>
    <col width="7.85546875" customWidth="1" style="1" min="11" max="11"/>
    <col width="7.5703125" customWidth="1" style="1" min="12" max="12"/>
    <col width="6.85546875" customWidth="1" style="1" min="13" max="13"/>
    <col width="9.28515625" customWidth="1" style="1" min="14" max="14"/>
    <col width="8.42578125" customWidth="1" min="15" max="15"/>
    <col width="8.5703125" customWidth="1" style="1" min="16" max="16"/>
    <col width="8.7109375" customWidth="1" style="1" min="17" max="17"/>
    <col width="9.28515625" customWidth="1" style="1" min="18" max="18"/>
    <col width="11.5703125" customWidth="1" style="1" min="19" max="19"/>
    <col width="65" customWidth="1" style="1" min="20" max="20"/>
    <col width="11.42578125" customWidth="1" style="1" min="21" max="21"/>
    <col width="34.28515625" customWidth="1" style="1" min="22" max="22"/>
    <col width="11.42578125" customWidth="1" style="1" min="23" max="16384"/>
  </cols>
  <sheetData>
    <row r="1" ht="35.25" customFormat="1" customHeight="1" s="1157" thickBot="1">
      <c r="A1" s="1081" t="inlineStr">
        <is>
          <t>Revisó - aprobó:</t>
        </is>
      </c>
      <c r="B1" s="1337" t="n"/>
      <c r="C1" s="1338">
        <f>CONCATENATE('Datos de Ensayos'!E3," - ",'Datos de Ensayos'!E4)</f>
        <v/>
      </c>
      <c r="D1" s="1339" t="n"/>
      <c r="E1" s="1339" t="n"/>
      <c r="F1" s="1339" t="n"/>
      <c r="G1" s="1339" t="n"/>
      <c r="H1" s="1340" t="n"/>
      <c r="I1" s="25" t="n"/>
      <c r="J1" s="25" t="n"/>
      <c r="K1" s="25" t="n"/>
      <c r="O1" s="26" t="n"/>
      <c r="P1" s="22" t="n"/>
      <c r="Q1" s="24" t="n"/>
      <c r="R1" s="22" t="n"/>
      <c r="S1" s="23" t="n"/>
      <c r="T1" s="23" t="n"/>
      <c r="V1" s="22" t="n"/>
      <c r="AJ1" s="23" t="n"/>
      <c r="AK1" s="23" t="n"/>
      <c r="AL1" s="27" t="n"/>
      <c r="AM1" s="23" t="n"/>
      <c r="AN1" s="23" t="n"/>
      <c r="AO1" s="28" t="n"/>
      <c r="AP1" s="29" t="n"/>
      <c r="AQ1" s="1341" t="n"/>
      <c r="AR1" s="23" t="n"/>
    </row>
    <row r="2" ht="14.25" customHeight="1">
      <c r="A2" s="1083" t="n"/>
      <c r="B2" s="1083" t="n"/>
      <c r="C2" s="730" t="n"/>
      <c r="D2" s="731" t="n"/>
      <c r="E2" s="732" t="n"/>
      <c r="F2" s="730" t="n"/>
      <c r="G2" s="1083" t="n"/>
      <c r="H2" s="391" t="n"/>
      <c r="I2" s="1083" t="n"/>
      <c r="J2" s="48" t="inlineStr">
        <is>
          <t>Ö</t>
        </is>
      </c>
      <c r="K2" s="1083" t="n"/>
      <c r="L2" s="1083" t="n"/>
      <c r="M2" s="1083" t="n"/>
      <c r="N2" s="1083" t="n"/>
      <c r="P2" s="1083" t="n"/>
      <c r="Q2" s="1083" t="n"/>
      <c r="R2" s="1083" t="n"/>
      <c r="S2" s="1083" t="n"/>
      <c r="T2" s="1083" t="n"/>
      <c r="U2" s="1083" t="n"/>
      <c r="V2" s="1083" t="n"/>
      <c r="W2" s="1083" t="n"/>
      <c r="X2" s="1083" t="n"/>
      <c r="Y2" s="1083" t="n"/>
      <c r="Z2" s="1083" t="n"/>
      <c r="AA2" s="1083" t="n"/>
      <c r="AB2" s="1083" t="n"/>
      <c r="AC2" s="1083" t="n"/>
      <c r="AD2" s="1083" t="n"/>
      <c r="AE2" s="1083" t="n"/>
      <c r="AF2" s="1083" t="n"/>
      <c r="AG2" s="1083" t="n"/>
      <c r="AH2" s="1083" t="n"/>
      <c r="AI2" s="1083" t="n"/>
      <c r="AJ2" s="1083" t="n"/>
      <c r="AK2" s="1083" t="n"/>
      <c r="AL2" s="1083" t="n"/>
      <c r="AM2" s="1083" t="n"/>
      <c r="AN2" s="1083" t="n"/>
      <c r="AO2" s="1083" t="n"/>
      <c r="AP2" s="1083" t="n"/>
      <c r="AQ2" s="1083" t="n"/>
      <c r="AR2" s="1083" t="n"/>
    </row>
    <row r="3">
      <c r="A3" s="1083" t="n"/>
      <c r="B3" s="1083" t="n"/>
      <c r="C3" s="1083" t="n"/>
      <c r="D3" s="1083" t="n"/>
      <c r="F3" s="1083" t="n"/>
      <c r="G3" s="1083" t="n"/>
      <c r="H3" s="391" t="n"/>
      <c r="I3" s="393" t="n"/>
      <c r="J3" s="1083" t="n"/>
      <c r="K3" s="1083" t="n"/>
      <c r="L3" s="1083" t="n"/>
      <c r="M3" s="1083" t="n"/>
      <c r="N3" s="1083" t="n"/>
      <c r="P3" s="1083" t="n"/>
      <c r="Q3" s="1083" t="n"/>
      <c r="R3" s="1083" t="n"/>
      <c r="S3" s="1083" t="n"/>
      <c r="T3" s="1083" t="n"/>
      <c r="U3" s="1083" t="n"/>
      <c r="V3" s="1083" t="n"/>
      <c r="W3" s="1083" t="n"/>
      <c r="X3" s="1083" t="n"/>
      <c r="Y3" s="1083" t="n"/>
      <c r="Z3" s="1083" t="n"/>
      <c r="AA3" s="1083" t="n"/>
      <c r="AB3" s="1083" t="n"/>
      <c r="AC3" s="1083" t="n"/>
      <c r="AD3" s="1083" t="n"/>
      <c r="AE3" s="1083" t="n"/>
      <c r="AF3" s="1083" t="n"/>
      <c r="AG3" s="1083" t="n"/>
      <c r="AH3" s="1083" t="n"/>
      <c r="AI3" s="1083" t="n"/>
      <c r="AJ3" s="1083" t="n"/>
      <c r="AK3" s="1083" t="n"/>
      <c r="AL3" s="1083" t="n"/>
      <c r="AM3" s="1083" t="n"/>
      <c r="AN3" s="1083" t="n"/>
      <c r="AO3" s="1083" t="n"/>
      <c r="AP3" s="1083" t="n"/>
      <c r="AQ3" s="1083" t="n"/>
      <c r="AR3" s="1083" t="n"/>
    </row>
    <row r="4" ht="29.25" customHeight="1" thickBot="1">
      <c r="A4" s="1084">
        <f>IF(('Identificación del Instrumento'!B17)="VERIFICACIÓN PERIÓDICA",CONCATENATE("INFORME DE  ",'Identificación del Instrumento'!B17),CONCATENATE("INFORME DE ENSAYO"))</f>
        <v/>
      </c>
      <c r="I4" s="393" t="n"/>
      <c r="J4" s="1083" t="n"/>
      <c r="K4" s="1083" t="n"/>
      <c r="L4" s="1083" t="n"/>
      <c r="M4" s="1083" t="n"/>
      <c r="N4" s="1083" t="n"/>
      <c r="P4" s="1083" t="n"/>
      <c r="Q4" s="1083" t="n"/>
      <c r="R4" s="1083" t="n"/>
      <c r="S4" s="1083" t="n"/>
      <c r="T4" s="1083" t="n"/>
      <c r="U4" s="1083" t="n"/>
      <c r="V4" s="1083" t="n"/>
      <c r="W4" s="1083" t="n"/>
      <c r="X4" s="1083" t="n"/>
      <c r="Y4" s="1083" t="n"/>
      <c r="Z4" s="1083" t="n"/>
      <c r="AA4" s="1083" t="n"/>
      <c r="AB4" s="1083" t="n"/>
      <c r="AC4" s="1083" t="n"/>
      <c r="AD4" s="1083" t="n"/>
      <c r="AE4" s="1083" t="n"/>
      <c r="AF4" s="1083" t="n"/>
      <c r="AG4" s="1083" t="n"/>
      <c r="AH4" s="1083" t="n"/>
      <c r="AI4" s="1083" t="n"/>
      <c r="AJ4" s="1083" t="n"/>
      <c r="AK4" s="1083" t="n"/>
      <c r="AL4" s="1083" t="n"/>
      <c r="AM4" s="1083" t="n"/>
      <c r="AN4" s="1083" t="n"/>
      <c r="AO4" s="1083" t="n"/>
      <c r="AP4" s="1083" t="n"/>
      <c r="AQ4" s="1083" t="n"/>
      <c r="AR4" s="1083" t="n"/>
    </row>
    <row r="5" ht="19.5" customHeight="1" thickBot="1">
      <c r="A5" s="1085">
        <f>CONCATENATE("N° O.T.: ",'Identificación del Instrumento'!B4)</f>
        <v/>
      </c>
      <c r="G5" s="1107" t="n"/>
      <c r="I5" s="13">
        <f>IF(ISBLANK('Datos de Ensayos'!E6),"Falta No.parcial","")</f>
        <v/>
      </c>
      <c r="J5" s="10" t="n"/>
      <c r="K5" s="10" t="n"/>
      <c r="L5" s="10" t="n"/>
      <c r="M5" s="10" t="n"/>
      <c r="N5" s="1342" t="inlineStr">
        <is>
          <t xml:space="preserve">MARGENES DE CERTIFICADO </t>
        </is>
      </c>
      <c r="O5" s="388" t="n"/>
      <c r="P5" s="388" t="n"/>
      <c r="Q5" s="388" t="n"/>
      <c r="R5" s="388" t="n"/>
      <c r="S5" s="389" t="n"/>
      <c r="T5" s="1083" t="n"/>
      <c r="U5" s="1083" t="n"/>
      <c r="V5" s="1083" t="n"/>
      <c r="W5" s="1083" t="n"/>
      <c r="X5" s="1083" t="n"/>
      <c r="Y5" s="1083" t="n"/>
      <c r="Z5" s="1083" t="n"/>
      <c r="AA5" s="1083" t="n"/>
      <c r="AB5" s="1083" t="n"/>
      <c r="AC5" s="1083" t="n"/>
      <c r="AD5" s="1083" t="n"/>
      <c r="AE5" s="1083" t="n"/>
      <c r="AF5" s="1083" t="n"/>
      <c r="AG5" s="1083" t="n"/>
      <c r="AH5" s="1083" t="n"/>
      <c r="AI5" s="1083" t="n"/>
      <c r="AJ5" s="1083" t="n"/>
      <c r="AK5" s="1083" t="n"/>
      <c r="AL5" s="1083" t="n"/>
      <c r="AM5" s="1083" t="n"/>
      <c r="AN5" s="1083" t="n"/>
      <c r="AO5" s="1083" t="n"/>
      <c r="AP5" s="1083" t="n"/>
      <c r="AQ5" s="1083" t="n"/>
      <c r="AR5" s="1083" t="n"/>
    </row>
    <row r="6" ht="30" customHeight="1">
      <c r="A6" s="1086">
        <f>IF(OR(ISBLANK('Identificación del Instrumento'!B22),ISBLANK('Identificación del Instrumento'!D29),ISBLANK('Identificación del Instrumento'!D30),ISBLANK('Identificación del Instrumento'!F30)),"",CONCATENATE("Instrumento:  ",'Identificación del Instrumento'!B22,", de capacidad máxima ",'Datos de Ensayos'!I18," kg,"," mínima división ",'Datos de Ensayos'!E18," kg, clase ",'Datos de Ensayos'!J17,", de tipo ",'Datos de Ensayos'!E17,"."))</f>
        <v/>
      </c>
      <c r="I6" s="1083" t="n"/>
      <c r="J6" s="10" t="n"/>
      <c r="K6" s="10" t="n"/>
      <c r="L6" s="10" t="n"/>
      <c r="M6" s="10" t="n"/>
      <c r="N6" s="418" t="n"/>
      <c r="O6" s="193" t="n"/>
      <c r="P6" s="419" t="inlineStr">
        <is>
          <t>SUP 6,0</t>
        </is>
      </c>
      <c r="Q6" s="419" t="n"/>
      <c r="R6" s="419" t="n"/>
      <c r="S6" s="420" t="inlineStr">
        <is>
          <t>ENCAB 6,0</t>
        </is>
      </c>
      <c r="T6" s="1083" t="n"/>
      <c r="U6" s="1083" t="n"/>
      <c r="V6" s="1083" t="n"/>
      <c r="W6" s="1083" t="n"/>
      <c r="X6" s="1083" t="n"/>
      <c r="Y6" s="1083" t="n"/>
      <c r="Z6" s="1083" t="n"/>
      <c r="AA6" s="1083" t="n"/>
      <c r="AB6" s="1083" t="n"/>
      <c r="AC6" s="1083" t="n"/>
      <c r="AD6" s="1083" t="n"/>
      <c r="AE6" s="1083" t="n"/>
      <c r="AF6" s="1083" t="n"/>
      <c r="AG6" s="1083" t="n"/>
      <c r="AH6" s="1083" t="n"/>
      <c r="AI6" s="1083" t="n"/>
      <c r="AJ6" s="1083" t="n"/>
      <c r="AK6" s="1083" t="n"/>
      <c r="AL6" s="1083" t="n"/>
      <c r="AM6" s="1083" t="n"/>
      <c r="AN6" s="1083" t="n"/>
      <c r="AO6" s="1083" t="n"/>
      <c r="AP6" s="1083" t="n"/>
      <c r="AQ6" s="1083" t="n"/>
      <c r="AR6" s="1083" t="n"/>
    </row>
    <row r="7" ht="15.75" customHeight="1">
      <c r="A7" s="802">
        <f>CONCATENATE("Fabricante / importador: ",IF(AND('Identificación del Instrumento'!B23&lt;&gt;"",'Identificación del Instrumento'!F23&lt;&gt;"",'Identificación del Instrumento'!B23&lt;&gt;'Identificación del Instrumento'!F23),CONCATENATE(," Receptor: ",'Identificación del Instrumento'!B23," / Indicador: ",'Identificación del Instrumento'!D23),IF('Identificación del Instrumento'!B23='Identificación del Instrumento'!F23,'Identificación del Instrumento'!B23,"")))</f>
        <v/>
      </c>
      <c r="I7" s="1083" t="n"/>
      <c r="J7" s="1083" t="n"/>
      <c r="K7" s="1083" t="n"/>
      <c r="L7" s="1083" t="n"/>
      <c r="M7" s="1083" t="n"/>
      <c r="N7" s="421" t="inlineStr">
        <is>
          <t>IZQ 1,0</t>
        </is>
      </c>
      <c r="P7" s="1083" t="n"/>
      <c r="Q7" s="1083" t="n"/>
      <c r="R7" s="1083" t="inlineStr">
        <is>
          <t>DER 1,0</t>
        </is>
      </c>
      <c r="S7" s="423" t="n"/>
      <c r="T7" s="1083" t="n"/>
      <c r="U7" s="1083" t="n"/>
      <c r="V7" s="1083" t="n"/>
      <c r="W7" s="1083" t="n"/>
      <c r="X7" s="1083" t="n"/>
      <c r="Y7" s="1083" t="n"/>
      <c r="Z7" s="1083" t="n"/>
      <c r="AA7" s="1083" t="n"/>
      <c r="AB7" s="1083" t="n"/>
      <c r="AC7" s="1083" t="n"/>
      <c r="AD7" s="1083" t="n"/>
      <c r="AE7" s="1083" t="n"/>
      <c r="AF7" s="1083" t="n"/>
      <c r="AG7" s="1083" t="n"/>
      <c r="AH7" s="1083" t="n"/>
      <c r="AI7" s="1083" t="n"/>
      <c r="AJ7" s="1083" t="n"/>
      <c r="AK7" s="1083" t="n"/>
      <c r="AL7" s="1083" t="n"/>
      <c r="AM7" s="1083" t="n"/>
      <c r="AN7" s="1083" t="n"/>
      <c r="AO7" s="1083" t="n"/>
      <c r="AP7" s="1083" t="n"/>
      <c r="AQ7" s="1083" t="n"/>
      <c r="AR7" s="1083" t="n"/>
    </row>
    <row r="8" ht="15.75" customHeight="1">
      <c r="A8" s="802">
        <f>CONCATENATE("Marca: ",IF(AND('Identificación del Instrumento'!B24&lt;&gt;"",'Identificación del Instrumento'!F24&lt;&gt;"",'Identificación del Instrumento'!B24&lt;&gt;'Identificación del Instrumento'!F24),CONCATENATE(," Receptor: ",'Identificación del Instrumento'!B24," / Indicador: ",'Identificación del Instrumento'!F24),IF('Identificación del Instrumento'!B24='Identificación del Instrumento'!F24,'Identificación del Instrumento'!B24,"")))</f>
        <v/>
      </c>
      <c r="I8" s="1083" t="n"/>
      <c r="J8" s="1083" t="n"/>
      <c r="K8" s="1083" t="n"/>
      <c r="L8" s="1083" t="n"/>
      <c r="M8" s="1083" t="n"/>
      <c r="N8" s="421" t="n"/>
      <c r="P8" s="1083" t="n"/>
      <c r="Q8" s="1083" t="n"/>
      <c r="R8" s="1083" t="n"/>
      <c r="S8" s="423" t="n"/>
      <c r="T8" s="1083" t="n"/>
      <c r="U8" s="1083" t="n"/>
      <c r="V8" s="1083" t="n"/>
      <c r="W8" s="1083" t="n"/>
      <c r="X8" s="1083" t="n"/>
      <c r="Y8" s="1083" t="n"/>
      <c r="Z8" s="1083" t="n"/>
      <c r="AA8" s="1083" t="n"/>
      <c r="AB8" s="1083" t="n"/>
      <c r="AC8" s="1083" t="n"/>
      <c r="AD8" s="1083" t="n"/>
      <c r="AE8" s="1083" t="n"/>
      <c r="AF8" s="1083" t="n"/>
      <c r="AG8" s="1083" t="n"/>
      <c r="AH8" s="1083" t="n"/>
      <c r="AI8" s="1083" t="n"/>
      <c r="AJ8" s="1083" t="n"/>
      <c r="AK8" s="1083" t="n"/>
      <c r="AL8" s="1083" t="n"/>
      <c r="AM8" s="1083" t="n"/>
      <c r="AN8" s="1083" t="n"/>
      <c r="AO8" s="1083" t="n"/>
      <c r="AP8" s="1083" t="n"/>
      <c r="AQ8" s="1083" t="n"/>
      <c r="AR8" s="1083" t="n"/>
    </row>
    <row r="9" ht="15.75" customHeight="1">
      <c r="A9" s="802">
        <f>CONCATENATE("Modelo: ",IF(AND('Identificación del Instrumento'!B25&lt;&gt;"",'Identificación del Instrumento'!F25&lt;&gt;"",'Identificación del Instrumento'!B25&lt;&gt;'Identificación del Instrumento'!F25),CONCATENATE(," Receptor: ",'Identificación del Instrumento'!B25," / Indicador: ",'Identificación del Instrumento'!F25),IF('Identificación del Instrumento'!B25='Identificación del Instrumento'!F25,'Identificación del Instrumento'!B25,"")))</f>
        <v/>
      </c>
      <c r="I9" s="699" t="n"/>
      <c r="J9" s="1083" t="n"/>
      <c r="K9" s="1083" t="n"/>
      <c r="L9" s="1083" t="n"/>
      <c r="M9" s="1083" t="n"/>
      <c r="N9" s="421" t="n"/>
      <c r="P9" s="1083" t="n"/>
      <c r="Q9" s="1083" t="n"/>
      <c r="R9" s="1083" t="n"/>
      <c r="S9" s="423" t="n"/>
      <c r="T9" s="1083" t="n"/>
      <c r="U9" s="1083" t="n"/>
      <c r="V9" s="1083" t="n"/>
      <c r="W9" s="1083" t="n"/>
      <c r="X9" s="1083" t="n"/>
      <c r="Y9" s="1083" t="n"/>
      <c r="Z9" s="1083" t="n"/>
      <c r="AA9" s="1083" t="n"/>
      <c r="AB9" s="1083" t="n"/>
      <c r="AC9" s="1083" t="n"/>
      <c r="AD9" s="1083" t="n"/>
      <c r="AE9" s="1083" t="n"/>
      <c r="AF9" s="1083" t="n"/>
      <c r="AG9" s="1083" t="n"/>
      <c r="AH9" s="1083" t="n"/>
      <c r="AI9" s="1083" t="n"/>
      <c r="AJ9" s="1083" t="n"/>
      <c r="AK9" s="1083" t="n"/>
      <c r="AL9" s="1083" t="n"/>
      <c r="AM9" s="1083" t="n"/>
      <c r="AN9" s="1083" t="n"/>
      <c r="AO9" s="1083" t="n"/>
      <c r="AP9" s="1083" t="n"/>
      <c r="AQ9" s="1083" t="n"/>
      <c r="AR9" s="1083" t="n"/>
    </row>
    <row r="10" ht="15.75" customHeight="1">
      <c r="A10" s="802">
        <f>CONCATENATE("Número de serie: ",IF(AND('Identificación del Instrumento'!B26&lt;&gt;"",'Identificación del Instrumento'!F26&lt;&gt;"",'Identificación del Instrumento'!B26&lt;&gt;'Identificación del Instrumento'!F26),CONCATENATE(," Receptor: ",'Identificación del Instrumento'!B26," / Indicador: ",'Identificación del Instrumento'!F26),IF('Identificación del Instrumento'!B26='Identificación del Instrumento'!F26,'Identificación del Instrumento'!B26,"")))</f>
        <v/>
      </c>
      <c r="I10" s="13">
        <f>IF(ISBLANK('Datos de Ensayos'!E14),"Falta No. serie","")</f>
        <v/>
      </c>
      <c r="J10" s="10" t="n"/>
      <c r="K10" s="10" t="n"/>
      <c r="L10" s="10" t="n"/>
      <c r="M10" s="10" t="n"/>
      <c r="N10" s="422" t="n"/>
      <c r="P10" s="1083" t="n"/>
      <c r="Q10" s="1083" t="n"/>
      <c r="R10" s="1083" t="n"/>
      <c r="S10" s="423" t="n"/>
      <c r="T10" s="1083" t="n"/>
      <c r="U10" s="1083" t="n"/>
      <c r="V10" s="1083" t="n"/>
      <c r="W10" s="1083" t="n"/>
      <c r="X10" s="1083" t="n"/>
      <c r="Y10" s="1083" t="n"/>
      <c r="Z10" s="1083" t="n"/>
      <c r="AA10" s="1083" t="n"/>
      <c r="AB10" s="1083" t="n"/>
      <c r="AC10" s="1083" t="n"/>
      <c r="AD10" s="1083" t="n"/>
      <c r="AE10" s="1083" t="n"/>
      <c r="AF10" s="1083" t="n"/>
      <c r="AG10" s="1083" t="n"/>
      <c r="AH10" s="1083" t="n"/>
      <c r="AI10" s="1083" t="n"/>
      <c r="AJ10" s="1083" t="n"/>
      <c r="AK10" s="1083" t="n"/>
      <c r="AL10" s="1083" t="n"/>
      <c r="AM10" s="1083" t="n"/>
      <c r="AN10" s="1083" t="n"/>
      <c r="AO10" s="1083" t="n"/>
      <c r="AP10" s="1083" t="n"/>
      <c r="AQ10" s="1083" t="n"/>
      <c r="AR10" s="1083" t="n"/>
    </row>
    <row r="11" ht="15.75" customHeight="1">
      <c r="A11" s="802">
        <f>CONCATENATE("Origen: ",IF(AND('Identificación del Instrumento'!B28&lt;&gt;"",'Identificación del Instrumento'!F28&lt;&gt;"",'Identificación del Instrumento'!B28&lt;&gt;'Identificación del Instrumento'!F28),CONCATENATE(," Receptor: ",'Identificación del Instrumento'!B28," / Indicador: ",'Identificación del Instrumento'!F28),IF('Identificación del Instrumento'!B28='Identificación del Instrumento'!F28,'Identificación del Instrumento'!B28,"")))</f>
        <v/>
      </c>
      <c r="I11" s="13" t="n"/>
      <c r="J11" s="10" t="n"/>
      <c r="K11" s="10" t="n"/>
      <c r="L11" s="10" t="n"/>
      <c r="M11" s="10" t="n"/>
      <c r="N11" s="422" t="n"/>
      <c r="P11" s="1083" t="n"/>
      <c r="Q11" s="1083" t="n"/>
      <c r="R11" s="1083" t="n"/>
      <c r="S11" s="423" t="n"/>
      <c r="T11" s="1083" t="n"/>
      <c r="U11" s="1083" t="n"/>
      <c r="V11" s="1083" t="n"/>
      <c r="W11" s="1083" t="n"/>
      <c r="X11" s="1083" t="n"/>
      <c r="Y11" s="1083" t="n"/>
      <c r="Z11" s="1083" t="n"/>
      <c r="AA11" s="1083" t="n"/>
      <c r="AB11" s="1083" t="n"/>
      <c r="AC11" s="1083" t="n"/>
      <c r="AD11" s="1083" t="n"/>
      <c r="AE11" s="1083" t="n"/>
      <c r="AF11" s="1083" t="n"/>
      <c r="AG11" s="1083" t="n"/>
      <c r="AH11" s="1083" t="n"/>
      <c r="AI11" s="1083" t="n"/>
      <c r="AJ11" s="1083" t="n"/>
      <c r="AK11" s="1083" t="n"/>
      <c r="AL11" s="1083" t="n"/>
      <c r="AM11" s="1083" t="n"/>
      <c r="AN11" s="1083" t="n"/>
      <c r="AO11" s="1083" t="n"/>
      <c r="AP11" s="1083" t="n"/>
      <c r="AQ11" s="1083" t="n"/>
      <c r="AR11" s="1083" t="n"/>
    </row>
    <row r="12" ht="15.75" customHeight="1">
      <c r="A12" s="802">
        <f>CONCATENATE("N° de Aprobación de Modelo: ",IF(AND('Identificación del Instrumento'!B31&lt;&gt;"",'Identificación del Instrumento'!F31&lt;&gt;"",'Identificación del Instrumento'!B28&lt;&gt;'Identificación del Instrumento'!F31),CONCATENATE(," Receptor: ",'Identificación del Instrumento'!B31," / Indicador: ",'Identificación del Instrumento'!F31),IF('Identificación del Instrumento'!B31='Identificación del Instrumento'!F31,'Identificación del Instrumento'!B31,"")))</f>
        <v/>
      </c>
      <c r="I12" s="13" t="n"/>
      <c r="J12" s="10" t="n"/>
      <c r="K12" s="10" t="n"/>
      <c r="L12" s="10" t="n"/>
      <c r="M12" s="10" t="n"/>
      <c r="N12" s="422" t="n"/>
      <c r="P12" s="1083" t="n"/>
      <c r="Q12" s="1083" t="n"/>
      <c r="R12" s="1083" t="n"/>
      <c r="S12" s="423" t="n"/>
      <c r="T12" s="1083" t="n"/>
      <c r="U12" s="1083" t="n"/>
      <c r="V12" s="1083" t="n"/>
      <c r="W12" s="1083" t="n"/>
      <c r="X12" s="1083" t="n"/>
      <c r="Y12" s="1083" t="n"/>
      <c r="Z12" s="1083" t="n"/>
      <c r="AA12" s="1083" t="n"/>
      <c r="AB12" s="1083" t="n"/>
      <c r="AC12" s="1083" t="n"/>
      <c r="AD12" s="1083" t="n"/>
      <c r="AE12" s="1083" t="n"/>
      <c r="AF12" s="1083" t="n"/>
      <c r="AG12" s="1083" t="n"/>
      <c r="AH12" s="1083" t="n"/>
      <c r="AI12" s="1083" t="n"/>
      <c r="AJ12" s="1083" t="n"/>
      <c r="AK12" s="1083" t="n"/>
      <c r="AL12" s="1083" t="n"/>
      <c r="AM12" s="1083" t="n"/>
      <c r="AN12" s="1083" t="n"/>
      <c r="AO12" s="1083" t="n"/>
      <c r="AP12" s="1083" t="n"/>
      <c r="AQ12" s="1083" t="n"/>
      <c r="AR12" s="1083" t="n"/>
    </row>
    <row r="13" ht="15.75" customHeight="1">
      <c r="A13" s="802">
        <f>CONCATENATE("Fecha de Aprobación de Modelo: ",IF(AND('Identificación del Instrumento'!B32&lt;&gt;"",'Identificación del Instrumento'!F32&lt;&gt;"",'Identificación del Instrumento'!B29&lt;&gt;'Identificación del Instrumento'!F32),CONCATENATE(," Receptor: ",'Identificación del Instrumento'!B32," / Indicador: ",'Identificación del Instrumento'!F32),IF('Identificación del Instrumento'!B32='Identificación del Instrumento'!F32,'Identificación del Instrumento'!B32,"")))</f>
        <v/>
      </c>
      <c r="I13" s="13" t="n"/>
      <c r="J13" s="10" t="n"/>
      <c r="K13" s="10" t="n"/>
      <c r="L13" s="10" t="n"/>
      <c r="M13" s="10" t="n"/>
      <c r="N13" s="422" t="n"/>
      <c r="P13" s="1083" t="n"/>
      <c r="Q13" s="1083" t="n"/>
      <c r="R13" s="1083" t="n"/>
      <c r="S13" s="423" t="n"/>
      <c r="T13" s="1083" t="n"/>
      <c r="U13" s="1083" t="n"/>
      <c r="V13" s="1083" t="n"/>
      <c r="W13" s="1083" t="n"/>
      <c r="X13" s="1083" t="n"/>
      <c r="Y13" s="1083" t="n"/>
      <c r="Z13" s="1083" t="n"/>
      <c r="AA13" s="1083" t="n"/>
      <c r="AB13" s="1083" t="n"/>
      <c r="AC13" s="1083" t="n"/>
      <c r="AD13" s="1083" t="n"/>
      <c r="AE13" s="1083" t="n"/>
      <c r="AF13" s="1083" t="n"/>
      <c r="AG13" s="1083" t="n"/>
      <c r="AH13" s="1083" t="n"/>
      <c r="AI13" s="1083" t="n"/>
      <c r="AJ13" s="1083" t="n"/>
      <c r="AK13" s="1083" t="n"/>
      <c r="AL13" s="1083" t="n"/>
      <c r="AM13" s="1083" t="n"/>
      <c r="AN13" s="1083" t="n"/>
      <c r="AO13" s="1083" t="n"/>
      <c r="AP13" s="1083" t="n"/>
      <c r="AQ13" s="1083" t="n"/>
      <c r="AR13" s="1083" t="n"/>
    </row>
    <row r="14" ht="15.75" customHeight="1" thickBot="1">
      <c r="A14" s="802">
        <f>CONCATENATE("Código de aprobación de modelo: ",IF(AND('Identificación del Instrumento'!B27&lt;&gt;"",'Identificación del Instrumento'!F27&lt;&gt;"",'Identificación del Instrumento'!B27&lt;&gt;'Identificación del Instrumento'!F27),CONCATENATE("Receptor "," ", 'Identificación del Instrumento'!B27," / Indicador ",'Identificación del Instrumento'!F27),IF('Identificación del Instrumento'!B27='Identificación del Instrumento'!F27,'Identificación del Instrumento'!B27,"")))</f>
        <v/>
      </c>
      <c r="I14" s="13">
        <f>IF(ISBLANK('Datos de Ensayos'!E14),"Falta identificacion","")</f>
        <v/>
      </c>
      <c r="J14" s="10" t="n"/>
      <c r="K14" s="10" t="n"/>
      <c r="L14" s="10" t="n"/>
      <c r="M14" s="10" t="n"/>
      <c r="N14" s="422" t="n"/>
      <c r="P14" s="1083" t="inlineStr">
        <is>
          <t>INF 6,0</t>
        </is>
      </c>
      <c r="Q14" s="1083" t="n"/>
      <c r="R14" s="1083" t="n"/>
      <c r="S14" s="423" t="inlineStr">
        <is>
          <t>PIE 6,0</t>
        </is>
      </c>
      <c r="T14" s="1083" t="n"/>
      <c r="U14" s="1083" t="n"/>
      <c r="V14" s="1083" t="n"/>
      <c r="W14" s="1083" t="n"/>
      <c r="X14" s="1083" t="n"/>
      <c r="Y14" s="1083" t="n"/>
      <c r="Z14" s="1083" t="n"/>
      <c r="AA14" s="1083" t="n"/>
      <c r="AB14" s="1083" t="n"/>
      <c r="AC14" s="1083" t="n"/>
      <c r="AD14" s="1083" t="n"/>
      <c r="AE14" s="1083" t="n"/>
      <c r="AF14" s="1083" t="n"/>
      <c r="AG14" s="1083" t="n"/>
      <c r="AH14" s="1083" t="n"/>
      <c r="AI14" s="1083" t="n"/>
      <c r="AJ14" s="1083" t="n"/>
      <c r="AK14" s="1083" t="n"/>
      <c r="AL14" s="1083" t="n"/>
      <c r="AM14" s="1083" t="n"/>
      <c r="AN14" s="1083" t="n"/>
      <c r="AO14" s="1083" t="n"/>
      <c r="AP14" s="1083" t="n"/>
      <c r="AQ14" s="1083" t="n"/>
      <c r="AR14" s="1083" t="n"/>
    </row>
    <row r="15" ht="53.25" customHeight="1" thickBot="1">
      <c r="A15" s="802">
        <f>CONCATENATE("Precintos Nº: ",'Acta Precintos'!S49,".")</f>
        <v/>
      </c>
      <c r="I15" s="13">
        <f>IF(ISBLANK('Datos de Ensayos'!E8),"Falta Razón social","")</f>
        <v/>
      </c>
      <c r="J15" s="10" t="n"/>
      <c r="K15" s="10" t="n"/>
      <c r="L15" s="10" t="n"/>
      <c r="M15" s="10" t="n"/>
      <c r="N15" s="1343" t="inlineStr">
        <is>
          <t>ESCALA 80%</t>
        </is>
      </c>
      <c r="O15" s="388" t="n"/>
      <c r="P15" s="388" t="n"/>
      <c r="Q15" s="388" t="n"/>
      <c r="R15" s="388" t="n"/>
      <c r="S15" s="389" t="n"/>
      <c r="T15" s="1083" t="n"/>
      <c r="U15" s="1083" t="n"/>
      <c r="V15" s="1083" t="n"/>
      <c r="W15" s="1083" t="n"/>
      <c r="X15" s="1083" t="n"/>
      <c r="Y15" s="1083" t="n"/>
      <c r="Z15" s="1083" t="n"/>
      <c r="AA15" s="1083" t="n"/>
      <c r="AB15" s="1083" t="n"/>
      <c r="AC15" s="1083" t="n"/>
      <c r="AD15" s="1083" t="n"/>
      <c r="AE15" s="1083" t="n"/>
      <c r="AF15" s="1083" t="n"/>
      <c r="AG15" s="1083" t="n"/>
      <c r="AH15" s="1083" t="n"/>
      <c r="AI15" s="1083" t="n"/>
      <c r="AJ15" s="1083" t="n"/>
      <c r="AK15" s="1083" t="n"/>
      <c r="AL15" s="1083" t="n"/>
      <c r="AM15" s="1083" t="n"/>
      <c r="AN15" s="1083" t="n"/>
      <c r="AO15" s="1083" t="n"/>
      <c r="AP15" s="1083" t="n"/>
      <c r="AQ15" s="1083" t="n"/>
      <c r="AR15" s="1083" t="n"/>
    </row>
    <row r="16" ht="33" customFormat="1" customHeight="1" s="1083">
      <c r="A16" s="1110">
        <f>IF((AND(ISBLANK('Identificación del Instrumento'!B19),ISBLANK('Identificación del Instrumento'!F20))),CONCATENATE("Lugar de instalacion: ",IF('Identificación del Instrumento'!F16="Ciudad Autónoma de Buenos Aires",('Identificación del Instrumento'!B15&amp;" de la "&amp;'Identificación del Instrumento'!F16&amp;"."),('Identificación del Instrumento'!B15&amp;" de la localidad de "&amp;'Identificación del Instrumento'!B16&amp;", provincia de "&amp;'Identificación del Instrumento'!F16&amp;"."))), CONCATENATE("Lugar de instalación: ",IF(ISBLANK('Identificación del Instrumento'!C18),"",'Identificación del Instrumento'!C18&amp;" - "),IF('Identificación del Instrumento'!F20="Ciudad Autónoma de Buenos Aires",('Identificación del Instrumento'!B19&amp;" de la "&amp;'Identificación del Instrumento'!F20&amp;"."),('Identificación del Instrumento'!B19&amp;" de la localidad de "&amp;'Identificación del Instrumento'!B20&amp;", provincia de "&amp;'Identificación del Instrumento'!F20&amp;"."))))</f>
        <v/>
      </c>
      <c r="J16" s="43" t="n"/>
      <c r="K16" s="43" t="n"/>
      <c r="L16" s="10" t="n"/>
      <c r="M16" s="10" t="n"/>
      <c r="N16" s="10" t="n"/>
    </row>
    <row r="17" ht="38.25" customHeight="1">
      <c r="A17" s="1112" t="inlineStr">
        <is>
          <t xml:space="preserve">Determinación requerida: </t>
        </is>
      </c>
      <c r="C17" s="802">
        <f>IF(COUNTA('Identificación del Instrumento'!$B$22)=1,VLOOKUP('Identificación del Instrumento'!$J$22,Informe!$I$17:$J$18,2,FALSE),"")</f>
        <v/>
      </c>
      <c r="I17" s="623" t="n">
        <v>1</v>
      </c>
      <c r="J17" s="622" t="inlineStr">
        <is>
          <t>Verificación del cumplimiento con la Reglamentación Metrológica y Técnica correspondiente a la Resolución ex S.E.C. y N.E.I. N° 2307/1980 y su modificatoria.</t>
        </is>
      </c>
      <c r="K17" s="753" t="n"/>
      <c r="L17" s="622" t="n"/>
      <c r="M17" s="625" t="n"/>
      <c r="N17" s="625" t="n"/>
      <c r="O17" s="622" t="n"/>
      <c r="P17" s="622" t="n"/>
      <c r="Q17" s="622" t="n"/>
      <c r="R17" s="622" t="n"/>
      <c r="S17" s="622" t="n"/>
      <c r="T17" s="622" t="n"/>
      <c r="U17" s="622" t="inlineStr">
        <is>
          <t>Párrafos de la Reglamentación Metrológica y Técnica, Resolución 2307/80</t>
        </is>
      </c>
      <c r="V17" s="622" t="n"/>
      <c r="W17" s="622" t="n"/>
      <c r="X17" s="622" t="n"/>
      <c r="Y17" s="622" t="n"/>
      <c r="Z17" s="622" t="n"/>
      <c r="AA17" s="622" t="n"/>
    </row>
    <row r="18" ht="17.25" customHeight="1">
      <c r="A18" s="1112" t="inlineStr">
        <is>
          <t>Conclusión: En la tabla siguiente figuran las verificaciones efectuadas y las conclusiones obtenidas.</t>
        </is>
      </c>
      <c r="I18" s="623" t="n">
        <v>2</v>
      </c>
      <c r="J18" s="622" t="inlineStr">
        <is>
          <t>Verificación del cumplimiento con las Reglamentaciones Metrológica y Técnica correspondientes a las Resoluciones S.C.D. y D.C. N° 119/2001, ex S.E.C. y N.E.I. N° 2307/1980 y su modificatoria .</t>
        </is>
      </c>
      <c r="K18" s="626" t="n"/>
      <c r="L18" s="622" t="n"/>
      <c r="M18" s="625" t="n"/>
      <c r="N18" s="625" t="n"/>
      <c r="O18" s="622" t="n"/>
      <c r="P18" s="622" t="n"/>
      <c r="Q18" s="622" t="n"/>
      <c r="R18" s="622" t="n"/>
      <c r="S18" s="622" t="n"/>
      <c r="T18" s="622" t="n"/>
      <c r="U18" s="622" t="inlineStr">
        <is>
          <t>Párrafos de las Reglamentaciones Metrológica y Técnica, Resoluciones 2307/80 y 119/2001 (*)</t>
        </is>
      </c>
      <c r="V18" s="622" t="n"/>
      <c r="W18" s="622" t="n"/>
      <c r="X18" s="622" t="n"/>
      <c r="Y18" s="622" t="n"/>
      <c r="Z18" s="622" t="n"/>
      <c r="AA18" s="622" t="n"/>
    </row>
    <row r="19" ht="28.5" customFormat="1" customHeight="1" s="55">
      <c r="A19" s="1089">
        <f>IF(COUNTA('Identificación del Instrumento'!$B$22)=1,VLOOKUP('Identificación del Instrumento'!$J$22,$I$17:$V$18,13,FALSE),"")</f>
        <v/>
      </c>
      <c r="B19" s="1226" t="n"/>
      <c r="C19" s="1233" t="n"/>
      <c r="D19" s="1089" t="inlineStr">
        <is>
          <t>Satisface</t>
        </is>
      </c>
      <c r="E19" s="1233" t="n"/>
      <c r="F19" s="1089" t="inlineStr">
        <is>
          <t>No satisface</t>
        </is>
      </c>
      <c r="G19" s="1089" t="inlineStr">
        <is>
          <t>No aplicable</t>
        </is>
      </c>
      <c r="H19" s="1233" t="n"/>
      <c r="I19" s="46" t="n"/>
      <c r="J19" s="1103" t="n"/>
      <c r="K19" s="1103" t="n"/>
      <c r="L19" s="47" t="n"/>
      <c r="M19" s="53" t="n"/>
      <c r="N19" s="53" t="n"/>
      <c r="O19" s="54" t="n"/>
      <c r="P19" s="734" t="n"/>
      <c r="Q19" s="734" t="n"/>
      <c r="R19" s="734" t="n"/>
      <c r="S19" s="734" t="n"/>
      <c r="T19" s="734" t="n"/>
      <c r="U19" s="734" t="n"/>
      <c r="V19" s="734" t="n"/>
      <c r="W19" s="734" t="n"/>
      <c r="X19" s="734" t="n"/>
      <c r="Y19" s="734" t="n"/>
      <c r="Z19" s="734" t="n"/>
      <c r="AA19" s="734" t="n"/>
    </row>
    <row r="20" ht="15" customHeight="1">
      <c r="A20" s="1089" t="n">
        <v>9</v>
      </c>
      <c r="B20" s="1089" t="inlineStr">
        <is>
          <t>Errores de indicación</t>
        </is>
      </c>
      <c r="C20" s="1233" t="n"/>
      <c r="D20" s="1095">
        <f>J2</f>
        <v/>
      </c>
      <c r="E20" s="1233" t="n"/>
      <c r="F20" s="1095" t="n"/>
      <c r="G20" s="1111" t="n"/>
      <c r="H20" s="1233" t="n"/>
      <c r="I20" s="44" t="n"/>
      <c r="J20" s="1103" t="n"/>
      <c r="L20" s="47" t="n"/>
      <c r="M20" s="5" t="n"/>
      <c r="N20" s="5" t="n"/>
      <c r="P20" s="1083" t="n"/>
      <c r="Q20" s="1083" t="n"/>
      <c r="R20" s="1083" t="n"/>
      <c r="S20" s="1083" t="n"/>
      <c r="T20" s="1083" t="n"/>
      <c r="U20" s="1083" t="n"/>
      <c r="V20" s="1083" t="n"/>
      <c r="W20" s="1083" t="n"/>
      <c r="X20" s="1083" t="n"/>
      <c r="Y20" s="1083" t="n"/>
      <c r="Z20" s="1083" t="n"/>
      <c r="AA20" s="1083" t="n"/>
    </row>
    <row r="21" ht="15" customHeight="1">
      <c r="A21" s="1089" t="inlineStr">
        <is>
          <t>11.1.1</t>
        </is>
      </c>
      <c r="B21" s="1089" t="inlineStr">
        <is>
          <t>Desvíos entre resultados</t>
        </is>
      </c>
      <c r="C21" s="1233" t="n"/>
      <c r="D21" s="1095" t="n"/>
      <c r="E21" s="1233" t="n"/>
      <c r="F21" s="1095" t="n"/>
      <c r="G21" s="1095">
        <f>+J2</f>
        <v/>
      </c>
      <c r="H21" s="1233" t="n"/>
      <c r="I21" s="44" t="n"/>
      <c r="J21" s="1103" t="n"/>
      <c r="L21" s="184" t="n"/>
      <c r="M21" s="5" t="n"/>
      <c r="N21" s="5" t="n"/>
      <c r="P21" s="1083" t="n"/>
      <c r="Q21" s="1083" t="n"/>
      <c r="R21" s="1083" t="n"/>
      <c r="S21" s="1083" t="n"/>
      <c r="T21" s="1083" t="n"/>
      <c r="U21" s="1083" t="n"/>
      <c r="V21" s="1083" t="n"/>
      <c r="W21" s="1083" t="n"/>
      <c r="X21" s="1083" t="n"/>
      <c r="Y21" s="1083" t="n"/>
      <c r="Z21" s="1083" t="n"/>
      <c r="AA21" s="1083" t="n"/>
    </row>
    <row r="22" ht="15" customHeight="1">
      <c r="A22" s="1089">
        <f>IF('Identificación del Instrumento'!B22="Balanza tipo tolva","ESCONDER",(IF(COUNTA('Identificación del Instrumento'!$B$22)=1,VLOOKUP('Identificación del Instrumento'!$B$22,'Ensayos Efectuados'!$N$125:$R$136,5,FALSE),"")))</f>
        <v/>
      </c>
      <c r="B22" s="1089">
        <f>IF(OR(A22="ESCONDER",A22="N/A"),"ESCONDER","Excentricidad")</f>
        <v/>
      </c>
      <c r="C22" s="1233" t="n"/>
      <c r="D22" s="1095">
        <f>IF($B$22="ESCONDER","ESCONDER",IF(COUNT('Datos de Ensayos'!K70:K81)&gt;1,IF('Datos de Ensayos'!K82=0,J2,""),""))</f>
        <v/>
      </c>
      <c r="E22" s="1233" t="n"/>
      <c r="F22" s="1095">
        <f>IF($B$22="ESCONDER","",IF('Datos de Ensayos'!K82&gt;0,J2,""))</f>
        <v/>
      </c>
      <c r="G22" s="1095">
        <f>IF($B$22="ESCONDER","ESCONDER"," ")</f>
        <v/>
      </c>
      <c r="H22" s="1233" t="n"/>
      <c r="I22" s="1108">
        <f>IF(OR('Identificación del Instrumento'!B22="Balanza tipo tolva",'Identificación del Instrumento'!B22="Balanza de carga directamente suspendida (de gancho)"),"&lt;=== Esconder fila 'Excentricidad' "," ")</f>
        <v/>
      </c>
      <c r="P22" s="1103" t="n"/>
      <c r="Q22" s="1103" t="n"/>
      <c r="R22" s="1103" t="n"/>
      <c r="S22" s="1103" t="n"/>
      <c r="T22" s="1083" t="n"/>
      <c r="U22" s="1083" t="n"/>
      <c r="V22" s="1083" t="n"/>
      <c r="W22" s="1083" t="n"/>
      <c r="X22" s="1083" t="n"/>
      <c r="Y22" s="1083" t="n"/>
      <c r="Z22" s="1083" t="n"/>
      <c r="AA22" s="1083" t="n"/>
    </row>
    <row r="23" ht="15" customHeight="1">
      <c r="A23" s="1089" t="inlineStr">
        <is>
          <t>14.1.2.</t>
        </is>
      </c>
      <c r="B23" s="1091" t="inlineStr">
        <is>
          <t>Fidelidad</t>
        </is>
      </c>
      <c r="C23" s="1233" t="n"/>
      <c r="D23" s="1095">
        <f>IF(ISNUMBER('Datos de Ensayos'!$N$135),IF(('Datos de Ensayos'!$N$135=0),J2,""),"")</f>
        <v/>
      </c>
      <c r="E23" s="1233" t="n"/>
      <c r="F23" s="1095">
        <f>IF(ISNUMBER('Datos de Ensayos'!$N$135),IF(('Datos de Ensayos'!$N$135=1),J2,""),J2)</f>
        <v/>
      </c>
      <c r="G23" s="1095" t="n"/>
      <c r="H23" s="1233" t="n"/>
      <c r="I23" s="44" t="n"/>
      <c r="J23" s="1103" t="n"/>
      <c r="L23" s="735" t="n"/>
      <c r="M23" s="5" t="n"/>
      <c r="N23" s="5" t="n"/>
      <c r="P23" s="1083" t="n"/>
      <c r="Q23" s="1083" t="n"/>
      <c r="R23" s="1083" t="n"/>
      <c r="S23" s="1083" t="n"/>
      <c r="T23" s="1083" t="n"/>
      <c r="U23" s="1083" t="n"/>
      <c r="V23" s="1083" t="n"/>
      <c r="W23" s="1083" t="n"/>
      <c r="X23" s="1083" t="n"/>
      <c r="Y23" s="1083" t="n"/>
      <c r="Z23" s="1083" t="n"/>
      <c r="AA23" s="1083" t="n"/>
    </row>
    <row r="24" ht="15" customHeight="1">
      <c r="A24" s="1091">
        <f>IF('Identificación del Instrumento'!F23="Mecánica","14.2.1.1.","14.2.2.1.2.")</f>
        <v/>
      </c>
      <c r="B24" s="1089" t="inlineStr">
        <is>
          <t>Movilidad</t>
        </is>
      </c>
      <c r="C24" s="1233" t="n"/>
      <c r="D24" s="1095">
        <f>+IF(AND(COUNTA('Datos de Ensayos'!E61:E63)=3,'Datos de Ensayos'!K61="si",'Datos de Ensayos'!K62="si",'Datos de Ensayos'!K63="si"),J2,"")</f>
        <v/>
      </c>
      <c r="E24" s="1233" t="n"/>
      <c r="F24" s="1095">
        <f>+IF(OR(COUNTA('Datos de Ensayos'!E61:E63)&lt;3,'Datos de Ensayos'!K61="no",'Datos de Ensayos'!K62="no",'Datos de Ensayos'!K63="no"),J2,"")</f>
        <v/>
      </c>
      <c r="G24" s="1095" t="n"/>
      <c r="H24" s="1233" t="n"/>
      <c r="I24" s="44" t="n"/>
      <c r="J24" s="1103" t="n"/>
      <c r="L24" s="1109" t="n"/>
      <c r="U24" s="1083" t="n"/>
      <c r="V24" s="1083" t="n"/>
      <c r="W24" s="1083" t="n"/>
      <c r="X24" s="1083" t="n"/>
      <c r="Y24" s="1083" t="n"/>
      <c r="Z24" s="1083" t="n"/>
      <c r="AA24" s="1083" t="n"/>
    </row>
    <row r="25" ht="28.5" customHeight="1">
      <c r="A25" s="1089" t="inlineStr">
        <is>
          <t>A.3.2.2.</t>
        </is>
      </c>
      <c r="B25" s="1089" t="inlineStr">
        <is>
          <t>Efecto máximo del dispositivo de puesta a cero</t>
        </is>
      </c>
      <c r="C25" s="1233" t="n"/>
      <c r="D25" s="1095">
        <f>+IF('Datos de Ensayos'!G56="no supera",$J$2,"")</f>
        <v/>
      </c>
      <c r="E25" s="1233" t="n"/>
      <c r="F25" s="1095">
        <f>+IF('Datos de Ensayos'!G56="supera",J2,"")</f>
        <v/>
      </c>
      <c r="G25" s="1095">
        <f>+IF('Datos de Ensayos'!G56="x",J2,"")</f>
        <v/>
      </c>
      <c r="H25" s="1233" t="n"/>
      <c r="I25" s="44" t="n"/>
      <c r="J25" s="1103" t="n"/>
      <c r="K25" s="1103" t="n"/>
      <c r="L25" s="735" t="n"/>
      <c r="M25" s="1109" t="n"/>
      <c r="U25" s="1083" t="n"/>
      <c r="V25" s="1083" t="n"/>
      <c r="W25" s="1083" t="n"/>
      <c r="X25" s="1083" t="n"/>
      <c r="Y25" s="1083" t="n"/>
      <c r="Z25" s="1083" t="n"/>
      <c r="AA25" s="1083" t="n"/>
    </row>
    <row r="26" ht="28.5" customHeight="1">
      <c r="A26" s="1089" t="inlineStr">
        <is>
          <t>Evaluación de la concordancia con el modelo aprobado</t>
        </is>
      </c>
      <c r="B26" s="1226" t="n"/>
      <c r="C26" s="1233" t="n"/>
      <c r="D26" s="1095">
        <f>$J$2</f>
        <v/>
      </c>
      <c r="E26" s="1233" t="n"/>
      <c r="F26" s="1095">
        <f>+IF('Datos de Ensayos'!G57="supera",J3,"")</f>
        <v/>
      </c>
      <c r="G26" s="1095">
        <f>+IF('Datos de Ensayos'!G57="x",J3,"")</f>
        <v/>
      </c>
      <c r="H26" s="1233" t="n"/>
      <c r="I26" s="44" t="n"/>
      <c r="J26" s="1103" t="n"/>
      <c r="K26" s="1103" t="n"/>
      <c r="L26" s="735" t="n"/>
      <c r="M26" s="1109" t="n"/>
      <c r="N26" s="1109" t="n"/>
      <c r="O26" s="1109" t="n"/>
      <c r="P26" s="1109" t="n"/>
      <c r="Q26" s="1109" t="n"/>
      <c r="R26" s="1109" t="n"/>
      <c r="S26" s="1109" t="n"/>
      <c r="T26" s="1109" t="n"/>
      <c r="U26" s="1083" t="n"/>
      <c r="V26" s="1083" t="n"/>
      <c r="W26" s="1083" t="n"/>
      <c r="X26" s="1083" t="n"/>
      <c r="Y26" s="1083" t="n"/>
      <c r="Z26" s="1083" t="n"/>
      <c r="AA26" s="1083" t="n"/>
    </row>
    <row r="27" ht="21.75" customHeight="1">
      <c r="A27" s="1087">
        <f>IF(COUNTBLANK(F20:F25)=6,"La balanza satisface los requisitos reglamentarios.","La balanza no satisface los requisitos reglamentarios.")</f>
        <v/>
      </c>
      <c r="I27" s="44" t="n"/>
      <c r="J27" s="1103" t="n"/>
      <c r="K27" s="1103" t="n"/>
      <c r="L27" s="735" t="n"/>
      <c r="M27" s="5" t="n"/>
      <c r="N27" s="5" t="n"/>
      <c r="P27" s="1083" t="n"/>
      <c r="Q27" s="1083" t="n"/>
      <c r="R27" s="1083" t="n"/>
      <c r="S27" s="1083" t="n"/>
      <c r="T27" s="1083" t="n"/>
      <c r="U27" s="1083" t="n"/>
      <c r="V27" s="1083" t="n"/>
      <c r="W27" s="1083" t="n"/>
      <c r="X27" s="1083" t="n"/>
      <c r="Y27" s="1083" t="n"/>
      <c r="Z27" s="1083" t="n"/>
      <c r="AA27" s="1083" t="n"/>
    </row>
    <row r="28" ht="15" customHeight="1">
      <c r="A28" s="1097">
        <f>CONCATENATE("Fecha de la verificación:  ")</f>
        <v/>
      </c>
      <c r="D28" s="1344">
        <f>'Identificación del Instrumento'!J2</f>
        <v/>
      </c>
      <c r="G28" s="1344" t="n"/>
      <c r="I28" s="1083" t="n"/>
      <c r="J28" s="1083" t="n"/>
      <c r="K28" s="1083" t="n"/>
      <c r="L28" s="1083" t="n"/>
      <c r="M28" s="1345" t="n"/>
      <c r="N28" s="1083" t="n"/>
      <c r="P28" s="1083" t="n"/>
      <c r="Q28" s="1083" t="n"/>
      <c r="R28" s="1083" t="n"/>
      <c r="S28" s="1083" t="n"/>
      <c r="T28" s="1083" t="n"/>
      <c r="U28" s="1083" t="n"/>
      <c r="V28" s="1083" t="n"/>
      <c r="W28" s="1083" t="n"/>
      <c r="X28" s="1083" t="n"/>
      <c r="Y28" s="1083" t="n"/>
      <c r="Z28" s="1083" t="n"/>
      <c r="AA28" s="1083" t="n"/>
    </row>
    <row r="29" ht="15" customHeight="1">
      <c r="A29" s="1097">
        <f>CONCATENATE("Fecha de emisión:  ")</f>
        <v/>
      </c>
      <c r="D29" s="1344">
        <f>TODAY()</f>
        <v/>
      </c>
      <c r="I29" s="1083" t="n"/>
      <c r="J29" s="1083" t="n"/>
      <c r="K29" s="1083" t="n"/>
      <c r="L29" s="1083" t="n"/>
      <c r="M29" s="1345" t="n"/>
      <c r="N29" s="1083" t="n"/>
      <c r="P29" s="1083" t="n"/>
      <c r="Q29" s="1083" t="n"/>
      <c r="R29" s="1083" t="n"/>
      <c r="S29" s="1083" t="n"/>
      <c r="T29" s="1083" t="n"/>
      <c r="U29" s="1083" t="n"/>
      <c r="V29" s="1083" t="n"/>
      <c r="W29" s="1083" t="n"/>
      <c r="X29" s="1083" t="n"/>
      <c r="Y29" s="1083" t="n"/>
      <c r="Z29" s="1083" t="n"/>
      <c r="AA29" s="1083" t="n"/>
    </row>
    <row r="30" hidden="1" ht="15.75" customHeight="1">
      <c r="A30" s="1097">
        <f>CONCATENATE("Fecha de vencimiento:  ")</f>
        <v/>
      </c>
      <c r="D30" s="1344">
        <f>'Identificación del Instrumento'!J3</f>
        <v/>
      </c>
      <c r="I30" s="1083" t="n"/>
      <c r="J30" s="1083" t="n"/>
      <c r="K30" s="1083" t="n"/>
      <c r="L30" s="1083" t="n"/>
      <c r="M30" s="1345" t="n"/>
      <c r="N30" s="1083" t="n"/>
      <c r="P30" s="1083" t="n"/>
      <c r="Q30" s="1083" t="n"/>
      <c r="R30" s="1083" t="n"/>
      <c r="S30" s="1083" t="n"/>
      <c r="T30" s="1083" t="n"/>
      <c r="U30" s="1083" t="n"/>
      <c r="V30" s="1083" t="n"/>
      <c r="W30" s="1083" t="n"/>
      <c r="X30" s="1083" t="n"/>
      <c r="Y30" s="1083" t="n"/>
      <c r="Z30" s="1083" t="n"/>
      <c r="AA30" s="1083" t="n"/>
    </row>
    <row r="31" ht="16.5" customHeight="1">
      <c r="A31" s="392" t="inlineStr">
        <is>
          <t>Los registros de verificación se encuentran archivados en el INTI.</t>
        </is>
      </c>
      <c r="B31" s="1097" t="n"/>
      <c r="C31" s="1097" t="n"/>
      <c r="D31" s="1344" t="n"/>
      <c r="E31" s="1344" t="n"/>
      <c r="F31" s="1344" t="n"/>
      <c r="G31" s="1344" t="n"/>
      <c r="H31" s="1344" t="n"/>
      <c r="I31" s="1083" t="n"/>
      <c r="J31" s="1083" t="n"/>
      <c r="K31" s="1083" t="n"/>
      <c r="L31" s="1083" t="n"/>
      <c r="M31" s="1345" t="n"/>
      <c r="N31" s="1083" t="n"/>
      <c r="P31" s="1083" t="n"/>
      <c r="Q31" s="1083" t="n"/>
      <c r="R31" s="1083" t="n"/>
      <c r="S31" s="1083" t="n"/>
      <c r="T31" s="1083" t="n"/>
      <c r="U31" s="1083" t="n"/>
      <c r="V31" s="1083" t="n"/>
      <c r="W31" s="1083" t="n"/>
      <c r="X31" s="1083" t="n"/>
      <c r="Y31" s="1083" t="n"/>
      <c r="Z31" s="1083" t="n"/>
      <c r="AA31" s="1083" t="n"/>
    </row>
    <row r="32" ht="41.25" customHeight="1">
      <c r="A32" s="1099" t="inlineStr">
        <is>
          <t>Las mediciones involucradas en este informe están vinculadas a los patrones de medida mantenidos en el INTI según la legislación vigente, los cuales representan a las unidades físicas de medida en concordancia con el Sistema Internacional de Unidades (SI).</t>
        </is>
      </c>
      <c r="I32" s="1083" t="n"/>
      <c r="J32" s="1083" t="n"/>
      <c r="K32" s="1083" t="n"/>
      <c r="L32" s="1083" t="n"/>
      <c r="M32" s="1345" t="n"/>
      <c r="N32" s="1083" t="n"/>
      <c r="P32" s="1083" t="n"/>
      <c r="Q32" s="1083" t="n"/>
      <c r="R32" s="1083" t="n"/>
      <c r="S32" s="1083" t="n"/>
      <c r="T32" s="1083" t="n"/>
      <c r="U32" s="1083" t="n"/>
      <c r="V32" s="1083" t="n"/>
      <c r="W32" s="1083" t="n"/>
      <c r="X32" s="1083" t="n"/>
      <c r="Y32" s="1083" t="n"/>
      <c r="Z32" s="1083" t="n"/>
      <c r="AA32" s="1083" t="n"/>
    </row>
    <row r="33" ht="20.1" customHeight="1">
      <c r="A33" s="203" t="inlineStr">
        <is>
          <t xml:space="preserve">Usuario: </t>
        </is>
      </c>
      <c r="B33" s="1090">
        <f>IF(ISBLANK('Identificación del Instrumento'!$C$14),"",'Identificación del Instrumento'!$C$14)</f>
        <v/>
      </c>
      <c r="I33" s="393" t="n"/>
      <c r="J33" s="11" t="n"/>
      <c r="K33" s="11" t="n"/>
      <c r="L33" s="11" t="n"/>
      <c r="M33" s="11" t="n"/>
      <c r="N33" s="11" t="n"/>
    </row>
    <row r="34" ht="20.1" customHeight="1">
      <c r="A34" s="11" t="n"/>
      <c r="B34" s="1090">
        <f>IF(ISBLANK('Identificación del Instrumento'!$B$15),"",'Identificación del Instrumento'!$B$15)</f>
        <v/>
      </c>
      <c r="I34" s="393" t="n"/>
      <c r="J34" s="11" t="n"/>
      <c r="K34" s="11" t="n"/>
      <c r="L34" s="11" t="n"/>
      <c r="M34" s="11" t="n"/>
      <c r="N34" s="11" t="n"/>
    </row>
    <row r="35" ht="20.1" customHeight="1">
      <c r="A35" s="11" t="n"/>
      <c r="B35" s="1098">
        <f>CONCATENATE('Datos de Ensayos'!$E$9,IF('Identificación del Instrumento'!F16="Ciudad Autónoma de Buenos Aires",""," - Provincia de "),'Datos de Ensayos'!$I$9)</f>
        <v/>
      </c>
      <c r="I35" s="393" t="n"/>
      <c r="J35" s="11" t="n"/>
      <c r="K35" s="11" t="n"/>
      <c r="L35" s="11" t="n"/>
      <c r="M35" s="11" t="n"/>
      <c r="N35" s="11" t="n"/>
    </row>
    <row r="36" ht="15.75" customHeight="1">
      <c r="A36" s="4" t="n"/>
      <c r="B36" s="4" t="n"/>
      <c r="C36" s="4" t="n"/>
      <c r="D36" s="34" t="n"/>
      <c r="E36" s="42" t="n"/>
      <c r="F36" s="4" t="n"/>
      <c r="G36" s="4" t="n"/>
      <c r="H36" s="391" t="n"/>
      <c r="I36" s="1083" t="n"/>
      <c r="J36" s="1083" t="n"/>
      <c r="K36" s="1083" t="n"/>
      <c r="L36" s="1083" t="n"/>
      <c r="M36" s="1083" t="n"/>
      <c r="N36" s="813" t="n"/>
      <c r="O36" s="1083" t="n"/>
    </row>
    <row r="37" ht="15.75" customHeight="1">
      <c r="A37" s="4" t="n"/>
      <c r="B37" s="4" t="n"/>
      <c r="C37" s="4" t="n"/>
      <c r="D37" s="34" t="n"/>
      <c r="E37" s="42" t="n"/>
      <c r="F37" s="4" t="n"/>
      <c r="G37" s="4" t="n"/>
      <c r="H37" s="391" t="n"/>
      <c r="I37" s="1083" t="n"/>
      <c r="J37" s="1083" t="n"/>
      <c r="K37" s="1083" t="n"/>
      <c r="L37" s="1083" t="n"/>
      <c r="M37" s="1083" t="n"/>
      <c r="N37" s="813" t="n"/>
      <c r="O37" s="1083" t="n"/>
    </row>
    <row r="38" ht="15.75" customHeight="1">
      <c r="A38" s="4" t="n"/>
      <c r="B38" s="4" t="n"/>
      <c r="C38" s="4" t="n"/>
      <c r="D38" s="34" t="n"/>
      <c r="E38" s="42" t="n"/>
      <c r="F38" s="4" t="n"/>
      <c r="G38" s="4" t="n"/>
      <c r="H38" s="391" t="n"/>
      <c r="I38" s="1083" t="n"/>
      <c r="J38" s="1083" t="n"/>
      <c r="K38" s="1083" t="n"/>
      <c r="L38" s="1083" t="n"/>
      <c r="M38" s="1083" t="n"/>
      <c r="N38" s="813" t="n"/>
      <c r="O38" s="1083" t="n"/>
    </row>
    <row r="39" ht="15.75" customHeight="1">
      <c r="A39" s="4" t="n"/>
      <c r="B39" s="4" t="n"/>
      <c r="C39" s="4" t="n"/>
      <c r="D39" s="34" t="n"/>
      <c r="E39" s="42" t="n"/>
      <c r="F39" s="4" t="n"/>
      <c r="G39" s="4" t="n"/>
      <c r="H39" s="391" t="n"/>
      <c r="I39" s="1083" t="n"/>
      <c r="J39" s="1083" t="n"/>
      <c r="K39" s="1083" t="n"/>
      <c r="L39" s="1083" t="n"/>
      <c r="M39" s="1083" t="n"/>
      <c r="N39" s="813" t="n"/>
      <c r="O39" s="1083" t="n"/>
    </row>
    <row r="40" ht="15.75" customHeight="1">
      <c r="A40" s="4" t="n"/>
      <c r="B40" s="4" t="n"/>
      <c r="C40" s="4" t="n"/>
      <c r="D40" s="34" t="n"/>
      <c r="E40" s="42" t="n"/>
      <c r="F40" s="4" t="n"/>
      <c r="G40" s="4" t="n"/>
      <c r="H40" s="391" t="n"/>
      <c r="I40" s="1083" t="n"/>
      <c r="J40" s="1083" t="n"/>
      <c r="K40" s="1083" t="n"/>
      <c r="L40" s="1083" t="n"/>
      <c r="M40" s="1083" t="n"/>
      <c r="N40" s="813" t="n"/>
      <c r="O40" s="1083" t="n"/>
    </row>
    <row r="41" ht="15.75" customHeight="1">
      <c r="A41" s="4" t="n"/>
      <c r="B41" s="4" t="n"/>
      <c r="C41" s="4" t="n"/>
      <c r="D41" s="34" t="n"/>
      <c r="E41" s="42" t="n"/>
      <c r="F41" s="4" t="n"/>
      <c r="G41" s="4" t="n"/>
      <c r="H41" s="391" t="n"/>
      <c r="I41" s="1083" t="n"/>
      <c r="J41" s="1083" t="n"/>
      <c r="K41" s="1083" t="n"/>
      <c r="L41" s="1083" t="n"/>
      <c r="M41" s="1083" t="n"/>
      <c r="N41" s="813" t="n"/>
      <c r="O41" s="1083" t="n"/>
    </row>
    <row r="42" ht="15.75" customHeight="1">
      <c r="A42" s="4" t="n"/>
      <c r="B42" s="4" t="n"/>
      <c r="C42" s="4" t="n"/>
      <c r="D42" s="34" t="n"/>
      <c r="E42" s="42" t="n"/>
      <c r="F42" s="4" t="n"/>
      <c r="G42" s="4" t="n"/>
      <c r="H42" s="391" t="n"/>
      <c r="I42" s="1083" t="n"/>
      <c r="J42" s="1083" t="n"/>
      <c r="K42" s="1083" t="n"/>
      <c r="L42" s="1083" t="n"/>
      <c r="M42" s="1083" t="n"/>
      <c r="N42" s="813" t="n"/>
      <c r="O42" s="1083" t="n"/>
    </row>
    <row r="43" ht="15.75" customHeight="1">
      <c r="A43" s="4" t="n"/>
      <c r="B43" s="4" t="n"/>
      <c r="C43" s="4" t="n"/>
      <c r="D43" s="34" t="n"/>
      <c r="E43" s="42" t="n"/>
      <c r="F43" s="4" t="n"/>
      <c r="G43" s="4" t="n"/>
      <c r="H43" s="391" t="n"/>
      <c r="I43" s="1083" t="n"/>
      <c r="J43" s="1083" t="n"/>
      <c r="K43" s="1083" t="n"/>
      <c r="L43" s="1083" t="n"/>
      <c r="M43" s="1083" t="n"/>
      <c r="N43" s="813" t="n"/>
      <c r="O43" s="1083" t="n"/>
    </row>
    <row r="44" ht="15.75" customHeight="1">
      <c r="A44" s="4" t="n"/>
      <c r="B44" s="4" t="n"/>
      <c r="C44" s="4" t="n"/>
      <c r="D44" s="34" t="n"/>
      <c r="E44" s="42" t="n"/>
      <c r="F44" s="4" t="n"/>
      <c r="G44" s="4" t="n"/>
      <c r="H44" s="391" t="n"/>
      <c r="I44" s="1083" t="n"/>
      <c r="J44" s="1083" t="n"/>
      <c r="K44" s="1083" t="n"/>
      <c r="L44" s="1083" t="n"/>
      <c r="M44" s="1083" t="n"/>
      <c r="N44" s="813" t="n"/>
      <c r="O44" s="1083" t="n"/>
    </row>
    <row r="45" ht="15.75" customHeight="1">
      <c r="A45" s="4" t="n"/>
      <c r="B45" s="4" t="n"/>
      <c r="C45" s="4" t="n"/>
      <c r="D45" s="34" t="n"/>
      <c r="E45" s="42" t="n"/>
      <c r="F45" s="4" t="n"/>
      <c r="G45" s="4" t="n"/>
      <c r="H45" s="391" t="n"/>
      <c r="I45" s="1083" t="n"/>
      <c r="J45" s="1083" t="n"/>
      <c r="K45" s="1083" t="n"/>
      <c r="L45" s="1083" t="n"/>
      <c r="M45" s="1083" t="n"/>
      <c r="N45" s="813" t="n"/>
      <c r="O45" s="1083" t="n"/>
    </row>
    <row r="46" ht="15.75" customHeight="1">
      <c r="A46" s="4" t="n"/>
      <c r="B46" s="4" t="n"/>
      <c r="C46" s="4" t="n"/>
      <c r="D46" s="34" t="n"/>
      <c r="E46" s="42" t="n"/>
      <c r="F46" s="4" t="n"/>
      <c r="G46" s="4" t="n"/>
      <c r="H46" s="391" t="n"/>
      <c r="I46" s="1083" t="n"/>
      <c r="J46" s="1083" t="n"/>
      <c r="K46" s="1083" t="n"/>
      <c r="L46" s="1083" t="n"/>
      <c r="M46" s="1083" t="n"/>
      <c r="N46" s="813" t="n"/>
      <c r="O46" s="1083" t="n"/>
    </row>
    <row r="47" ht="15.75" customHeight="1">
      <c r="A47" s="4" t="n"/>
      <c r="B47" s="4" t="n"/>
      <c r="C47" s="4" t="n"/>
      <c r="D47" s="34" t="n"/>
      <c r="E47" s="42" t="n"/>
      <c r="F47" s="4" t="n"/>
      <c r="G47" s="4" t="n"/>
      <c r="H47" s="391" t="n"/>
      <c r="I47" s="1083" t="n"/>
      <c r="J47" s="1083" t="n"/>
      <c r="K47" s="1083" t="n"/>
      <c r="L47" s="1083" t="n"/>
      <c r="M47" s="1083" t="n"/>
      <c r="N47" s="813" t="n"/>
      <c r="O47" s="1083" t="n"/>
    </row>
    <row r="48" ht="15.75" customHeight="1">
      <c r="A48" s="4" t="n"/>
      <c r="B48" s="4" t="n"/>
      <c r="C48" s="4" t="n"/>
      <c r="D48" s="34" t="n"/>
      <c r="E48" s="42" t="n"/>
      <c r="F48" s="4" t="n"/>
      <c r="G48" s="4" t="n"/>
      <c r="H48" s="391" t="n"/>
      <c r="I48" s="1083" t="n"/>
      <c r="J48" s="1083" t="n"/>
      <c r="K48" s="1083" t="n"/>
      <c r="L48" s="1083" t="n"/>
      <c r="M48" s="1083" t="n"/>
      <c r="N48" s="813" t="n"/>
      <c r="O48" s="1083" t="n"/>
    </row>
    <row r="49" ht="15.75" customHeight="1">
      <c r="A49" s="4" t="n"/>
      <c r="B49" s="4" t="n"/>
      <c r="C49" s="4" t="n"/>
      <c r="D49" s="34" t="n"/>
      <c r="E49" s="42" t="n"/>
      <c r="F49" s="4" t="n"/>
      <c r="G49" s="4" t="n"/>
      <c r="H49" s="391" t="n"/>
      <c r="I49" s="1083" t="n"/>
      <c r="J49" s="1083" t="n"/>
      <c r="K49" s="1083" t="n"/>
      <c r="L49" s="1083" t="n"/>
      <c r="M49" s="1083" t="n"/>
      <c r="N49" s="813" t="n"/>
      <c r="O49" s="1083" t="n"/>
    </row>
    <row r="50" ht="15.75" customHeight="1">
      <c r="A50" s="4" t="n"/>
      <c r="B50" s="4" t="n"/>
      <c r="C50" s="4" t="n"/>
      <c r="D50" s="34" t="n"/>
      <c r="E50" s="42" t="n"/>
      <c r="F50" s="4" t="n"/>
      <c r="G50" s="4" t="n"/>
      <c r="H50" s="391" t="n"/>
      <c r="I50" s="1083" t="n"/>
      <c r="J50" s="1083" t="n"/>
      <c r="K50" s="1083" t="n"/>
      <c r="L50" s="1083" t="n"/>
      <c r="M50" s="1083" t="n"/>
      <c r="N50" s="813" t="n"/>
      <c r="O50" s="1083" t="n"/>
    </row>
    <row r="51" ht="15.75" customHeight="1">
      <c r="A51" s="4" t="n"/>
      <c r="B51" s="4" t="n"/>
      <c r="C51" s="4" t="n"/>
      <c r="D51" s="34" t="n"/>
      <c r="E51" s="42" t="n"/>
      <c r="F51" s="4" t="n"/>
      <c r="G51" s="4" t="n"/>
      <c r="H51" s="391" t="n"/>
      <c r="I51" s="1083" t="n"/>
      <c r="J51" s="1083" t="n"/>
      <c r="K51" s="1083" t="n"/>
      <c r="L51" s="1083" t="n"/>
      <c r="M51" s="1083" t="n"/>
      <c r="N51" s="813" t="n"/>
      <c r="O51" s="1083" t="n"/>
    </row>
    <row r="52" ht="15.75" customHeight="1">
      <c r="A52" s="4" t="n"/>
      <c r="B52" s="4" t="n"/>
      <c r="C52" s="4" t="n"/>
      <c r="D52" s="34" t="n"/>
      <c r="E52" s="42" t="n"/>
      <c r="F52" s="4" t="n"/>
      <c r="G52" s="4" t="n"/>
      <c r="H52" s="391" t="n"/>
      <c r="I52" s="1083" t="n"/>
      <c r="J52" s="1083" t="n"/>
      <c r="K52" s="1083" t="n"/>
      <c r="L52" s="1083" t="n"/>
      <c r="M52" s="1083" t="n"/>
      <c r="N52" s="813" t="n"/>
      <c r="O52" s="1083" t="n"/>
    </row>
    <row r="53" ht="15.75" customHeight="1">
      <c r="A53" s="4" t="n"/>
      <c r="B53" s="4" t="n"/>
      <c r="C53" s="4" t="n"/>
      <c r="D53" s="34" t="n"/>
      <c r="E53" s="42" t="n"/>
      <c r="F53" s="4" t="n"/>
      <c r="G53" s="4" t="n"/>
      <c r="H53" s="391" t="n"/>
      <c r="I53" s="1083" t="n"/>
      <c r="J53" s="1083" t="n"/>
      <c r="K53" s="1083" t="n"/>
      <c r="L53" s="1083" t="n"/>
      <c r="M53" s="1083" t="n"/>
      <c r="N53" s="813" t="n"/>
      <c r="O53" s="1083" t="n"/>
    </row>
    <row r="54" ht="15.75" customHeight="1">
      <c r="A54" s="4" t="n"/>
      <c r="B54" s="4" t="n"/>
      <c r="C54" s="4" t="n"/>
      <c r="D54" s="34" t="n"/>
      <c r="E54" s="42" t="n"/>
      <c r="F54" s="4" t="n"/>
      <c r="G54" s="4" t="n"/>
      <c r="H54" s="391" t="n"/>
      <c r="I54" s="1083" t="n"/>
      <c r="J54" s="1083" t="n"/>
      <c r="K54" s="1083" t="n"/>
      <c r="L54" s="1083" t="n"/>
      <c r="M54" s="1083" t="n"/>
      <c r="N54" s="813" t="n"/>
      <c r="O54" s="1083" t="n"/>
    </row>
    <row r="55" ht="15.75" customHeight="1">
      <c r="A55" s="4" t="n"/>
      <c r="B55" s="4" t="n"/>
      <c r="C55" s="4" t="n"/>
      <c r="D55" s="34" t="n"/>
      <c r="E55" s="42" t="n"/>
      <c r="F55" s="4" t="n"/>
      <c r="G55" s="4" t="n"/>
      <c r="H55" s="391" t="n"/>
      <c r="I55" s="1083" t="n"/>
      <c r="J55" s="1083" t="n"/>
      <c r="K55" s="1083" t="n"/>
      <c r="L55" s="1083" t="n"/>
      <c r="M55" s="1083" t="n"/>
      <c r="N55" s="813" t="n"/>
      <c r="O55" s="1083" t="n"/>
    </row>
    <row r="56" ht="15.75" customHeight="1">
      <c r="A56" s="4" t="n"/>
      <c r="B56" s="4" t="n"/>
      <c r="C56" s="4" t="n"/>
      <c r="D56" s="34" t="n"/>
      <c r="E56" s="42" t="n"/>
      <c r="F56" s="4" t="n"/>
      <c r="G56" s="4" t="n"/>
      <c r="H56" s="391" t="n"/>
      <c r="I56" s="1083" t="n"/>
      <c r="J56" s="1083" t="n"/>
      <c r="K56" s="1083" t="n"/>
      <c r="L56" s="1083" t="n"/>
      <c r="M56" s="1083" t="n"/>
      <c r="N56" s="813" t="n"/>
      <c r="O56" s="1083" t="n"/>
    </row>
    <row r="57" ht="15.75" customHeight="1">
      <c r="A57" s="4" t="n"/>
      <c r="B57" s="4" t="n"/>
      <c r="C57" s="4" t="n"/>
      <c r="D57" s="34" t="n"/>
      <c r="E57" s="42" t="n"/>
      <c r="F57" s="4" t="n"/>
      <c r="G57" s="4" t="n"/>
      <c r="H57" s="391" t="n"/>
      <c r="I57" s="1083" t="n"/>
      <c r="J57" s="1083" t="n"/>
      <c r="K57" s="1083" t="n"/>
      <c r="L57" s="1083" t="n"/>
      <c r="M57" s="1083" t="n"/>
      <c r="N57" s="813" t="n"/>
      <c r="O57" s="1083" t="n"/>
    </row>
    <row r="58" ht="15.75" customHeight="1">
      <c r="A58" s="4" t="n"/>
      <c r="B58" s="4" t="n"/>
      <c r="C58" s="4" t="n"/>
      <c r="D58" s="34" t="n"/>
      <c r="E58" s="42" t="n"/>
      <c r="F58" s="4" t="n"/>
      <c r="G58" s="4" t="n"/>
      <c r="H58" s="391" t="n"/>
      <c r="I58" s="1083" t="n"/>
      <c r="J58" s="1083" t="n"/>
      <c r="K58" s="1083" t="n"/>
      <c r="L58" s="1083" t="n"/>
      <c r="M58" s="1083" t="n"/>
      <c r="N58" s="813" t="n"/>
      <c r="O58" s="1083" t="n"/>
    </row>
    <row r="59" ht="15.75" customHeight="1">
      <c r="A59" s="4" t="n"/>
      <c r="B59" s="4" t="n"/>
      <c r="C59" s="4" t="n"/>
      <c r="D59" s="34" t="n"/>
      <c r="E59" s="42" t="n"/>
      <c r="F59" s="4" t="n"/>
      <c r="G59" s="4" t="n"/>
      <c r="H59" s="391" t="n"/>
      <c r="I59" s="1083" t="n"/>
      <c r="J59" s="1083" t="n"/>
      <c r="K59" s="1083" t="n"/>
      <c r="L59" s="1083" t="n"/>
      <c r="M59" s="1083" t="n"/>
      <c r="N59" s="813" t="n"/>
      <c r="O59" s="1083" t="n"/>
    </row>
    <row r="60" ht="15.75" customHeight="1">
      <c r="A60" s="4" t="n"/>
      <c r="B60" s="4" t="n"/>
      <c r="C60" s="4" t="n"/>
      <c r="D60" s="34" t="n"/>
      <c r="E60" s="42" t="n"/>
      <c r="F60" s="4" t="n"/>
      <c r="G60" s="4" t="n"/>
      <c r="H60" s="391" t="n"/>
      <c r="I60" s="1083" t="n"/>
      <c r="J60" s="1083" t="n"/>
      <c r="K60" s="1083" t="n"/>
      <c r="L60" s="1083" t="n"/>
      <c r="M60" s="1083" t="n"/>
      <c r="N60" s="813" t="n"/>
      <c r="O60" s="1083" t="n"/>
    </row>
    <row r="61" ht="15.75" customHeight="1">
      <c r="A61" s="4" t="n"/>
      <c r="B61" s="4" t="n"/>
      <c r="C61" s="4" t="n"/>
      <c r="D61" s="34" t="n"/>
      <c r="E61" s="42" t="n"/>
      <c r="F61" s="4" t="n"/>
      <c r="G61" s="4" t="n"/>
      <c r="H61" s="391" t="n"/>
      <c r="I61" s="1083" t="n"/>
      <c r="J61" s="1083" t="n"/>
      <c r="K61" s="1083" t="n"/>
      <c r="L61" s="1083" t="n"/>
      <c r="M61" s="1083" t="n"/>
      <c r="N61" s="813" t="n"/>
      <c r="O61" s="1083" t="n"/>
    </row>
    <row r="62" ht="15.75" customHeight="1">
      <c r="A62" s="4" t="n"/>
      <c r="B62" s="4" t="n"/>
      <c r="C62" s="4" t="n"/>
      <c r="D62" s="34" t="n"/>
      <c r="E62" s="42" t="n"/>
      <c r="F62" s="4" t="n"/>
      <c r="G62" s="4" t="n"/>
      <c r="H62" s="391" t="n"/>
      <c r="I62" s="1083" t="n"/>
      <c r="J62" s="1083" t="n"/>
      <c r="K62" s="1083" t="n"/>
      <c r="L62" s="1083" t="n"/>
      <c r="M62" s="1083" t="n"/>
      <c r="N62" s="813" t="n"/>
      <c r="O62" s="1083" t="n"/>
    </row>
    <row r="63" ht="15.75" customHeight="1">
      <c r="A63" s="4" t="n"/>
      <c r="B63" s="4" t="n"/>
      <c r="C63" s="4" t="n"/>
      <c r="D63" s="34" t="n"/>
      <c r="E63" s="42" t="n"/>
      <c r="F63" s="4" t="n"/>
      <c r="G63" s="4" t="n"/>
      <c r="H63" s="391" t="n"/>
      <c r="I63" s="1083" t="n"/>
      <c r="J63" s="1083" t="n"/>
      <c r="K63" s="1083" t="n"/>
      <c r="L63" s="1083" t="n"/>
      <c r="M63" s="1083" t="n"/>
      <c r="N63" s="813" t="n"/>
      <c r="O63" s="1083" t="n"/>
    </row>
    <row r="64" ht="15.75" customHeight="1">
      <c r="A64" s="4" t="n"/>
      <c r="B64" s="4" t="n"/>
      <c r="C64" s="4" t="n"/>
      <c r="D64" s="34" t="n"/>
      <c r="E64" s="42" t="n"/>
      <c r="F64" s="4" t="n"/>
      <c r="G64" s="4" t="n"/>
      <c r="H64" s="391" t="n"/>
      <c r="I64" s="1083" t="n"/>
      <c r="J64" s="1083" t="n"/>
      <c r="K64" s="1083" t="n"/>
      <c r="L64" s="1083" t="n"/>
      <c r="M64" s="1083" t="n"/>
      <c r="N64" s="813" t="n"/>
      <c r="O64" s="1083" t="n"/>
    </row>
    <row r="65" ht="15.75" customHeight="1">
      <c r="A65" s="4" t="n"/>
      <c r="B65" s="4" t="n"/>
      <c r="C65" s="4" t="n"/>
      <c r="D65" s="34" t="n"/>
      <c r="E65" s="42" t="n"/>
      <c r="F65" s="4" t="n"/>
      <c r="G65" s="4" t="n"/>
      <c r="H65" s="391" t="n"/>
      <c r="I65" s="1083" t="n"/>
      <c r="J65" s="1083" t="n"/>
      <c r="K65" s="1083" t="n"/>
      <c r="L65" s="1083" t="n"/>
      <c r="M65" s="1083" t="n"/>
      <c r="N65" s="813" t="n"/>
      <c r="O65" s="1083" t="n"/>
    </row>
    <row r="66" ht="15.75" customHeight="1">
      <c r="A66" s="4" t="n"/>
      <c r="B66" s="4" t="n"/>
      <c r="C66" s="4" t="n"/>
      <c r="D66" s="34" t="n"/>
      <c r="E66" s="35" t="n"/>
      <c r="F66" s="1098" t="n"/>
      <c r="G66" s="1098" t="n"/>
      <c r="H66" s="391" t="n"/>
      <c r="I66" s="1083" t="n"/>
      <c r="J66" s="1083" t="n"/>
      <c r="K66" s="1083" t="n"/>
      <c r="L66" s="1083" t="n"/>
      <c r="M66" s="1083" t="n"/>
      <c r="N66" s="813" t="n"/>
      <c r="O66" s="1083" t="n"/>
    </row>
    <row r="67" ht="15.75" customHeight="1">
      <c r="A67" s="4" t="n"/>
      <c r="B67" s="4" t="n"/>
      <c r="C67" s="4" t="n"/>
      <c r="D67" s="34" t="n"/>
      <c r="E67" s="35" t="n"/>
      <c r="F67" s="1098" t="n"/>
      <c r="G67" s="1098" t="n"/>
      <c r="H67" s="391" t="n"/>
      <c r="I67" s="1083" t="n"/>
      <c r="J67" s="1083" t="n"/>
      <c r="K67" s="1083" t="n"/>
      <c r="L67" s="1083" t="n"/>
      <c r="M67" s="1083" t="n"/>
      <c r="N67" s="813" t="n"/>
      <c r="O67" s="1083" t="n"/>
    </row>
    <row r="68" ht="15.75" customHeight="1">
      <c r="A68" s="4" t="n"/>
      <c r="B68" s="4" t="n"/>
      <c r="C68" s="4" t="n"/>
      <c r="D68" s="34" t="n"/>
      <c r="E68" s="35" t="n"/>
      <c r="F68" s="1098" t="n"/>
      <c r="G68" s="1098" t="n"/>
      <c r="H68" s="391" t="n"/>
      <c r="I68" s="1083" t="n"/>
      <c r="J68" s="1083" t="n"/>
      <c r="K68" s="1083" t="n"/>
      <c r="L68" s="1083" t="n"/>
      <c r="M68" s="1083" t="n"/>
      <c r="N68" s="813" t="n"/>
      <c r="O68" s="1083" t="n"/>
    </row>
    <row r="69" ht="15.75" customHeight="1">
      <c r="A69" s="4" t="n"/>
      <c r="B69" s="4" t="n"/>
      <c r="C69" s="4" t="n"/>
      <c r="D69" s="34" t="n"/>
      <c r="E69" s="35" t="n"/>
      <c r="F69" s="1098" t="n"/>
      <c r="G69" s="1098" t="n"/>
      <c r="H69" s="391" t="n"/>
      <c r="I69" s="1083" t="n"/>
      <c r="J69" s="1083" t="n"/>
      <c r="K69" s="1083" t="n"/>
      <c r="L69" s="1083" t="n"/>
      <c r="M69" s="1083" t="n"/>
      <c r="N69" s="813" t="n"/>
      <c r="O69" s="1083" t="n"/>
    </row>
    <row r="70" ht="15.75" customHeight="1">
      <c r="A70" s="4" t="n"/>
      <c r="B70" s="4" t="n"/>
      <c r="C70" s="4" t="n"/>
      <c r="D70" s="34" t="n"/>
      <c r="E70" s="35" t="n"/>
      <c r="F70" s="1098" t="n"/>
      <c r="G70" s="1098" t="n"/>
      <c r="H70" s="391" t="n"/>
      <c r="I70" s="1083" t="n"/>
      <c r="J70" s="1083" t="n"/>
      <c r="K70" s="1083" t="n"/>
      <c r="L70" s="1083" t="n"/>
      <c r="M70" s="1083" t="n"/>
      <c r="N70" s="813" t="n"/>
      <c r="O70" s="1083" t="n"/>
    </row>
    <row r="71" ht="15.75" customHeight="1">
      <c r="A71" s="4" t="n"/>
      <c r="B71" s="4" t="n"/>
      <c r="C71" s="4" t="n"/>
      <c r="D71" s="34" t="n"/>
      <c r="E71" s="35" t="n"/>
      <c r="F71" s="1098" t="n"/>
      <c r="G71" s="1098" t="n"/>
      <c r="H71" s="391" t="n"/>
      <c r="I71" s="1083" t="n"/>
      <c r="J71" s="1083" t="n"/>
      <c r="K71" s="1083" t="n"/>
      <c r="L71" s="1083" t="n"/>
      <c r="M71" s="1083" t="n"/>
      <c r="N71" s="813" t="n"/>
      <c r="O71" s="1083" t="n"/>
    </row>
    <row r="72" ht="15.75" customHeight="1">
      <c r="A72" s="4" t="n"/>
      <c r="B72" s="4" t="n"/>
      <c r="C72" s="4" t="n"/>
      <c r="D72" s="34" t="n"/>
      <c r="E72" s="35" t="n"/>
      <c r="F72" s="1098" t="n"/>
      <c r="G72" s="1098" t="n"/>
      <c r="H72" s="391" t="n"/>
      <c r="I72" s="1083" t="n"/>
      <c r="J72" s="1083" t="n"/>
      <c r="K72" s="1083" t="n"/>
      <c r="L72" s="1083" t="n"/>
      <c r="M72" s="1083" t="n"/>
      <c r="N72" s="813" t="n"/>
      <c r="O72" s="1083" t="n"/>
    </row>
    <row r="73" ht="15.75" customHeight="1">
      <c r="A73" s="4" t="n"/>
      <c r="B73" s="4" t="n"/>
      <c r="C73" s="4" t="n"/>
      <c r="D73" s="34" t="n"/>
      <c r="E73" s="35" t="n"/>
      <c r="F73" s="1098" t="n"/>
      <c r="G73" s="1098" t="n"/>
      <c r="H73" s="391" t="n"/>
      <c r="I73" s="1083" t="n"/>
      <c r="J73" s="1083" t="n"/>
      <c r="K73" s="1083" t="n"/>
      <c r="L73" s="1083" t="n"/>
      <c r="M73" s="1083" t="n"/>
      <c r="N73" s="813" t="n"/>
      <c r="O73" s="1083" t="n"/>
    </row>
    <row r="74" ht="15.75" customHeight="1">
      <c r="A74" s="4" t="n"/>
      <c r="B74" s="4" t="n"/>
      <c r="C74" s="4" t="n"/>
      <c r="D74" s="34" t="n"/>
      <c r="E74" s="35" t="n"/>
      <c r="F74" s="1098" t="n"/>
      <c r="G74" s="1098" t="n"/>
      <c r="H74" s="391" t="n"/>
      <c r="I74" s="1083" t="n"/>
      <c r="J74" s="1083" t="n"/>
      <c r="K74" s="1083" t="n"/>
      <c r="L74" s="1083" t="n"/>
      <c r="M74" s="1083" t="n"/>
      <c r="N74" s="813" t="n"/>
      <c r="O74" s="1083" t="n"/>
    </row>
    <row r="75" ht="15.75" customHeight="1">
      <c r="A75" s="4" t="n"/>
      <c r="B75" s="4" t="n"/>
      <c r="C75" s="4" t="n"/>
      <c r="D75" s="34" t="n"/>
      <c r="E75" s="35" t="n"/>
      <c r="F75" s="1098" t="n"/>
      <c r="G75" s="1098" t="n"/>
      <c r="H75" s="391" t="n"/>
      <c r="I75" s="1083" t="n"/>
      <c r="J75" s="1083" t="n"/>
      <c r="K75" s="1083" t="n"/>
      <c r="L75" s="1083" t="n"/>
      <c r="M75" s="1083" t="n"/>
      <c r="N75" s="813" t="n"/>
      <c r="O75" s="1083" t="n"/>
    </row>
    <row r="76" ht="15.75" customHeight="1">
      <c r="A76" s="4" t="n"/>
      <c r="B76" s="4" t="n"/>
      <c r="C76" s="4" t="n"/>
      <c r="D76" s="34" t="n"/>
      <c r="E76" s="391" t="n"/>
      <c r="F76" s="1083" t="n"/>
      <c r="G76" s="1083" t="n"/>
      <c r="H76" s="391" t="n"/>
      <c r="I76" s="1083" t="n"/>
      <c r="J76" s="1083" t="n"/>
      <c r="K76" s="1083" t="n"/>
      <c r="L76" s="1083" t="n"/>
      <c r="M76" s="1083" t="n"/>
      <c r="N76" s="813" t="n"/>
      <c r="O76" s="1083" t="n"/>
    </row>
    <row r="77">
      <c r="A77" s="1083" t="n"/>
      <c r="B77" s="1083" t="n"/>
      <c r="C77" s="1083" t="n"/>
      <c r="D77" s="390" t="n"/>
      <c r="E77" s="391" t="n"/>
      <c r="F77" s="1083" t="n"/>
      <c r="G77" s="1083" t="n"/>
      <c r="H77" s="391" t="n"/>
      <c r="I77" s="1083" t="n"/>
      <c r="J77" s="1083" t="n"/>
      <c r="K77" s="1083" t="n"/>
      <c r="L77" s="1083" t="n"/>
      <c r="M77" s="1083" t="n"/>
      <c r="N77" s="813" t="n"/>
    </row>
    <row r="78">
      <c r="A78" s="1083" t="n"/>
      <c r="B78" s="1083" t="n"/>
      <c r="C78" s="1083" t="n"/>
      <c r="D78" s="390" t="n"/>
      <c r="E78" s="391" t="n"/>
      <c r="F78" s="1083" t="n"/>
      <c r="G78" s="1083" t="n"/>
      <c r="H78" s="391" t="n"/>
      <c r="I78" s="1083" t="n"/>
      <c r="J78" s="1083" t="n"/>
      <c r="K78" s="1083" t="n"/>
      <c r="L78" s="1083" t="n"/>
      <c r="M78" s="1083" t="n"/>
      <c r="N78" s="813" t="n"/>
    </row>
    <row r="79">
      <c r="A79" s="1083" t="inlineStr">
        <is>
          <t xml:space="preserve">Excentricidad:     </t>
        </is>
      </c>
      <c r="B79" s="1083" t="n"/>
      <c r="C79" s="1083" t="n"/>
      <c r="D79" s="390" t="n"/>
      <c r="E79" s="391" t="n"/>
      <c r="F79" s="1083" t="n"/>
      <c r="G79" s="1083" t="n"/>
      <c r="H79" s="32" t="inlineStr">
        <is>
          <t> </t>
        </is>
      </c>
      <c r="I79" s="1083" t="n"/>
      <c r="J79" s="1083" t="n"/>
      <c r="K79" s="1083" t="n"/>
      <c r="L79" s="1083" t="n"/>
      <c r="M79" s="1083" t="n"/>
      <c r="N79" s="813" t="n"/>
      <c r="O79" s="1083" t="n"/>
    </row>
    <row r="80">
      <c r="A80" s="1083" t="n"/>
      <c r="B80" s="1083">
        <f>'Datos de Ensayos'!F82</f>
        <v/>
      </c>
      <c r="C80" s="1083">
        <f>'Datos de Ensayos'!F68</f>
        <v/>
      </c>
      <c r="D80" s="390" t="n"/>
      <c r="E80" s="391">
        <f>'Datos de Ensayos'!#REF!</f>
        <v/>
      </c>
      <c r="F80" s="1083" t="n"/>
      <c r="G80" s="1083" t="n"/>
      <c r="H80" s="36" t="n">
        <v>2</v>
      </c>
      <c r="I80" s="1083" t="n"/>
      <c r="J80" s="1083" t="n"/>
      <c r="K80" s="1083" t="n"/>
      <c r="L80" s="1083" t="n"/>
      <c r="M80" s="1083" t="n"/>
      <c r="N80" s="813" t="n"/>
      <c r="O80" s="1083" t="n"/>
    </row>
    <row r="81">
      <c r="A81" s="1083" t="inlineStr">
        <is>
          <t xml:space="preserve">Se utilizó una carga aproximada de </t>
        </is>
      </c>
      <c r="B81" s="1083" t="n"/>
      <c r="C81" s="1083" t="n"/>
      <c r="D81" s="390" t="n"/>
      <c r="E81" s="391" t="n"/>
      <c r="F81" s="1083" t="n"/>
      <c r="G81" s="1083" t="n"/>
      <c r="H81" s="391" t="n"/>
      <c r="I81" s="1083" t="n"/>
      <c r="J81" s="1083" t="n"/>
      <c r="K81" s="1083" t="n"/>
      <c r="L81" s="1083" t="n"/>
      <c r="M81" s="1083" t="n"/>
      <c r="N81" s="813" t="n"/>
      <c r="O81" s="1083" t="n"/>
    </row>
    <row r="82">
      <c r="A82" s="1083" t="n"/>
      <c r="B82" s="398">
        <f>TEXT('Datos de Ensayos'!E68,"0")</f>
        <v/>
      </c>
      <c r="C82" s="1083">
        <f>'Datos de Ensayos'!F68</f>
        <v/>
      </c>
      <c r="D82" s="390" t="n"/>
      <c r="E82" s="391">
        <f>+'Datos de Ensayos'!H112</f>
        <v/>
      </c>
      <c r="F82" s="1083" t="n"/>
      <c r="G82" s="1083" t="n"/>
      <c r="H82" s="391" t="n"/>
      <c r="I82" s="1083" t="n"/>
      <c r="J82" s="1083" t="n"/>
      <c r="K82" s="1083" t="n"/>
      <c r="L82" s="1083" t="n"/>
      <c r="M82" s="1083" t="n"/>
      <c r="N82" s="813" t="n"/>
      <c r="O82" s="1083" t="n"/>
    </row>
    <row r="83">
      <c r="A83" s="1083" t="n"/>
      <c r="B83" s="1083" t="n"/>
      <c r="C83" s="1083" t="n"/>
      <c r="D83" s="390" t="n"/>
      <c r="E83" s="391" t="n"/>
      <c r="F83" s="1083" t="n"/>
      <c r="G83" s="1083" t="n"/>
      <c r="H83" s="391" t="n"/>
      <c r="I83" s="1083" t="n"/>
      <c r="J83" s="1083" t="n"/>
      <c r="K83" s="1083" t="n"/>
      <c r="L83" s="1083" t="n"/>
      <c r="M83" s="1083" t="n"/>
      <c r="N83" s="813" t="n"/>
    </row>
    <row r="84">
      <c r="A84" s="1083" t="n"/>
      <c r="B84" s="1083" t="n"/>
      <c r="C84" s="1083" t="n"/>
      <c r="D84" s="390" t="n"/>
      <c r="E84" s="391" t="n"/>
      <c r="F84" s="1083" t="n"/>
      <c r="G84" s="1083" t="n"/>
      <c r="H84" s="391" t="n"/>
      <c r="I84" s="1083" t="n"/>
      <c r="J84" s="1083" t="n"/>
      <c r="K84" s="1083" t="n"/>
      <c r="L84" s="1083" t="n"/>
      <c r="M84" s="1083" t="n"/>
      <c r="N84" s="813" t="n"/>
    </row>
    <row r="85">
      <c r="A85" s="1083">
        <f>IF(#REF!=0,"El instrumento cumple con las tolerancias establecidas en el punto 9.1.1. de la Resolución 2307 de la Secretaría de Comercio ","El instrumento no cumple con las tolerancias establecidas en el punto 9.1.1. de la Resolución 2307 de la Secretaría de Comercio")</f>
        <v/>
      </c>
      <c r="B85" s="1083" t="n"/>
      <c r="C85" s="1083" t="n"/>
      <c r="D85" s="390" t="n"/>
      <c r="E85" s="391" t="n"/>
      <c r="F85" s="1083" t="n"/>
      <c r="G85" s="1083" t="n"/>
      <c r="H85" s="391" t="n"/>
      <c r="I85" s="1083" t="n"/>
      <c r="J85" s="1083" t="n"/>
      <c r="K85" s="1083" t="n"/>
      <c r="L85" s="1083" t="n"/>
      <c r="M85" s="1083" t="n"/>
      <c r="N85" s="813" t="n"/>
      <c r="O85" s="1083" t="n"/>
    </row>
    <row r="86">
      <c r="A86" s="1083" t="n"/>
      <c r="B86" s="1083" t="n"/>
      <c r="C86" s="1083" t="n"/>
      <c r="D86" s="390" t="n"/>
      <c r="E86" s="391" t="n"/>
      <c r="F86" s="1083" t="n"/>
      <c r="G86" s="1083" t="n"/>
      <c r="H86" s="391" t="n"/>
      <c r="I86" s="1083" t="n"/>
      <c r="J86" s="1083" t="n"/>
      <c r="K86" s="1083" t="n"/>
      <c r="L86" s="1083" t="n"/>
      <c r="M86" s="1083" t="n"/>
      <c r="N86" s="813" t="n"/>
    </row>
    <row r="87">
      <c r="A87" s="1083" t="n"/>
      <c r="B87" s="1083" t="n"/>
      <c r="C87" s="1083" t="n"/>
      <c r="D87" s="390" t="n"/>
      <c r="E87" s="391" t="n"/>
      <c r="F87" s="1083" t="n"/>
      <c r="G87" s="1083" t="n"/>
      <c r="H87" s="391" t="n"/>
      <c r="I87" s="1083" t="n"/>
      <c r="J87" s="1083" t="n"/>
      <c r="K87" s="1083" t="n"/>
      <c r="L87" s="1083" t="n"/>
      <c r="M87" s="1083" t="n"/>
      <c r="N87" s="813" t="n"/>
    </row>
    <row r="88">
      <c r="A88" s="1083" t="n"/>
      <c r="B88" s="1083" t="n"/>
      <c r="C88" s="1083" t="n"/>
      <c r="D88" s="390" t="n"/>
      <c r="E88" s="391" t="n"/>
      <c r="F88" s="1083" t="n"/>
      <c r="G88" s="1083" t="n"/>
      <c r="H88" s="391" t="n"/>
      <c r="I88" s="1083" t="n"/>
      <c r="J88" s="1083" t="n"/>
      <c r="K88" s="1083" t="n"/>
      <c r="L88" s="1083" t="n"/>
      <c r="M88" s="1083" t="n"/>
      <c r="N88" s="813" t="n"/>
      <c r="O88" s="1083" t="n"/>
    </row>
    <row r="89" ht="15" customHeight="1">
      <c r="A89" s="1096" t="inlineStr">
        <is>
          <t xml:space="preserve">Los valores de incertidumbre de medición que aparecen en la tabla de errores de indicación fueron calculados combinando la incertidumbre de las pesas patrones, y los componentes asociados a la fidelidad y resolución de la balanza. La incertidumbre standard asociada a las combinaciones de pesas patrones utilizadas resultó siempre menor que </t>
        </is>
      </c>
      <c r="I89" s="1083" t="n"/>
      <c r="J89" s="1083" t="n"/>
      <c r="K89" s="1083" t="n"/>
      <c r="L89" s="1083" t="n"/>
      <c r="M89" s="1083" t="n"/>
      <c r="N89" s="813" t="n"/>
      <c r="O89" s="1083" t="n"/>
    </row>
    <row r="90">
      <c r="I90" s="1083" t="n"/>
      <c r="J90" s="1083" t="n"/>
      <c r="K90" s="1083" t="n"/>
      <c r="L90" s="1083" t="n"/>
      <c r="M90" s="1083" t="n"/>
      <c r="N90" s="813" t="n"/>
      <c r="O90" s="1083" t="n"/>
    </row>
    <row r="91">
      <c r="I91" s="1083" t="n"/>
      <c r="J91" s="1083" t="n"/>
      <c r="K91" s="1083" t="n"/>
      <c r="L91" s="1083" t="n"/>
      <c r="M91" s="1083" t="n"/>
      <c r="N91" s="813" t="n"/>
      <c r="O91" s="1083" t="n"/>
    </row>
    <row r="92">
      <c r="I92" s="1083" t="n"/>
      <c r="J92" s="1083" t="n"/>
      <c r="K92" s="1083" t="n"/>
      <c r="L92" s="1083" t="n"/>
      <c r="M92" s="1083" t="n"/>
      <c r="N92" s="813" t="n"/>
      <c r="O92" s="1083" t="n"/>
    </row>
    <row r="93">
      <c r="I93" s="1083" t="n"/>
      <c r="J93" s="1083" t="n"/>
      <c r="K93" s="1083" t="n"/>
      <c r="L93" s="1083" t="n"/>
      <c r="M93" s="1083" t="n"/>
      <c r="N93" s="813" t="n"/>
      <c r="O93" s="1083" t="n"/>
    </row>
    <row r="94">
      <c r="I94" s="1083" t="n"/>
      <c r="J94" s="1083" t="n"/>
      <c r="K94" s="1083" t="n"/>
      <c r="L94" s="1083" t="n"/>
      <c r="M94" s="1083" t="n"/>
      <c r="N94" s="813" t="n"/>
      <c r="O94" s="1083" t="n"/>
    </row>
    <row r="95">
      <c r="A95" s="1096" t="inlineStr">
        <is>
          <t xml:space="preserve"> kg, para todos los valores de carga aplicados. El componente asociado a la fidelidad fue estimado estadísticamente. El componente asociado a la resolución fue calculado considerando una distribución rectangular a partir de la mínima división de la balanza. La incertidumbre expandida informada fue calculada multiplicando la incertidumbre standard combinada por un factor de cubrimiento k = 2 lo cual corresponde a un nivel de confianza del 95% para una distribución normal.</t>
        </is>
      </c>
      <c r="I95" s="1083" t="n"/>
      <c r="J95" s="1083" t="n"/>
      <c r="K95" s="1083" t="n"/>
      <c r="L95" s="1083" t="n"/>
      <c r="M95" s="1083" t="n"/>
      <c r="N95" s="813" t="n"/>
      <c r="O95" s="1083" t="n"/>
    </row>
    <row r="96">
      <c r="I96" s="1083" t="n"/>
      <c r="J96" s="1083" t="n"/>
      <c r="K96" s="1083" t="n"/>
      <c r="L96" s="1083" t="n"/>
      <c r="M96" s="1083" t="n"/>
      <c r="N96" s="813" t="n"/>
      <c r="O96" s="1083" t="n"/>
    </row>
    <row r="97">
      <c r="I97" s="1083" t="n"/>
      <c r="J97" s="1083" t="n"/>
      <c r="K97" s="1083" t="n"/>
      <c r="L97" s="1083" t="n"/>
      <c r="M97" s="1083" t="n"/>
      <c r="N97" s="813" t="n"/>
      <c r="O97" s="1083" t="n"/>
    </row>
    <row r="98">
      <c r="I98" s="1083" t="n"/>
      <c r="J98" s="1083" t="n"/>
      <c r="K98" s="1083" t="n"/>
      <c r="L98" s="1083" t="n"/>
      <c r="M98" s="1083" t="n"/>
      <c r="N98" s="813" t="n"/>
      <c r="O98" s="1083" t="n"/>
    </row>
    <row r="99">
      <c r="I99" s="1083" t="n"/>
      <c r="J99" s="1083" t="n"/>
      <c r="K99" s="1083" t="n"/>
      <c r="L99" s="1083" t="n"/>
      <c r="M99" s="1083" t="n"/>
      <c r="N99" s="813" t="n"/>
      <c r="O99" s="1083" t="n"/>
    </row>
    <row r="100">
      <c r="A100" s="1083" t="n"/>
      <c r="B100" s="1083" t="n"/>
      <c r="C100" s="1083" t="n"/>
      <c r="D100" s="390" t="n"/>
      <c r="E100" s="391" t="n"/>
      <c r="F100" s="1083" t="n"/>
      <c r="G100" s="1083" t="n"/>
      <c r="H100" s="391" t="n"/>
      <c r="I100" s="1083" t="n"/>
      <c r="J100" s="1083" t="n"/>
      <c r="K100" s="1083" t="n"/>
      <c r="L100" s="1083" t="n"/>
      <c r="M100" s="1083" t="n"/>
      <c r="N100" s="813" t="n"/>
      <c r="O100" s="1083" t="n"/>
    </row>
    <row r="101">
      <c r="A101" s="1083" t="n"/>
      <c r="B101" s="1083" t="n"/>
      <c r="C101" s="1083" t="n"/>
      <c r="D101" s="390" t="n"/>
      <c r="E101" s="391" t="n"/>
      <c r="F101" s="1083" t="n"/>
      <c r="G101" s="1083" t="n"/>
      <c r="H101" s="391" t="n"/>
      <c r="I101" s="1083" t="n"/>
      <c r="J101" s="1083" t="n"/>
      <c r="K101" s="1083" t="n"/>
      <c r="L101" s="1083" t="n"/>
      <c r="M101" s="1083" t="n"/>
      <c r="N101" s="813" t="n"/>
      <c r="O101" s="1083" t="n"/>
    </row>
    <row r="102">
      <c r="A102" s="1083" t="n"/>
      <c r="B102" s="1083" t="n"/>
      <c r="C102" s="1083" t="n"/>
      <c r="D102" s="390" t="n"/>
      <c r="E102" s="391" t="n"/>
      <c r="F102" s="1083" t="n"/>
      <c r="G102" s="1083" t="n"/>
      <c r="H102" s="391" t="n"/>
      <c r="I102" s="1083" t="n"/>
      <c r="J102" s="1083" t="n"/>
      <c r="K102" s="1083" t="n"/>
      <c r="L102" s="1083" t="n"/>
      <c r="M102" s="1083" t="n"/>
      <c r="N102" s="813" t="n"/>
    </row>
    <row r="103">
      <c r="A103" s="1083" t="n"/>
      <c r="B103" s="1083" t="n"/>
      <c r="C103" s="1083" t="n"/>
      <c r="D103" s="390" t="n"/>
      <c r="E103" s="391" t="n"/>
      <c r="F103" s="1083" t="n"/>
      <c r="G103" s="1083" t="n"/>
      <c r="H103" s="391" t="n"/>
      <c r="I103" s="1083" t="n"/>
      <c r="J103" s="1083" t="n"/>
      <c r="K103" s="1083" t="n"/>
      <c r="L103" s="1083" t="n"/>
      <c r="M103" s="1083" t="n"/>
      <c r="N103" s="813" t="n"/>
    </row>
    <row r="104">
      <c r="A104" s="1083" t="n"/>
      <c r="B104" s="1083" t="n"/>
      <c r="C104" s="1083" t="n"/>
      <c r="D104" s="390" t="n"/>
      <c r="E104" s="391" t="n"/>
      <c r="F104" s="1083" t="n"/>
      <c r="G104" s="1083" t="n"/>
      <c r="H104" s="391" t="n"/>
      <c r="I104" s="1083" t="n"/>
      <c r="J104" s="1083" t="n"/>
      <c r="K104" s="1083" t="n"/>
      <c r="L104" s="1083" t="n"/>
      <c r="M104" s="1083" t="n"/>
      <c r="N104" s="813" t="n"/>
    </row>
    <row r="105">
      <c r="A105" s="1083" t="n"/>
      <c r="B105" s="1083" t="n"/>
      <c r="C105" s="1083" t="n"/>
      <c r="D105" s="390" t="n"/>
      <c r="E105" s="391" t="n"/>
      <c r="F105" s="1083" t="n"/>
      <c r="G105" s="1083" t="n"/>
      <c r="H105" s="391" t="n"/>
      <c r="I105" s="1083" t="n"/>
      <c r="J105" s="1083" t="n"/>
      <c r="K105" s="1083" t="n"/>
      <c r="L105" s="1083" t="n"/>
      <c r="M105" s="1083" t="n"/>
      <c r="N105" s="813" t="n"/>
    </row>
    <row r="106">
      <c r="A106" s="1083" t="n"/>
      <c r="B106" s="1083" t="n"/>
      <c r="C106" s="1083" t="n"/>
      <c r="D106" s="390" t="n"/>
      <c r="E106" s="391" t="n"/>
      <c r="F106" s="1083" t="n"/>
      <c r="G106" s="1083" t="n"/>
      <c r="H106" s="391" t="n"/>
      <c r="I106" s="1083" t="n"/>
      <c r="J106" s="1083" t="n"/>
      <c r="K106" s="1083" t="n"/>
      <c r="L106" s="1083" t="n"/>
      <c r="M106" s="1083" t="n"/>
      <c r="N106" s="813" t="n"/>
    </row>
    <row r="107">
      <c r="A107" s="1083" t="n"/>
      <c r="B107" s="1083" t="n"/>
      <c r="C107" s="1083" t="n"/>
      <c r="D107" s="390" t="n"/>
      <c r="E107" s="391" t="n"/>
      <c r="F107" s="1083" t="n"/>
      <c r="G107" s="1083" t="n"/>
      <c r="H107" s="391" t="n"/>
      <c r="I107" s="1083" t="n"/>
      <c r="J107" s="1083" t="n"/>
      <c r="K107" s="1083" t="n"/>
      <c r="L107" s="1083" t="n"/>
      <c r="M107" s="1083" t="n"/>
      <c r="N107" s="813" t="n"/>
    </row>
    <row r="108">
      <c r="A108" s="1083" t="n"/>
      <c r="B108" s="1083" t="n"/>
      <c r="C108" s="1083" t="n"/>
      <c r="D108" s="390" t="n"/>
      <c r="E108" s="391" t="n"/>
      <c r="F108" s="1083" t="n"/>
      <c r="G108" s="1083" t="n"/>
      <c r="H108" s="391" t="n"/>
      <c r="I108" s="1083" t="n"/>
      <c r="J108" s="1083" t="n"/>
      <c r="K108" s="1083" t="n"/>
      <c r="L108" s="1083" t="n"/>
      <c r="M108" s="1083" t="n"/>
      <c r="N108" s="813" t="n"/>
    </row>
    <row r="109">
      <c r="A109" s="1083" t="n"/>
      <c r="B109" s="1083" t="n"/>
      <c r="C109" s="1083" t="n"/>
      <c r="D109" s="390" t="n"/>
      <c r="E109" s="391" t="n"/>
      <c r="F109" s="1083" t="n"/>
      <c r="G109" s="1083" t="n"/>
      <c r="H109" s="391" t="n"/>
      <c r="I109" s="1083" t="n"/>
      <c r="J109" s="1083" t="n"/>
      <c r="K109" s="1083" t="n"/>
      <c r="L109" s="1083" t="n"/>
      <c r="M109" s="1083" t="n"/>
      <c r="N109" s="813" t="n"/>
    </row>
    <row r="110">
      <c r="A110" s="1083" t="n"/>
      <c r="B110" s="1083" t="n"/>
      <c r="C110" s="1083" t="n"/>
      <c r="D110" s="390" t="n"/>
      <c r="E110" s="391" t="n"/>
      <c r="F110" s="1083" t="n"/>
      <c r="G110" s="1083" t="n"/>
      <c r="H110" s="391" t="n"/>
      <c r="I110" s="1083" t="n"/>
      <c r="J110" s="1083" t="n"/>
      <c r="K110" s="1083" t="n"/>
      <c r="L110" s="1083" t="n"/>
      <c r="M110" s="1083" t="n"/>
      <c r="N110" s="813" t="n"/>
    </row>
    <row r="111">
      <c r="A111" s="1083" t="n"/>
      <c r="B111" s="1083" t="n"/>
      <c r="C111" s="1083" t="n"/>
      <c r="D111" s="390" t="n"/>
      <c r="E111" s="391" t="n"/>
      <c r="F111" s="1083" t="n"/>
      <c r="G111" s="1083" t="n"/>
      <c r="H111" s="391" t="n"/>
      <c r="I111" s="1083" t="n"/>
      <c r="J111" s="1083" t="n"/>
      <c r="K111" s="1083" t="n"/>
      <c r="L111" s="1083" t="n"/>
      <c r="M111" s="1083" t="n"/>
      <c r="N111" s="813" t="n"/>
    </row>
    <row r="112">
      <c r="A112" s="1083" t="n"/>
      <c r="B112" s="1083" t="n"/>
      <c r="C112" s="1083" t="n"/>
      <c r="D112" s="390" t="n"/>
      <c r="E112" s="391" t="n"/>
      <c r="F112" s="1083" t="n"/>
      <c r="G112" s="1083" t="n"/>
      <c r="H112" s="391" t="n"/>
      <c r="I112" s="1083" t="n"/>
      <c r="J112" s="1083" t="n"/>
      <c r="K112" s="1083" t="n"/>
      <c r="L112" s="1083" t="n"/>
      <c r="M112" s="1083" t="n"/>
      <c r="N112" s="813" t="n"/>
    </row>
    <row r="113">
      <c r="N113" s="813" t="n"/>
    </row>
    <row r="114">
      <c r="N114" s="813" t="n"/>
    </row>
    <row r="115">
      <c r="N115" s="813" t="n"/>
    </row>
    <row r="116">
      <c r="N116" s="813" t="n"/>
    </row>
    <row r="117">
      <c r="N117" s="813" t="n"/>
    </row>
    <row r="118">
      <c r="N118" s="813" t="n"/>
    </row>
    <row r="119">
      <c r="N119" s="813" t="n"/>
    </row>
    <row r="120">
      <c r="N120" s="813" t="n"/>
    </row>
    <row r="121">
      <c r="N121" s="813" t="n"/>
    </row>
  </sheetData>
  <mergeCells count="67">
    <mergeCell ref="A9:H9"/>
    <mergeCell ref="D20:E20"/>
    <mergeCell ref="G21:H21"/>
    <mergeCell ref="A15:H15"/>
    <mergeCell ref="B25:C25"/>
    <mergeCell ref="L24:T24"/>
    <mergeCell ref="D19:E19"/>
    <mergeCell ref="N5:S5"/>
    <mergeCell ref="B22:C22"/>
    <mergeCell ref="A11:H11"/>
    <mergeCell ref="D22:E22"/>
    <mergeCell ref="G23:H23"/>
    <mergeCell ref="B33:H33"/>
    <mergeCell ref="A1:B1"/>
    <mergeCell ref="A89:H94"/>
    <mergeCell ref="A26:C26"/>
    <mergeCell ref="A6:H6"/>
    <mergeCell ref="D21:E21"/>
    <mergeCell ref="B21:C21"/>
    <mergeCell ref="D28:F28"/>
    <mergeCell ref="G22:H22"/>
    <mergeCell ref="A7:H7"/>
    <mergeCell ref="J24:K24"/>
    <mergeCell ref="B35:H35"/>
    <mergeCell ref="A16:H16"/>
    <mergeCell ref="A5:F5"/>
    <mergeCell ref="G19:H19"/>
    <mergeCell ref="B23:C23"/>
    <mergeCell ref="G28:H28"/>
    <mergeCell ref="C17:H17"/>
    <mergeCell ref="A29:C29"/>
    <mergeCell ref="A27:H27"/>
    <mergeCell ref="A18:H18"/>
    <mergeCell ref="A28:C28"/>
    <mergeCell ref="A12:H12"/>
    <mergeCell ref="M25:T25"/>
    <mergeCell ref="A19:C19"/>
    <mergeCell ref="J20:K20"/>
    <mergeCell ref="N15:S15"/>
    <mergeCell ref="G24:H24"/>
    <mergeCell ref="G5:H5"/>
    <mergeCell ref="A14:H14"/>
    <mergeCell ref="A30:C30"/>
    <mergeCell ref="A17:B17"/>
    <mergeCell ref="A32:H32"/>
    <mergeCell ref="D3:E3"/>
    <mergeCell ref="A8:H8"/>
    <mergeCell ref="G26:H26"/>
    <mergeCell ref="D25:E25"/>
    <mergeCell ref="A4:H4"/>
    <mergeCell ref="G20:H20"/>
    <mergeCell ref="J21:K21"/>
    <mergeCell ref="I22:O22"/>
    <mergeCell ref="D24:E24"/>
    <mergeCell ref="A95:H99"/>
    <mergeCell ref="D30:H30"/>
    <mergeCell ref="B24:C24"/>
    <mergeCell ref="B20:C20"/>
    <mergeCell ref="G25:H25"/>
    <mergeCell ref="D23:E23"/>
    <mergeCell ref="A10:H10"/>
    <mergeCell ref="D29:H29"/>
    <mergeCell ref="A13:H13"/>
    <mergeCell ref="J23:K23"/>
    <mergeCell ref="D26:E26"/>
    <mergeCell ref="B34:H34"/>
    <mergeCell ref="C1:H1"/>
  </mergeCells>
  <conditionalFormatting sqref="J19">
    <cfRule type="expression" priority="21" dxfId="17" stopIfTrue="1">
      <formula>$L$19&gt;0</formula>
    </cfRule>
  </conditionalFormatting>
  <conditionalFormatting sqref="J20">
    <cfRule type="expression" priority="20" dxfId="17" stopIfTrue="1">
      <formula>$L$20&gt;0</formula>
    </cfRule>
  </conditionalFormatting>
  <conditionalFormatting sqref="J21 J25:K27">
    <cfRule type="expression" priority="19" dxfId="17" stopIfTrue="1">
      <formula>$L$21&gt;0</formula>
    </cfRule>
  </conditionalFormatting>
  <conditionalFormatting sqref="J23">
    <cfRule type="expression" priority="23" dxfId="17" stopIfTrue="1">
      <formula>$L$23&gt;0</formula>
    </cfRule>
  </conditionalFormatting>
  <conditionalFormatting sqref="J24:K24">
    <cfRule type="expression" priority="24" dxfId="17" stopIfTrue="1">
      <formula>$L$24&gt;0</formula>
    </cfRule>
  </conditionalFormatting>
  <printOptions horizontalCentered="1" verticalCentered="1"/>
  <pageMargins left="0.3937007874015748" right="0.3937007874015748" top="0.5905511811023623" bottom="1.574803149606299" header="0.5905511811023623" footer="1.181102362204725"/>
  <pageSetup orientation="portrait" paperSize="9" scale="80"/>
  <headerFooter alignWithMargins="0">
    <oddHeader>&amp;C&amp;G</oddHeader>
    <oddFooter>&amp;C&amp;"Arial,Negrita"&amp;8 Los resultados consignados se refieren a la muestra recibida y el INTI declina toda responsabilidad por el uso indebido_x000a_ o incorrecto que se hiciere de este informe. Está prohibida la reproducción parcial del presente certificado_x000a__x000a_&amp;G</oddFooter>
    <evenHeader/>
    <evenFooter/>
    <firstHeader/>
    <firstFooter/>
  </headerFooter>
</worksheet>
</file>

<file path=xl/worksheets/sheet6.xml><?xml version="1.0" encoding="utf-8"?>
<worksheet xmlns="http://schemas.openxmlformats.org/spreadsheetml/2006/main">
  <sheetPr codeName="Hoja9">
    <outlinePr summaryBelow="1" summaryRight="1"/>
    <pageSetUpPr/>
  </sheetPr>
  <dimension ref="A1:L2"/>
  <sheetViews>
    <sheetView zoomScaleNormal="100" workbookViewId="0">
      <selection activeCell="E1" sqref="E1"/>
    </sheetView>
  </sheetViews>
  <sheetFormatPr baseColWidth="10" defaultColWidth="10.7109375" defaultRowHeight="12.75"/>
  <cols>
    <col width="17" customWidth="1" style="668" min="1" max="9"/>
    <col width="18.28515625" customWidth="1" style="668" min="10" max="10"/>
    <col width="17" customWidth="1" style="668" min="11" max="12"/>
  </cols>
  <sheetData>
    <row r="1" ht="75" customFormat="1" customHeight="1" s="1157">
      <c r="A1" s="674" t="inlineStr">
        <is>
          <t>Identificacion del solicitante</t>
        </is>
      </c>
      <c r="B1" s="674" t="inlineStr">
        <is>
          <t>C.U.I.T. del solicitante</t>
        </is>
      </c>
      <c r="C1" s="674" t="inlineStr">
        <is>
          <t>Número de Certificado</t>
        </is>
      </c>
      <c r="D1" s="674" t="inlineStr">
        <is>
          <t>Denominacion del instrumento</t>
        </is>
      </c>
      <c r="E1" s="674" t="inlineStr">
        <is>
          <t>Marca</t>
        </is>
      </c>
      <c r="F1" s="674" t="inlineStr">
        <is>
          <t>Modelo</t>
        </is>
      </c>
      <c r="G1" s="674" t="inlineStr">
        <is>
          <t>Origen</t>
        </is>
      </c>
      <c r="H1" s="674" t="inlineStr">
        <is>
          <t>Numero de serie</t>
        </is>
      </c>
      <c r="I1" s="674" t="inlineStr">
        <is>
          <t>Ubicación del instrumento (solo para instrumentos de instalacion fija)</t>
        </is>
      </c>
      <c r="J1" s="674" t="inlineStr">
        <is>
          <t>Fecha de emision del certificado</t>
        </is>
      </c>
      <c r="K1" s="674" t="inlineStr">
        <is>
          <t>Laboratorio interviniente</t>
        </is>
      </c>
      <c r="L1" s="673" t="inlineStr">
        <is>
          <t>Numero de informe de ensayo emitido por el laboratorio interviniente</t>
        </is>
      </c>
    </row>
    <row r="2" ht="138" customFormat="1" customHeight="1" s="1157">
      <c r="A2" s="675">
        <f>'Identificación del Instrumento'!B33</f>
        <v/>
      </c>
      <c r="B2" s="675">
        <f>'Identificación del Instrumento'!B34</f>
        <v/>
      </c>
      <c r="C2" s="676" t="inlineStr">
        <is>
          <t>Para completar por OC</t>
        </is>
      </c>
      <c r="D2" s="677">
        <f>+Informe!A6</f>
        <v/>
      </c>
      <c r="E2" s="677">
        <f>Informe!A8</f>
        <v/>
      </c>
      <c r="F2" s="677">
        <f>Informe!A9</f>
        <v/>
      </c>
      <c r="G2" s="677">
        <f>Informe!A11</f>
        <v/>
      </c>
      <c r="H2" s="677">
        <f>Informe!A10</f>
        <v/>
      </c>
      <c r="I2" s="677">
        <f>Informe!A16</f>
        <v/>
      </c>
      <c r="J2" s="678" t="inlineStr">
        <is>
          <t>Para completar por OC</t>
        </is>
      </c>
      <c r="K2" s="677" t="inlineStr">
        <is>
          <t>INTI DT de METROLOGIA LEGAL</t>
        </is>
      </c>
      <c r="L2" s="677">
        <f>+Informe!A5</f>
        <v/>
      </c>
    </row>
  </sheetData>
  <pageMargins left="0.7" right="0.7" top="0.75" bottom="0.75" header="0.3" footer="0.3"/>
  <pageSetup orientation="portrait"/>
</worksheet>
</file>

<file path=xl/worksheets/sheet7.xml><?xml version="1.0" encoding="utf-8"?>
<worksheet xmlns="http://schemas.openxmlformats.org/spreadsheetml/2006/main">
  <sheetPr codeName="Hoja10">
    <outlinePr summaryBelow="1" summaryRight="1"/>
    <pageSetUpPr fitToPage="1"/>
  </sheetPr>
  <dimension ref="A1:T50"/>
  <sheetViews>
    <sheetView topLeftCell="A18" zoomScale="115" zoomScaleNormal="115" workbookViewId="0">
      <selection activeCell="F26" sqref="F26"/>
    </sheetView>
  </sheetViews>
  <sheetFormatPr baseColWidth="10" defaultColWidth="10.7109375" defaultRowHeight="12.75"/>
  <cols>
    <col width="40.85546875" customWidth="1" min="1" max="1"/>
    <col width="9.85546875" customWidth="1" min="9" max="9"/>
  </cols>
  <sheetData>
    <row r="1">
      <c r="F1" s="1118" t="inlineStr">
        <is>
          <t>Fecha de emisión:</t>
        </is>
      </c>
      <c r="H1" s="1116">
        <f>TODAY()</f>
        <v/>
      </c>
    </row>
    <row r="2">
      <c r="F2" s="1118" t="inlineStr">
        <is>
          <t>Fecha de vencimiento:</t>
        </is>
      </c>
      <c r="H2" s="1117">
        <f>+Informe!D30</f>
        <v/>
      </c>
    </row>
    <row r="4">
      <c r="M4" s="1086" t="n"/>
    </row>
    <row r="8" ht="39" customHeight="1">
      <c r="A8" s="1115" t="inlineStr">
        <is>
          <t>CERTIFICADO DE VERIFICACION PERIODICA N° ML-VPE-301-INTI-2307/80-0001</t>
        </is>
      </c>
    </row>
    <row r="9" hidden="1"/>
    <row r="10" hidden="1"/>
    <row r="11" hidden="1"/>
    <row r="12" ht="105.75" customHeight="1">
      <c r="A12" s="760">
        <f>CONCATENATE(
  "En virtud de la presentación realizada por la firma ",
  'Identificación del Instrumento'!B33,
  ", C.U.I.T. Nº ", 'Identificación del Instrumento'!B34,
  " habiéndose analizado los antecedentes y considerando que se han cumplido con los requisitos establecidos, se certifica que el instrumento presentado a la Verificación periódica, reúne los requisitos establecidos en la Resolución ex - S. C. I. Nº 611/2019",
  " y sus modificatorias y cumple con las especificaciones y tolerancias establecidas en el Reglamento Técnico y Metrológico Aplicable, según los “Informes de Ensayos” correspondiente a los Números:",
  'Identificación del Instrumento'!B4, ", emitido por el laboratorio INTI -DT Metrología Legal "
)</f>
        <v/>
      </c>
    </row>
    <row r="14" ht="15" customHeight="1">
      <c r="A14" s="392">
        <f>+Informe!A7</f>
        <v/>
      </c>
    </row>
    <row r="15" ht="15" customHeight="1">
      <c r="A15" s="392">
        <f>+Informe!A6</f>
        <v/>
      </c>
    </row>
    <row r="16" ht="15" customFormat="1" customHeight="1" s="392">
      <c r="A16" s="392">
        <f>Informe!A8</f>
        <v/>
      </c>
    </row>
    <row r="17" ht="15" customFormat="1" customHeight="1" s="392">
      <c r="A17" s="392">
        <f>+Informe!A9</f>
        <v/>
      </c>
    </row>
    <row r="18" ht="15" customFormat="1" customHeight="1" s="392">
      <c r="A18" s="392">
        <f>+Informe!A10</f>
        <v/>
      </c>
    </row>
    <row r="19" ht="15" customFormat="1" customHeight="1" s="392">
      <c r="A19" s="392">
        <f>Informe!A11</f>
        <v/>
      </c>
    </row>
    <row r="20" ht="15" customHeight="1">
      <c r="A20" s="392" t="inlineStr">
        <is>
          <t>Cantidad: 1</t>
        </is>
      </c>
    </row>
    <row r="21" ht="15" customHeight="1">
      <c r="A21" s="392" t="inlineStr">
        <is>
          <t xml:space="preserve">Características metrológicas:    </t>
        </is>
      </c>
      <c r="B21" s="392" t="n"/>
    </row>
    <row r="22" ht="15" customHeight="1">
      <c r="A22" s="392" t="n"/>
      <c r="B22" s="392" t="inlineStr">
        <is>
          <t>Máx.:</t>
        </is>
      </c>
      <c r="C22" s="31">
        <f>'Identificación del Instrumento'!D29</f>
        <v/>
      </c>
    </row>
    <row r="23" ht="15" customHeight="1">
      <c r="A23" s="392" t="n"/>
      <c r="B23" s="392" t="inlineStr">
        <is>
          <t>Mín.:</t>
        </is>
      </c>
      <c r="C23" s="31">
        <f>'Identificación del Instrumento'!F29</f>
        <v/>
      </c>
    </row>
    <row r="24" ht="15" customHeight="1">
      <c r="A24" s="392" t="n"/>
      <c r="B24" s="392" t="inlineStr">
        <is>
          <t>e:dd:</t>
        </is>
      </c>
      <c r="C24" s="31">
        <f>'Identificación del Instrumento'!B30</f>
        <v/>
      </c>
    </row>
    <row r="25" ht="15" customHeight="1">
      <c r="A25" s="392" t="n"/>
      <c r="B25" s="392" t="inlineStr">
        <is>
          <t>Clase</t>
        </is>
      </c>
      <c r="C25" s="1117">
        <f>'Identificación del Instrumento'!F30</f>
        <v/>
      </c>
    </row>
    <row r="26" ht="15" customHeight="1">
      <c r="A26" s="392">
        <f>Informe!A16</f>
        <v/>
      </c>
    </row>
    <row r="27" ht="15" customHeight="1">
      <c r="A27" s="392" t="inlineStr">
        <is>
          <t>Responsable:</t>
        </is>
      </c>
      <c r="B27" s="31">
        <f>+Informe!B33</f>
        <v/>
      </c>
    </row>
    <row r="28" ht="15" customHeight="1">
      <c r="A28" s="392" t="inlineStr">
        <is>
          <t>Reglamento Metrologico aplicable:</t>
        </is>
      </c>
      <c r="B28" s="392" t="inlineStr">
        <is>
          <t xml:space="preserve">Resolución de la ex-SECYNEI Nº 2307/1980 y su modificatoria. </t>
        </is>
      </c>
    </row>
    <row r="29" ht="15" customHeight="1">
      <c r="A29" s="392" t="inlineStr">
        <is>
          <t>Fecha de finalizacion de los ensayos:</t>
        </is>
      </c>
      <c r="B29">
        <f>Informe!D28</f>
        <v/>
      </c>
    </row>
    <row r="30" ht="15" customHeight="1">
      <c r="A30" s="392">
        <f>Informe!A14</f>
        <v/>
      </c>
    </row>
    <row r="31" ht="15" customHeight="1">
      <c r="A31" s="392">
        <f>Informe!A12</f>
        <v/>
      </c>
      <c r="B31" s="392" t="n"/>
    </row>
    <row r="32" ht="15" customHeight="1">
      <c r="A32" s="392">
        <f>Informe!A13</f>
        <v/>
      </c>
    </row>
    <row r="33" ht="15" customHeight="1">
      <c r="A33" s="392" t="inlineStr">
        <is>
          <t>Fecha de aprobacion de variante:</t>
        </is>
      </c>
      <c r="B33" s="392" t="inlineStr">
        <is>
          <t>No aplica</t>
        </is>
      </c>
    </row>
    <row r="34" ht="15" customHeight="1">
      <c r="A34" s="392" t="inlineStr">
        <is>
          <t>Nro. aprobacion de variante de modelo:</t>
        </is>
      </c>
      <c r="B34" s="392" t="inlineStr">
        <is>
          <t>No aplica</t>
        </is>
      </c>
    </row>
    <row r="35" ht="15" customHeight="1">
      <c r="A35" s="392" t="inlineStr">
        <is>
          <t>Fecha de aprobacion de variante de modelo:</t>
        </is>
      </c>
      <c r="B35" s="392" t="inlineStr">
        <is>
          <t>No aplica</t>
        </is>
      </c>
    </row>
    <row r="36" ht="31.5" customHeight="1">
      <c r="A36" s="392" t="inlineStr">
        <is>
          <t>Numero de precintos:</t>
        </is>
      </c>
      <c r="B36" s="1113">
        <f>+Informe!A15</f>
        <v/>
      </c>
    </row>
    <row r="37" ht="15" customHeight="1">
      <c r="A37" s="392" t="inlineStr">
        <is>
          <t>Resultado de la verificacion periodica</t>
        </is>
      </c>
      <c r="B37" s="1114" t="inlineStr">
        <is>
          <t>El instrumento satisface los requisitos reglamentarios</t>
        </is>
      </c>
    </row>
    <row r="38" ht="15" customHeight="1">
      <c r="A38" s="392" t="inlineStr">
        <is>
          <t>Nota: Orden de trabajo OC</t>
        </is>
      </c>
      <c r="B38" s="670" t="n"/>
    </row>
    <row r="41">
      <c r="H41" s="392" t="inlineStr">
        <is>
          <t>Fin del certificado</t>
        </is>
      </c>
    </row>
    <row r="50">
      <c r="A50" s="1086">
        <f>IF(OR(ISBLANK('Identificación del Instrumento'!B22),ISBLANK('Identificación del Instrumento'!D29),ISBLANK('Identificación del Instrumento'!D30),ISBLANK('Identificación del Instrumento'!F30)),"",CONCATENATE("Características metrológicas:    Máx.: ",'Datos de Ensayos'!I18," kg,","   e:dd: ",'Datos de Ensayos'!E18," kg,   clase: ",'Datos de Ensayos'!J17,""))</f>
        <v/>
      </c>
    </row>
  </sheetData>
  <mergeCells count="10">
    <mergeCell ref="A50:H50"/>
    <mergeCell ref="F2:G2"/>
    <mergeCell ref="H2:I2"/>
    <mergeCell ref="H1:I1"/>
    <mergeCell ref="B36:I36"/>
    <mergeCell ref="B37:I37"/>
    <mergeCell ref="A8:I8"/>
    <mergeCell ref="A12:I12"/>
    <mergeCell ref="F1:G1"/>
    <mergeCell ref="M4:T4"/>
  </mergeCells>
  <pageMargins left="0.7086614173228347" right="0.7086614173228347" top="0.7480314960629921" bottom="0.7480314960629921" header="0.3149606299212598" footer="0.3149606299212598"/>
  <pageSetup orientation="portrait" paperSize="9" scale="68"/>
</worksheet>
</file>

<file path=xl/worksheets/sheet8.xml><?xml version="1.0" encoding="utf-8"?>
<worksheet xmlns="http://schemas.openxmlformats.org/spreadsheetml/2006/main">
  <sheetPr codeName="Hoja7">
    <outlinePr summaryBelow="1" summaryRight="1"/>
    <pageSetUpPr fitToPage="1"/>
  </sheetPr>
  <dimension ref="A1:AE67"/>
  <sheetViews>
    <sheetView view="pageBreakPreview" topLeftCell="A5" zoomScaleNormal="100" zoomScaleSheetLayoutView="100" workbookViewId="0">
      <selection activeCell="L10" sqref="L10:Q10"/>
    </sheetView>
  </sheetViews>
  <sheetFormatPr baseColWidth="10" defaultColWidth="10.7109375" defaultRowHeight="12.75"/>
  <cols>
    <col width="12.7109375" customWidth="1" min="1" max="8"/>
    <col width="11.42578125" customWidth="1" min="9" max="10"/>
    <col width="15.140625" customWidth="1" min="11" max="11"/>
    <col width="17.140625" customWidth="1" min="12" max="12"/>
    <col width="11.42578125" customWidth="1" min="13" max="13"/>
    <col width="12.28515625" bestFit="1" customWidth="1" min="14" max="14"/>
    <col width="11.42578125" customWidth="1" min="15" max="18"/>
    <col width="16" customWidth="1" min="19" max="19"/>
    <col width="34.85546875" customWidth="1" min="20" max="20"/>
    <col width="35.140625" customWidth="1" min="22" max="22"/>
  </cols>
  <sheetData>
    <row r="1" hidden="1" ht="15" customHeight="1">
      <c r="A1" s="529" t="n"/>
      <c r="B1" s="529" t="n"/>
      <c r="C1" s="529" t="n"/>
      <c r="D1" s="529" t="n"/>
      <c r="E1" s="529" t="n"/>
      <c r="F1" s="529" t="n"/>
      <c r="G1" s="529" t="n"/>
      <c r="H1" s="529" t="n"/>
    </row>
    <row r="2" hidden="1" ht="15" customHeight="1">
      <c r="A2" s="529" t="n"/>
      <c r="B2" s="529" t="n"/>
      <c r="C2" s="529" t="n"/>
      <c r="D2" s="529" t="n"/>
      <c r="E2" s="529" t="n"/>
      <c r="F2" s="529" t="n"/>
      <c r="G2" s="529" t="n"/>
      <c r="H2" s="529" t="n"/>
    </row>
    <row r="3" ht="15" customHeight="1">
      <c r="A3" s="529" t="n"/>
      <c r="B3" s="529" t="n"/>
      <c r="C3" s="529" t="n"/>
      <c r="D3" s="529" t="n"/>
      <c r="E3" s="529" t="n"/>
      <c r="F3" s="529" t="n"/>
      <c r="G3" s="529" t="n"/>
      <c r="H3" s="529" t="n"/>
      <c r="N3">
        <f>CONCATENATE("En la localidad de ",'Identificación del Instrumento'!$D$4,", provincia de ",'Identificación del Instrumento'!$D$5,", siendo las ",$J$18," horas del día ",TEXT('Identificación del Instrumento'!J2,"d/mm/yyyy"),", en virtud de la solicitud y declaración jurada presentada por la firma ",'Identificación del Instrumento'!$C$14,", conforme el punto ",$J$27,"  de la Resolución Nº 611/2019 de la SECRETARÍA DE COMERCIO INTERIOR, el ",$T$18,", ",$T$19,", habilitado por el INSTITUTO NACIONAL DE TECNOLOGÍA INDUSTRIAL (I.N.T.I.), con credencial acreditante N° ",$T$20,", que en este acto se exhibe")</f>
        <v/>
      </c>
    </row>
    <row r="4" ht="15" customHeight="1">
      <c r="A4" s="529" t="n"/>
      <c r="B4" s="529" t="n"/>
      <c r="C4" s="529" t="n"/>
      <c r="D4" s="529" t="n"/>
      <c r="E4" s="529" t="n"/>
      <c r="F4" s="529" t="n"/>
      <c r="G4" s="529" t="n"/>
      <c r="H4" s="529" t="n"/>
      <c r="I4" s="507" t="n"/>
      <c r="N4">
        <f>CONCATENATE(", en ejecución y en ejercicio de las facultades conferidas por la ley Nº 19.511, "&amp;" el inciso l) del Artículo 2 del Decreto Reglamentario N° 960/2017, el inciso ",L28, " del Artículo 1 de la Resolución E 8/2018 del 10 de enero del 2018 de la Secretaría de Comercio y los puntos ",$J$26,"  ambos del Anexo I la citada Resolución Nº 611/2019, procede a hacerse presente en ",$J$23,"la firma citada, ubicada en ",$J$22,", siendo recibido por quien acredita ser ",$K$19,", ",$J$20," Nº ",$K$20,", quien se desempeña en la firma como ",$J$21," y suscribe este instrumento en prueba de conformidad.")</f>
        <v/>
      </c>
    </row>
    <row r="5" ht="15" customHeight="1">
      <c r="A5" s="529" t="n"/>
      <c r="B5" s="529" t="n"/>
      <c r="C5" s="529" t="n"/>
      <c r="D5" s="529" t="n"/>
      <c r="E5" s="529" t="n"/>
      <c r="F5" s="529" t="n"/>
      <c r="G5" s="529" t="n"/>
      <c r="H5" s="529" t="n"/>
      <c r="N5">
        <f>CONCATENATE("A continuación se deja constancia que la ",'Identificación del Instrumento'!B17," respecto de los siguientes elementos: ",'Identificación del Instrumento'!$B$22," de tipo ",'Identificación del Instrumento'!$F$23,", compuesta por una plataforma receptora de cargas ",$N$29,"marca ",'Identificación del Instrumento'!$B$24,", modelo ",'Identificación del Instrumento'!$B$25,", N° de serie ",'Identificación del Instrumento'!$B$26,", código de aprobación de modelo ",'Identificación del Instrumento'!$B$27,", e indicador ",$P$29," de cargas marca ",'Identificación del Instrumento'!$F$24,", modelo ",'Identificación del Instrumento'!$F$25,", N° de serie ",'Identificación del Instrumento'!$F$26,", código de aprobación de modelo ",'Identificación del Instrumento'!$F$27,";")</f>
        <v/>
      </c>
    </row>
    <row r="6" ht="15" customHeight="1">
      <c r="A6" s="529" t="n"/>
      <c r="B6" s="529" t="n"/>
      <c r="C6" s="529" t="n"/>
      <c r="D6" s="529" t="n"/>
      <c r="E6" s="529" t="n"/>
      <c r="F6" s="529" t="n"/>
      <c r="G6" s="529" t="n"/>
      <c r="H6" s="529" t="n"/>
      <c r="J6" s="13" t="n"/>
      <c r="K6" s="13" t="n"/>
      <c r="L6" s="13" t="n"/>
      <c r="N6">
        <f>CONCATENATE(" características metrológicas: capacidad máxima Máx.= ",'Identificación del Instrumento'!$D$29," kg; capacidad mínima Mín. = ",'Identificación del Instrumento'!$F$29," kg; e=dd=dt=",'Identificación del Instrumento'!$D$30," kg; clase ",'Identificación del Instrumento'!$F$30,", prevista para el día de la fecha, se suspende por el siguiente motivo: ",'Informe Suspensión'!J16,".")</f>
        <v/>
      </c>
    </row>
    <row r="7" ht="15" customHeight="1">
      <c r="A7" s="529" t="n"/>
      <c r="B7" s="529" t="n"/>
      <c r="C7" s="529" t="n"/>
      <c r="D7" s="529" t="n"/>
      <c r="E7" s="529" t="n"/>
      <c r="F7" s="529" t="n"/>
      <c r="G7" s="529" t="n"/>
      <c r="H7" s="529" t="n"/>
      <c r="N7">
        <f>CONCATENATE("Sin más,  se cierra el acto firmando como constancia el agente verificador y  ",$K$19," por la firma ",'Identificación del Instrumento'!$C$14,".")</f>
        <v/>
      </c>
    </row>
    <row r="8" ht="15" customHeight="1" thickBot="1">
      <c r="A8" s="529" t="n"/>
      <c r="B8" s="529" t="n"/>
      <c r="C8" s="529" t="n"/>
      <c r="D8" s="529" t="n"/>
      <c r="E8" s="529" t="n"/>
      <c r="F8" s="529" t="n"/>
      <c r="G8" s="529" t="n"/>
      <c r="H8" s="529" t="n"/>
      <c r="N8">
        <f>CONCATENATE("Del presente se suscriben dos ejemplares de igual tenor, quedando uno en poder de ",$K$19," por la firma visitada.")</f>
        <v/>
      </c>
    </row>
    <row r="9" hidden="1" ht="15" customHeight="1" thickBot="1">
      <c r="A9" s="529" t="n"/>
      <c r="B9" s="529" t="n"/>
      <c r="C9" s="529" t="n"/>
      <c r="D9" s="529" t="n"/>
      <c r="E9" s="529" t="n"/>
      <c r="F9" s="529" t="n"/>
      <c r="G9" s="529" t="n"/>
      <c r="H9" s="529" t="n"/>
    </row>
    <row r="10" ht="15" customHeight="1" thickBot="1">
      <c r="A10" s="529" t="n"/>
      <c r="B10" s="529" t="n"/>
      <c r="C10" s="529" t="n"/>
      <c r="D10" s="529" t="n"/>
      <c r="E10" s="529" t="n"/>
      <c r="F10" s="529" t="n"/>
      <c r="G10" s="529" t="n"/>
      <c r="H10" s="529" t="n"/>
      <c r="J10" s="1346" t="inlineStr">
        <is>
          <t>¿Porqué se suspendió?:</t>
        </is>
      </c>
      <c r="K10" s="1268" t="n"/>
      <c r="L10" s="1130" t="inlineStr">
        <is>
          <t>Errores de indicación</t>
        </is>
      </c>
      <c r="M10" s="388" t="n"/>
      <c r="N10" s="388" t="n"/>
      <c r="O10" s="388" t="n"/>
      <c r="P10" s="388" t="n"/>
      <c r="Q10" s="389" t="n"/>
      <c r="R10" s="1153" t="n"/>
      <c r="S10" s="1153" t="n"/>
      <c r="T10" s="1153" t="n"/>
      <c r="U10" s="1153" t="n"/>
    </row>
    <row r="11" hidden="1" ht="15" customHeight="1">
      <c r="A11" s="529" t="n"/>
      <c r="B11" s="529" t="n"/>
      <c r="C11" s="529" t="n"/>
      <c r="D11" s="529" t="n"/>
      <c r="E11" s="529" t="n"/>
      <c r="F11" s="529" t="n"/>
      <c r="G11" s="529" t="n"/>
      <c r="H11" s="529" t="n"/>
      <c r="J11" s="206" t="n"/>
      <c r="K11" s="207" t="n"/>
    </row>
    <row r="12" hidden="1" ht="15" customHeight="1">
      <c r="A12" s="529" t="n"/>
      <c r="B12" s="529" t="n"/>
      <c r="C12" s="529" t="n"/>
      <c r="D12" s="529" t="n"/>
      <c r="E12" s="529" t="n"/>
      <c r="F12" s="529" t="n"/>
      <c r="G12" s="529" t="n"/>
      <c r="H12" s="529" t="n"/>
      <c r="J12" s="206" t="n"/>
      <c r="K12" s="207" t="n"/>
    </row>
    <row r="13" hidden="1" ht="15" customHeight="1">
      <c r="A13" s="529" t="n"/>
      <c r="B13" s="529" t="n"/>
      <c r="C13" s="529" t="n"/>
      <c r="D13" s="529" t="n"/>
      <c r="E13" s="529" t="n"/>
      <c r="F13" s="529" t="n"/>
      <c r="G13" s="529" t="n"/>
      <c r="H13" s="529" t="n"/>
      <c r="J13" s="206" t="n"/>
      <c r="K13" s="207" t="n"/>
      <c r="L13" s="1097" t="n"/>
      <c r="M13" s="1097" t="n"/>
      <c r="N13" s="1097" t="n"/>
    </row>
    <row r="14" ht="24" customHeight="1" thickBot="1">
      <c r="A14" s="1131">
        <f>IF('Acta Verificación '!A31="¡LA BALANZA NO CUMPLE!"," ACTA ","NO IMPRIMIR")</f>
        <v/>
      </c>
      <c r="J14" s="208" t="n"/>
      <c r="K14" s="209" t="n"/>
      <c r="L14" s="1133" t="n"/>
      <c r="M14" s="388" t="n"/>
      <c r="N14" s="388" t="n"/>
      <c r="O14" s="388" t="n"/>
      <c r="P14" s="388" t="n"/>
      <c r="Q14" s="389" t="n"/>
    </row>
    <row r="15" ht="15" customHeight="1" thickBot="1">
      <c r="A15" s="1138" t="n"/>
      <c r="B15" s="1138" t="n"/>
      <c r="C15" s="1138" t="n"/>
      <c r="D15" s="1138" t="n"/>
      <c r="E15" s="1138" t="n"/>
      <c r="F15" s="1138" t="n"/>
      <c r="G15" s="1138" t="n"/>
      <c r="H15" s="1138" t="n"/>
      <c r="AB15" s="619" t="inlineStr">
        <is>
          <t>Efecto máximo del dispositivo de puesta a cero</t>
        </is>
      </c>
      <c r="AC15" s="619">
        <f>CONCATENATE("NO CUMPLE con el ",AD15, " ",AE15)</f>
        <v/>
      </c>
      <c r="AD15" s="619" t="inlineStr">
        <is>
          <t>punto A.3.2.2  de la Resolución S.C. y N.E.I. Nº 2307/80</t>
        </is>
      </c>
      <c r="AE15" s="619" t="inlineStr">
        <is>
          <t>(Efecto máximo del dispositivo de puesta a cero).</t>
        </is>
      </c>
    </row>
    <row r="16" ht="15" customHeight="1" thickBot="1">
      <c r="A16" s="1036">
        <f>CONCATENATE("O.T. Nº: ",'Identificación del Instrumento'!B4,"           ",'Identificación del Instrumento'!A5,"  ",'Identificación del Instrumento'!B5)</f>
        <v/>
      </c>
      <c r="G16" s="1138" t="n"/>
      <c r="H16" s="1138" t="n"/>
      <c r="J16" s="507" t="inlineStr">
        <is>
          <t>Completar datos en celdas J18; K19; K20 y K21</t>
        </is>
      </c>
      <c r="S16" s="584" t="inlineStr">
        <is>
          <t>Los datos del verificador vienen de la hoja Datos de Ensayo celdas E3 y AC4 hasta AF36 respectivamente</t>
        </is>
      </c>
      <c r="T16" s="1268" t="n"/>
      <c r="V16" s="480" t="inlineStr">
        <is>
          <t>TIPO DE DOCUMENTO RESPONSABLE</t>
        </is>
      </c>
      <c r="W16" s="480" t="n"/>
      <c r="X16" s="415" t="n"/>
      <c r="Y16" s="416" t="n"/>
      <c r="AB16" s="619" t="inlineStr">
        <is>
          <t>Errores de indicación</t>
        </is>
      </c>
      <c r="AC16" s="619">
        <f>CONCATENATE("NO CUMPLE con el ",AD16, " ",AE16)</f>
        <v/>
      </c>
      <c r="AD16" s="619" t="inlineStr">
        <is>
          <t>punto 9.1.1 de la Resolución S.C. y N.E.I. Nº 2307/80</t>
        </is>
      </c>
      <c r="AE16" s="619" t="inlineStr">
        <is>
          <t>(Errores de indicación)</t>
        </is>
      </c>
    </row>
    <row r="17" ht="15" customHeight="1" thickBot="1">
      <c r="A17" s="1138" t="n"/>
      <c r="B17" s="1138" t="n"/>
      <c r="C17" s="1138" t="n"/>
      <c r="D17" s="1138" t="n"/>
      <c r="E17" s="1138" t="n"/>
      <c r="F17" s="1138" t="n"/>
      <c r="G17" s="1138" t="n"/>
      <c r="H17" s="1138" t="n"/>
      <c r="S17" s="208" t="n"/>
      <c r="T17" s="209" t="n"/>
      <c r="V17" s="479" t="n"/>
      <c r="W17" s="479" t="n"/>
      <c r="X17" s="320" t="n"/>
      <c r="Y17" s="417" t="n"/>
      <c r="AB17" s="619" t="inlineStr">
        <is>
          <t>Fidelidad</t>
        </is>
      </c>
      <c r="AC17" s="619">
        <f>CONCATENATE("NO CUMPLE con el ",AD17, " ",AE17)</f>
        <v/>
      </c>
      <c r="AD17" s="619" t="inlineStr">
        <is>
          <t>punto 14.1.2 de la Resolución S.C. y N.E.I. Nº 2307/80</t>
        </is>
      </c>
      <c r="AE17" s="619" t="inlineStr">
        <is>
          <t>(Fidelidad).</t>
        </is>
      </c>
    </row>
    <row r="18" ht="15" customHeight="1" thickBot="1">
      <c r="A18" s="997">
        <f>IF($J$28=6,CONCATENATE($N$3,$N$4),"¡Completar datos del acta!")</f>
        <v/>
      </c>
      <c r="B18" s="1223" t="n"/>
      <c r="C18" s="1223" t="n"/>
      <c r="D18" s="1223" t="n"/>
      <c r="E18" s="1223" t="n"/>
      <c r="F18" s="1223" t="n"/>
      <c r="G18" s="1223" t="n"/>
      <c r="H18" s="1223" t="n"/>
      <c r="J18" s="1347" t="inlineStr">
        <is>
          <t>15:00</t>
        </is>
      </c>
      <c r="K18" s="1318" t="n"/>
      <c r="L18" s="1319" t="n"/>
      <c r="M18" s="522" t="inlineStr">
        <is>
          <t>Hora de finalización de la tarea</t>
        </is>
      </c>
      <c r="N18" s="521" t="n"/>
      <c r="O18" s="521" t="n"/>
      <c r="P18" s="521" t="n"/>
      <c r="Q18" s="521" t="n"/>
      <c r="S18" s="738" t="inlineStr">
        <is>
          <t>Nombre</t>
        </is>
      </c>
      <c r="T18" s="739">
        <f>IF(COUNTA('Datos de Ensayos'!$E$4)=1,'Datos de Ensayos'!$E$4,"")</f>
        <v/>
      </c>
      <c r="V18" s="477" t="inlineStr">
        <is>
          <t>D.N.I.</t>
        </is>
      </c>
      <c r="W18" s="481" t="inlineStr">
        <is>
          <t>Sr.</t>
        </is>
      </c>
      <c r="X18" s="320" t="n"/>
      <c r="Y18" s="417" t="n"/>
      <c r="AB18" s="619" t="inlineStr">
        <is>
          <t>Movilidad (balanza mecánica de eq. no automático)</t>
        </is>
      </c>
      <c r="AC18" s="619">
        <f>CONCATENATE("NO CUMPLE con el ",AD18, " ",AE18)</f>
        <v/>
      </c>
      <c r="AD18" s="619" t="inlineStr">
        <is>
          <t>punto 14.2.1.1 de la Resolución S.C. y N.E.I. Nº 2307/80</t>
        </is>
      </c>
      <c r="AE18" s="619" t="inlineStr">
        <is>
          <t>(Movilidad).</t>
        </is>
      </c>
    </row>
    <row r="19" ht="15" customHeight="1" thickBot="1">
      <c r="A19" s="1223" t="n"/>
      <c r="B19" s="1223" t="n"/>
      <c r="C19" s="1223" t="n"/>
      <c r="D19" s="1223" t="n"/>
      <c r="E19" s="1223" t="n"/>
      <c r="F19" s="1223" t="n"/>
      <c r="G19" s="1223" t="n"/>
      <c r="H19" s="1223" t="n"/>
      <c r="J19" s="582" t="n"/>
      <c r="K19" s="1348">
        <f>'Acta Verificación '!K19:L19</f>
        <v/>
      </c>
      <c r="L19" s="1319" t="n"/>
      <c r="M19" s="522" t="inlineStr">
        <is>
          <t>Responsable de la firma (QUIEN SE HACE CARGO)</t>
        </is>
      </c>
      <c r="N19" s="521" t="n"/>
      <c r="O19" s="521" t="n"/>
      <c r="P19" s="521" t="n"/>
      <c r="Q19" s="521" t="n"/>
      <c r="S19" s="740" t="inlineStr">
        <is>
          <t>Tipo y Nº Doc.</t>
        </is>
      </c>
      <c r="T19" s="741">
        <f>IF($T$18&lt;&gt;"",VLOOKUP($T$18,'Datos de Ensayos'!$AC$3:$AF$34,2,FALSE),"")</f>
        <v/>
      </c>
      <c r="V19" s="477" t="inlineStr">
        <is>
          <t>L.E.</t>
        </is>
      </c>
      <c r="W19" s="481" t="inlineStr">
        <is>
          <t>Sra.</t>
        </is>
      </c>
      <c r="X19" s="320" t="n"/>
      <c r="Y19" s="417" t="n"/>
      <c r="AB19" s="619" t="inlineStr">
        <is>
          <t>Movilidad (balanza mecánica de eq.  automático indicación contínua)</t>
        </is>
      </c>
      <c r="AC19" s="619">
        <f>CONCATENATE("NO CUMPLE con el ",AD19, " ",AE19)</f>
        <v/>
      </c>
      <c r="AD19" s="619" t="inlineStr">
        <is>
          <t>punto 14.2.2.1.1 de la Resolución S.C. y N.E.I. Nº 2307/80</t>
        </is>
      </c>
      <c r="AE19" s="619" t="inlineStr">
        <is>
          <t>(Movilidad).</t>
        </is>
      </c>
    </row>
    <row r="20" ht="15" customHeight="1" thickBot="1">
      <c r="A20" s="1223" t="n"/>
      <c r="B20" s="1223" t="n"/>
      <c r="C20" s="1223" t="n"/>
      <c r="D20" s="1223" t="n"/>
      <c r="E20" s="1223" t="n"/>
      <c r="F20" s="1223" t="n"/>
      <c r="G20" s="1223" t="n"/>
      <c r="H20" s="1223" t="n"/>
      <c r="J20" s="519" t="inlineStr">
        <is>
          <t>D.N.I.</t>
        </is>
      </c>
      <c r="K20" s="1348">
        <f>'Acta Verificación '!K20:L20</f>
        <v/>
      </c>
      <c r="L20" s="1319" t="n"/>
      <c r="M20" s="522" t="inlineStr">
        <is>
          <t>Tipo y Nº documento del Responsable</t>
        </is>
      </c>
      <c r="N20" s="521" t="n"/>
      <c r="O20" s="521" t="n"/>
      <c r="P20" s="521" t="n"/>
      <c r="Q20" s="521" t="n"/>
      <c r="S20" s="740" t="inlineStr">
        <is>
          <t>Carnet Nº</t>
        </is>
      </c>
      <c r="T20" s="741">
        <f>IF($T$18&lt;&gt;"",VLOOKUP($T$18,'Datos de Ensayos'!$AC$3:$AF$34,3,FALSE),"")</f>
        <v/>
      </c>
      <c r="V20" s="477" t="inlineStr">
        <is>
          <t>L.C.</t>
        </is>
      </c>
      <c r="W20" s="481" t="inlineStr">
        <is>
          <t>Srta.</t>
        </is>
      </c>
      <c r="X20" s="320" t="n"/>
      <c r="Y20" s="417" t="n"/>
      <c r="AB20" s="619" t="inlineStr">
        <is>
          <t>Movilidad (balanza mecánica de eq.  Automático indicación discontínua)</t>
        </is>
      </c>
      <c r="AC20" s="619">
        <f>CONCATENATE("NO CUMPLE con el ",AD20, " ",AE20)</f>
        <v/>
      </c>
      <c r="AD20" s="619" t="inlineStr">
        <is>
          <t>punto 14.2.2.1.2 de la Resolución S.C. y N.E.I. Nº 2307/80</t>
        </is>
      </c>
      <c r="AE20" s="619" t="inlineStr">
        <is>
          <t>(Movilidad).</t>
        </is>
      </c>
    </row>
    <row r="21" ht="15" customHeight="1" thickBot="1">
      <c r="A21" s="1223" t="n"/>
      <c r="B21" s="1223" t="n"/>
      <c r="C21" s="1223" t="n"/>
      <c r="D21" s="1223" t="n"/>
      <c r="E21" s="1223" t="n"/>
      <c r="F21" s="1223" t="n"/>
      <c r="G21" s="1223" t="n"/>
      <c r="H21" s="1223" t="n"/>
      <c r="J21" s="1348">
        <f>'Acta Verificación '!J22:L22</f>
        <v/>
      </c>
      <c r="K21" s="1318" t="n"/>
      <c r="L21" s="1319" t="n"/>
      <c r="M21" s="522" t="inlineStr">
        <is>
          <t>Cargo dentro de la firma</t>
        </is>
      </c>
      <c r="N21" s="521" t="n"/>
      <c r="O21" s="521" t="n"/>
      <c r="P21" s="521" t="n"/>
      <c r="Q21" s="521" t="n"/>
      <c r="S21" s="742" t="inlineStr">
        <is>
          <t>Res habilitante</t>
        </is>
      </c>
      <c r="T21" s="743">
        <f>IF($T$18&lt;&gt;"",VLOOKUP($T$18,'Datos de Ensayos'!$AC$3:$AF$34,4,FALSE),"")</f>
        <v/>
      </c>
      <c r="V21" s="477" t="inlineStr">
        <is>
          <t>C.I.</t>
        </is>
      </c>
      <c r="W21" s="477" t="n"/>
      <c r="X21" s="320" t="n"/>
      <c r="Y21" s="417" t="n"/>
      <c r="AB21" s="619" t="inlineStr">
        <is>
          <t>Excentricidad (capacidad máxima menor o igual a 30 kg)</t>
        </is>
      </c>
      <c r="AC21" s="619">
        <f>CONCATENATE("NO CUMPLE con el ",AD21, " ",AE21)</f>
        <v/>
      </c>
      <c r="AD21" s="619" t="inlineStr">
        <is>
          <t>punto 9.1.1 para el ensayo previsto en el punto 13.3, ambos de la Resolución S.C. y N.E.I. Nº 2307/80</t>
        </is>
      </c>
      <c r="AE21" s="619" t="inlineStr">
        <is>
          <t>(Excentricidad).</t>
        </is>
      </c>
    </row>
    <row r="22" ht="15" customHeight="1" thickBot="1">
      <c r="A22" s="1223" t="n"/>
      <c r="B22" s="1223" t="n"/>
      <c r="C22" s="1223" t="n"/>
      <c r="D22" s="1223" t="n"/>
      <c r="E22" s="1223" t="n"/>
      <c r="F22" s="1223" t="n"/>
      <c r="G22" s="1223" t="n"/>
      <c r="H22" s="1223" t="n"/>
      <c r="J22" s="1323">
        <f>CONCATENATE('Identificación del Instrumento'!$B$19,", de la localidad de ",'Identificación del Instrumento'!$B$20,", provincia de ",'Identificación del Instrumento'!$F$20)</f>
        <v/>
      </c>
      <c r="K22" s="388" t="n"/>
      <c r="L22" s="389" t="n"/>
      <c r="M22" s="520" t="inlineStr">
        <is>
          <t>Lugar de Ubicación del instrumento (automático)</t>
        </is>
      </c>
      <c r="N22" s="521" t="n"/>
      <c r="O22" s="521" t="n"/>
      <c r="P22" s="521" t="n"/>
      <c r="Q22" s="521" t="n"/>
      <c r="V22" s="478" t="inlineStr">
        <is>
          <t>Pasaporte</t>
        </is>
      </c>
      <c r="W22" s="478" t="n"/>
      <c r="X22" s="329" t="n"/>
      <c r="Y22" s="330" t="n"/>
      <c r="AB22" s="619" t="inlineStr">
        <is>
          <t>Excentricidad (tolvas)</t>
        </is>
      </c>
      <c r="AC22" s="619">
        <f>CONCATENATE("NO CUMPLE con el ",AD22, " ",AE22)</f>
        <v/>
      </c>
      <c r="AD22" s="619" t="inlineStr">
        <is>
          <t>punto 9.1.1. para el ensayo previsto en el punto 13.4.1 ambos de la Resolución S.C. y N.E.I. Nº 2307/80</t>
        </is>
      </c>
      <c r="AE22" s="619" t="inlineStr">
        <is>
          <t>(Excentricidad).</t>
        </is>
      </c>
    </row>
    <row r="23" ht="15" customHeight="1" thickBot="1">
      <c r="A23" s="1223" t="n"/>
      <c r="B23" s="1223" t="n"/>
      <c r="C23" s="1223" t="n"/>
      <c r="D23" s="1223" t="n"/>
      <c r="E23" s="1223" t="n"/>
      <c r="F23" s="1223" t="n"/>
      <c r="G23" s="1223" t="n"/>
      <c r="H23" s="1223" t="n"/>
      <c r="J23" s="1323">
        <f>IF(ISBLANK('Identificación del Instrumento'!$C$18),"",CONCATENATE('Identificación del Instrumento'!$C$18," de "))</f>
        <v/>
      </c>
      <c r="K23" s="388" t="n"/>
      <c r="L23" s="389" t="n"/>
      <c r="M23" s="520" t="inlineStr">
        <is>
          <t>Nombre específico del lugar del instrumento (automático)</t>
        </is>
      </c>
      <c r="N23" s="521" t="n"/>
      <c r="O23" s="521" t="n"/>
      <c r="P23" s="521" t="n"/>
      <c r="Q23" s="521" t="n"/>
      <c r="AB23" s="619" t="inlineStr">
        <is>
          <t>Excentricidad (mayor a 30 kg que admita carga rodantes)</t>
        </is>
      </c>
      <c r="AC23" s="619">
        <f>CONCATENATE("NO CUMPLE con el ",AD23, " ",AE23)</f>
        <v/>
      </c>
      <c r="AD23" s="619" t="inlineStr">
        <is>
          <t>punto 9.1.1.  para el ensayo previsto en el punto 13.4.2.1 ambos de la Resolución S.C. y N.E.I. Nº 2307/80</t>
        </is>
      </c>
      <c r="AE23" s="619" t="inlineStr">
        <is>
          <t>(Excentricidad).</t>
        </is>
      </c>
    </row>
    <row r="24" ht="15" customHeight="1" thickBot="1">
      <c r="A24" s="1223" t="n"/>
      <c r="B24" s="1223" t="n"/>
      <c r="C24" s="1223" t="n"/>
      <c r="D24" s="1223" t="n"/>
      <c r="E24" s="1223" t="n"/>
      <c r="F24" s="1223" t="n"/>
      <c r="G24" s="1223" t="n"/>
      <c r="H24" s="1223" t="n"/>
      <c r="J24" s="1323">
        <f>'Acta Verificación '!J25</f>
        <v/>
      </c>
      <c r="K24" s="388" t="n"/>
      <c r="L24" s="389" t="n"/>
      <c r="M24" s="1083" t="n"/>
      <c r="AB24" s="619" t="inlineStr">
        <is>
          <t>Excentricidad (mayor a 30 kg que NO admita carga rodantes)</t>
        </is>
      </c>
      <c r="AC24" s="619">
        <f>CONCATENATE("NO CUMPLE con el ",AD24, " ",AE24)</f>
        <v/>
      </c>
      <c r="AD24" s="619" t="inlineStr">
        <is>
          <t>punto 9.1.1  para el ensayo previsto en el punto 13.4.3 ambos de la Resolución S.C. y N.E.I. Nº 2307/80</t>
        </is>
      </c>
      <c r="AE24" s="619" t="inlineStr">
        <is>
          <t>(Excentricidad).</t>
        </is>
      </c>
    </row>
    <row r="25" ht="15" customHeight="1" thickBot="1">
      <c r="A25" s="1223" t="n"/>
      <c r="B25" s="1223" t="n"/>
      <c r="C25" s="1223" t="n"/>
      <c r="D25" s="1223" t="n"/>
      <c r="E25" s="1223" t="n"/>
      <c r="F25" s="1223" t="n"/>
      <c r="G25" s="1223" t="n"/>
      <c r="H25" s="1223" t="n"/>
      <c r="J25" s="1323">
        <f>'Acta Verificación '!J26</f>
        <v/>
      </c>
      <c r="K25" s="388" t="n"/>
      <c r="L25" s="389" t="n"/>
      <c r="AB25" s="619" t="inlineStr">
        <is>
          <t>Excentricidad (Balanza portatil para pesar por ejes con un único receptor de carga)</t>
        </is>
      </c>
      <c r="AC25" s="619">
        <f>CONCATENATE("NO CUMPLE con el ",AD25, " ",AE25)</f>
        <v/>
      </c>
      <c r="AD25" s="619" t="inlineStr">
        <is>
          <t>punto 9.1.1 de la Resolución S.C. y N.E.I. Nº 2307/80 para el ensayo previsto en el punto D.2.3.2.1 de la Resolución S.C.D. y D.C. Nº 119/2001</t>
        </is>
      </c>
      <c r="AE25" s="619" t="inlineStr">
        <is>
          <t>(Excentricidad).</t>
        </is>
      </c>
    </row>
    <row r="26" ht="15" customHeight="1" thickBot="1">
      <c r="A26" s="1223" t="n"/>
      <c r="B26" s="1223" t="n"/>
      <c r="C26" s="1223" t="n"/>
      <c r="D26" s="1223" t="n"/>
      <c r="E26" s="1223" t="n"/>
      <c r="F26" s="1223" t="n"/>
      <c r="G26" s="1223" t="n"/>
      <c r="H26" s="1223" t="n"/>
      <c r="J26" s="1349">
        <f>'Acta Verificación '!J27</f>
        <v/>
      </c>
      <c r="K26" s="388" t="n"/>
      <c r="L26" s="389" t="n"/>
      <c r="N26" s="1350" t="inlineStr">
        <is>
          <t>TIPOS DE COMPONENTES DE LA BALANZA</t>
        </is>
      </c>
      <c r="O26" s="193" t="n"/>
      <c r="P26" s="1268" t="n"/>
      <c r="AB26" s="619" t="inlineStr">
        <is>
          <t>Excentricidad (Balanza portatil para pesar por ejes con dos receptores de carga)</t>
        </is>
      </c>
      <c r="AC26" s="619">
        <f>CONCATENATE("NO CUMPLE con el ",AD26, " ",AE26)</f>
        <v/>
      </c>
      <c r="AD26" s="619" t="inlineStr">
        <is>
          <t>punto 9.1.1 de la Resolución S.C. y N.E.I. Nº 2307/80 para el ensayo previsto en el punto D.2.3.2.2  de la Resolución S.C.D. y D.C. Nº 119/2001</t>
        </is>
      </c>
      <c r="AE26" s="619" t="inlineStr">
        <is>
          <t>(Excentricidad).</t>
        </is>
      </c>
    </row>
    <row r="27" ht="15" customHeight="1" thickBot="1">
      <c r="A27" s="1223" t="n"/>
      <c r="B27" s="1223" t="n"/>
      <c r="C27" s="1223" t="n"/>
      <c r="D27" s="1223" t="n"/>
      <c r="E27" s="1223" t="n"/>
      <c r="F27" s="1223" t="n"/>
      <c r="G27" s="1223" t="n"/>
      <c r="H27" s="1223" t="n"/>
      <c r="J27" s="1349">
        <f>'Acta Verificación '!J28</f>
        <v/>
      </c>
      <c r="K27" s="388" t="n"/>
      <c r="L27" s="389" t="n"/>
      <c r="N27" s="206" t="n"/>
      <c r="P27" s="207" t="n"/>
      <c r="AB27" s="619" t="inlineStr">
        <is>
          <t>Excentricidad (Balanza fija para pesar por ejes con un único receptor de carga)</t>
        </is>
      </c>
      <c r="AC27" s="619">
        <f>CONCATENATE("NO CUMPLE con el ",AD27, " ",AE27)</f>
        <v/>
      </c>
      <c r="AD27" s="619" t="inlineStr">
        <is>
          <t>punto 9.1.1 de la Resolución S.C. y N.E.I. Nº 2307/80 para el ensayo previsto en el punto D.2.3.1.1 de la Resolución S.C.D. y D.C. Nº 119/2001</t>
        </is>
      </c>
      <c r="AE27" s="619" t="inlineStr">
        <is>
          <t>(Excentricidad).</t>
        </is>
      </c>
    </row>
    <row r="28" ht="15" customHeight="1" thickBot="1">
      <c r="A28" s="1223" t="n"/>
      <c r="B28" s="1223" t="n"/>
      <c r="C28" s="1223" t="n"/>
      <c r="D28" s="1223" t="n"/>
      <c r="E28" s="1223" t="n"/>
      <c r="F28" s="1223" t="n"/>
      <c r="G28" s="1223" t="n"/>
      <c r="H28" s="1223" t="n"/>
      <c r="J28" s="508">
        <f>COUNTIF(K28:K33,"=FALSO")</f>
        <v/>
      </c>
      <c r="K28" s="509">
        <f>ISBLANK(J18)</f>
        <v/>
      </c>
      <c r="L28">
        <f>IF('Identificación del Instrumento'!$B$17="periódica","b)","a)")</f>
        <v/>
      </c>
      <c r="N28" s="510" t="inlineStr">
        <is>
          <t>PLATAFORMA</t>
        </is>
      </c>
      <c r="O28" s="511" t="n"/>
      <c r="P28" s="512" t="inlineStr">
        <is>
          <t>INDICADOR</t>
        </is>
      </c>
      <c r="AB28" s="619" t="inlineStr">
        <is>
          <t>Excentricidad (Balanza fija para pesar por ejes con dos receptores de carga)</t>
        </is>
      </c>
      <c r="AC28" s="619">
        <f>CONCATENATE("NO CUMPLE con el ",AD28, " ",AE28)</f>
        <v/>
      </c>
      <c r="AD28" s="619" t="inlineStr">
        <is>
          <t>punto 9.1.1 de la Resolución S.C. y N.E.I. Nº 2307/80 para el ensayo previsto en el punto D.2.3.1.2 de la Resolución S.C.D. y D.C. Nº 119/2001</t>
        </is>
      </c>
      <c r="AE28" s="619" t="inlineStr">
        <is>
          <t>(Excentricidad).</t>
        </is>
      </c>
    </row>
    <row r="29" ht="15" customHeight="1" thickBot="1">
      <c r="A29" s="1223" t="n"/>
      <c r="B29" s="1223" t="n"/>
      <c r="C29" s="1223" t="n"/>
      <c r="D29" s="1223" t="n"/>
      <c r="E29" s="1223" t="n"/>
      <c r="F29" s="1223" t="n"/>
      <c r="G29" s="1223" t="n"/>
      <c r="H29" s="1223" t="n"/>
      <c r="K29" s="513">
        <f>ISBLANK(K19)</f>
        <v/>
      </c>
      <c r="N29" s="514">
        <f>IF('Identificación del Instrumento'!$F$23="electrónica","","tipo mecánica ")</f>
        <v/>
      </c>
      <c r="O29" s="515" t="n"/>
      <c r="P29" s="516">
        <f>IF(ISBLANK('Identificación del Instrumento'!$F$23),"",IF('Identificación del Instrumento'!$F$23="mecánica","mecánico","electrónico"))</f>
        <v/>
      </c>
      <c r="Q29" s="20" t="n"/>
      <c r="R29" s="20" t="n"/>
      <c r="S29" s="20" t="n"/>
      <c r="T29" s="20" t="n"/>
      <c r="U29" s="20" t="n"/>
      <c r="V29" s="20" t="n"/>
      <c r="W29" s="20" t="n"/>
      <c r="X29" s="20" t="n"/>
      <c r="AB29" s="619" t="inlineStr">
        <is>
          <t>Otro (especificar en la celda de abajo)</t>
        </is>
      </c>
      <c r="AC29" s="619" t="inlineStr">
        <is>
          <t>DETALLAR EL MOTIVO DE LA SUSPENSIÓN EN LA CELDA INDICADA</t>
        </is>
      </c>
      <c r="AD29" s="619" t="n"/>
      <c r="AE29" s="619" t="n"/>
    </row>
    <row r="30" ht="19.5" customHeight="1">
      <c r="A30" s="1223" t="n"/>
      <c r="B30" s="1223" t="n"/>
      <c r="C30" s="1223" t="n"/>
      <c r="D30" s="1223" t="n"/>
      <c r="E30" s="1223" t="n"/>
      <c r="F30" s="1223" t="n"/>
      <c r="G30" s="1223" t="n"/>
      <c r="H30" s="1223" t="n"/>
      <c r="J30" t="inlineStr">
        <is>
          <t>  </t>
        </is>
      </c>
      <c r="K30" s="513">
        <f>ISBLANK(K20)</f>
        <v/>
      </c>
      <c r="Q30" s="20" t="n"/>
      <c r="R30" s="20" t="n"/>
      <c r="S30" s="20" t="n"/>
      <c r="T30" s="20" t="n"/>
      <c r="U30" s="20" t="n"/>
      <c r="V30" s="20" t="n"/>
      <c r="W30" s="20" t="n"/>
      <c r="X30" s="20" t="n"/>
    </row>
    <row r="31" hidden="1" ht="15" customHeight="1">
      <c r="A31" s="1223" t="n"/>
      <c r="B31" s="1223" t="n"/>
      <c r="C31" s="1223" t="n"/>
      <c r="D31" s="1223" t="n"/>
      <c r="E31" s="1223" t="n"/>
      <c r="F31" s="1223" t="n"/>
      <c r="G31" s="1223" t="n"/>
      <c r="H31" s="1223" t="n"/>
      <c r="K31" s="513">
        <f>ISBLANK(J21)</f>
        <v/>
      </c>
      <c r="Q31" s="20" t="n"/>
      <c r="R31" s="20" t="n"/>
      <c r="S31" s="20" t="n"/>
      <c r="T31" s="20" t="n"/>
      <c r="U31" s="20" t="n"/>
      <c r="V31" s="20" t="n"/>
      <c r="W31" s="20" t="n"/>
      <c r="X31" s="20" t="n"/>
    </row>
    <row r="32" hidden="1" ht="15" customHeight="1" thickBot="1">
      <c r="A32" s="1223" t="n"/>
      <c r="B32" s="1223" t="n"/>
      <c r="C32" s="1223" t="n"/>
      <c r="D32" s="1223" t="n"/>
      <c r="E32" s="1223" t="n"/>
      <c r="F32" s="1223" t="n"/>
      <c r="G32" s="1223" t="n"/>
      <c r="H32" s="1223" t="n"/>
      <c r="K32" s="517">
        <f>AND(ISBLANK('Identificación del Instrumento'!$B$19),ISBLANK('Identificación del Instrumento'!$B$15),ISBLANK('Identificación del Instrumento'!$B$16),ISBLANK('Identificación del Instrumento'!$F$16))</f>
        <v/>
      </c>
      <c r="N32" s="1134" t="n"/>
      <c r="Q32" s="20" t="n"/>
      <c r="R32" s="20" t="n"/>
      <c r="S32" s="20" t="n"/>
      <c r="T32" s="20" t="n"/>
      <c r="U32" s="20" t="n"/>
      <c r="V32" s="20" t="n"/>
      <c r="W32" s="20" t="n"/>
      <c r="X32" s="20" t="n"/>
    </row>
    <row r="33" ht="15" customHeight="1" thickBot="1">
      <c r="A33" s="997">
        <f>CONCATENATE(N5,N6)</f>
        <v/>
      </c>
      <c r="B33" s="1223" t="n"/>
      <c r="C33" s="1223" t="n"/>
      <c r="D33" s="1223" t="n"/>
      <c r="E33" s="1223" t="n"/>
      <c r="F33" s="1223" t="n"/>
      <c r="G33" s="1223" t="n"/>
      <c r="H33" s="1223" t="n"/>
      <c r="J33" s="218" t="n"/>
      <c r="K33" s="400">
        <f>ISBLANK(J23)</f>
        <v/>
      </c>
      <c r="L33" s="218" t="n"/>
      <c r="M33" s="218" t="n"/>
      <c r="N33" s="401" t="n"/>
      <c r="O33" s="401" t="n"/>
      <c r="P33" s="401" t="n"/>
      <c r="Q33" s="401" t="n"/>
      <c r="R33" s="20" t="n"/>
      <c r="S33" s="20" t="n"/>
      <c r="T33" s="20" t="n"/>
      <c r="U33" s="20" t="n"/>
      <c r="V33" s="20" t="n"/>
      <c r="W33" s="20" t="n"/>
      <c r="X33" s="20" t="n"/>
    </row>
    <row r="34" ht="15" customHeight="1">
      <c r="A34" s="1223" t="n"/>
      <c r="B34" s="1223" t="n"/>
      <c r="C34" s="1223" t="n"/>
      <c r="D34" s="1223" t="n"/>
      <c r="E34" s="1223" t="n"/>
      <c r="F34" s="1223" t="n"/>
      <c r="G34" s="1223" t="n"/>
      <c r="H34" s="1223" t="n"/>
      <c r="N34" s="20" t="n"/>
      <c r="O34" s="20" t="n"/>
      <c r="P34" s="20" t="n"/>
      <c r="Q34" s="20" t="n"/>
      <c r="R34" s="20" t="n"/>
      <c r="S34" s="20" t="n"/>
      <c r="T34" s="20" t="n"/>
      <c r="U34" s="20" t="n"/>
      <c r="V34" s="20" t="n"/>
      <c r="W34" s="20" t="n"/>
      <c r="X34" s="20" t="n"/>
    </row>
    <row r="35" ht="15" customHeight="1">
      <c r="A35" s="1223" t="n"/>
      <c r="B35" s="1223" t="n"/>
      <c r="C35" s="1223" t="n"/>
      <c r="D35" s="1223" t="n"/>
      <c r="E35" s="1223" t="n"/>
      <c r="F35" s="1223" t="n"/>
      <c r="G35" s="1223" t="n"/>
      <c r="H35" s="1223" t="n"/>
      <c r="N35" s="20" t="n"/>
      <c r="O35" s="20" t="n"/>
      <c r="P35" s="20" t="n"/>
      <c r="Q35" s="20" t="n"/>
      <c r="R35" s="20" t="n"/>
      <c r="S35" s="20" t="n"/>
      <c r="T35" s="20" t="n"/>
      <c r="U35" s="20" t="n"/>
      <c r="V35" s="20" t="n"/>
      <c r="W35" s="20" t="n"/>
      <c r="X35" s="20" t="n"/>
    </row>
    <row r="36" ht="15" customHeight="1">
      <c r="A36" s="1223" t="n"/>
      <c r="B36" s="1223" t="n"/>
      <c r="C36" s="1223" t="n"/>
      <c r="D36" s="1223" t="n"/>
      <c r="E36" s="1223" t="n"/>
      <c r="F36" s="1223" t="n"/>
      <c r="G36" s="1223" t="n"/>
      <c r="H36" s="1223" t="n"/>
      <c r="N36" s="20" t="n"/>
      <c r="O36" s="20" t="n"/>
      <c r="P36" s="20" t="n"/>
      <c r="Q36" s="20" t="n"/>
      <c r="R36" s="20" t="n"/>
      <c r="S36" s="20" t="n"/>
      <c r="T36" s="20" t="n"/>
      <c r="U36" s="20" t="n"/>
      <c r="V36" s="20" t="n"/>
      <c r="W36" s="20" t="n"/>
      <c r="X36" s="20" t="n"/>
    </row>
    <row r="37" ht="15" customHeight="1">
      <c r="A37" s="1223" t="n"/>
      <c r="B37" s="1223" t="n"/>
      <c r="C37" s="1223" t="n"/>
      <c r="D37" s="1223" t="n"/>
      <c r="E37" s="1223" t="n"/>
      <c r="F37" s="1223" t="n"/>
      <c r="G37" s="1223" t="n"/>
      <c r="H37" s="1223" t="n"/>
      <c r="N37" s="20" t="n"/>
      <c r="O37" s="20" t="n"/>
      <c r="P37" s="20" t="n"/>
      <c r="Q37" s="20" t="n"/>
      <c r="R37" s="20" t="n"/>
      <c r="S37" s="20" t="n"/>
      <c r="T37" s="20" t="n"/>
      <c r="U37" s="20" t="n"/>
      <c r="V37" s="20" t="n"/>
      <c r="W37" s="20" t="n"/>
      <c r="X37" s="20" t="n"/>
    </row>
    <row r="38" ht="15" customHeight="1">
      <c r="A38" s="1223" t="n"/>
      <c r="B38" s="1223" t="n"/>
      <c r="C38" s="1223" t="n"/>
      <c r="D38" s="1223" t="n"/>
      <c r="E38" s="1223" t="n"/>
      <c r="F38" s="1223" t="n"/>
      <c r="G38" s="1223" t="n"/>
      <c r="H38" s="1223" t="n"/>
      <c r="N38" s="20" t="n"/>
      <c r="O38" s="20" t="n"/>
      <c r="P38" s="20" t="n"/>
      <c r="Q38" s="20" t="n"/>
      <c r="R38" s="20" t="n"/>
      <c r="S38" s="20" t="n"/>
      <c r="T38" s="20" t="n"/>
      <c r="U38" s="20" t="n"/>
      <c r="V38" s="20" t="n"/>
      <c r="W38" s="20" t="n"/>
    </row>
    <row r="39" ht="15" customHeight="1">
      <c r="A39" s="1223" t="n"/>
      <c r="B39" s="1223" t="n"/>
      <c r="C39" s="1223" t="n"/>
      <c r="D39" s="1223" t="n"/>
      <c r="E39" s="1223" t="n"/>
      <c r="F39" s="1223" t="n"/>
      <c r="G39" s="1223" t="n"/>
      <c r="H39" s="1223" t="n"/>
      <c r="N39" s="20" t="n"/>
      <c r="O39" s="20" t="n"/>
      <c r="P39" s="20" t="n"/>
      <c r="Q39" s="20" t="n"/>
      <c r="R39" s="20" t="n"/>
      <c r="S39" s="20" t="n"/>
      <c r="T39" s="20" t="n"/>
      <c r="U39" s="20" t="n"/>
      <c r="V39" s="20" t="n"/>
      <c r="W39" s="20" t="n"/>
    </row>
    <row r="40" ht="15" customHeight="1">
      <c r="A40" s="1223" t="n"/>
      <c r="B40" s="1223" t="n"/>
      <c r="C40" s="1223" t="n"/>
      <c r="D40" s="1223" t="n"/>
      <c r="E40" s="1223" t="n"/>
      <c r="F40" s="1223" t="n"/>
      <c r="G40" s="1223" t="n"/>
      <c r="H40" s="1223" t="n"/>
      <c r="N40" s="20" t="n"/>
      <c r="O40" s="20" t="n"/>
      <c r="P40" s="20" t="n"/>
      <c r="Q40" s="20" t="n"/>
      <c r="R40" s="20" t="n"/>
      <c r="S40" s="20" t="n"/>
      <c r="T40" s="20" t="n"/>
      <c r="U40" s="20" t="n"/>
      <c r="V40" s="20" t="n"/>
      <c r="W40" s="20" t="n"/>
    </row>
    <row r="41" ht="15" customHeight="1">
      <c r="A41" s="997">
        <f>IF($J$28=6,N7,"¡Completar datos del acta!")</f>
        <v/>
      </c>
      <c r="B41" s="1223" t="n"/>
      <c r="C41" s="1223" t="n"/>
      <c r="D41" s="1223" t="n"/>
      <c r="E41" s="1223" t="n"/>
      <c r="F41" s="1223" t="n"/>
      <c r="G41" s="1223" t="n"/>
      <c r="H41" s="1223" t="n"/>
      <c r="N41" s="20" t="n"/>
      <c r="O41" s="20" t="n"/>
      <c r="P41" s="20" t="n"/>
      <c r="Q41" s="20" t="n"/>
      <c r="R41" s="20" t="n"/>
      <c r="S41" s="20" t="n"/>
      <c r="T41" s="20" t="n"/>
      <c r="U41" s="20" t="n"/>
      <c r="V41" s="20" t="n"/>
      <c r="W41" s="20" t="n"/>
    </row>
    <row r="42" ht="15" customHeight="1">
      <c r="A42" s="1223" t="n"/>
      <c r="B42" s="1223" t="n"/>
      <c r="C42" s="1223" t="n"/>
      <c r="D42" s="1223" t="n"/>
      <c r="E42" s="1223" t="n"/>
      <c r="F42" s="1223" t="n"/>
      <c r="G42" s="1223" t="n"/>
      <c r="H42" s="1223" t="n"/>
      <c r="N42" s="20" t="n"/>
      <c r="O42" s="20" t="n"/>
      <c r="P42" s="20" t="n"/>
      <c r="Q42" s="20" t="n"/>
      <c r="R42" s="20" t="n"/>
      <c r="S42" s="20" t="n"/>
      <c r="T42" s="20" t="n"/>
      <c r="U42" s="20" t="n"/>
      <c r="V42" s="20" t="n"/>
      <c r="W42" s="20" t="n"/>
    </row>
    <row r="43" ht="15" customHeight="1">
      <c r="A43" s="1223" t="n"/>
      <c r="B43" s="1223" t="n"/>
      <c r="C43" s="1223" t="n"/>
      <c r="D43" s="1223" t="n"/>
      <c r="E43" s="1223" t="n"/>
      <c r="F43" s="1223" t="n"/>
      <c r="G43" s="1223" t="n"/>
      <c r="H43" s="1223" t="n"/>
      <c r="N43" s="20" t="n"/>
      <c r="O43" s="20" t="n"/>
      <c r="P43" s="20" t="n"/>
      <c r="Q43" s="20" t="n"/>
      <c r="R43" s="20" t="n"/>
      <c r="S43" s="20" t="n"/>
      <c r="T43" s="20" t="n"/>
      <c r="U43" s="20" t="n"/>
      <c r="V43" s="20" t="n"/>
      <c r="W43" s="20" t="n"/>
    </row>
    <row r="44" ht="15" customHeight="1">
      <c r="A44" s="997">
        <f>IF($J$28=6,N8,"¡Completar datos del acta!")</f>
        <v/>
      </c>
      <c r="B44" s="1223" t="n"/>
      <c r="C44" s="1223" t="n"/>
      <c r="D44" s="1223" t="n"/>
      <c r="E44" s="1223" t="n"/>
      <c r="F44" s="1223" t="n"/>
      <c r="G44" s="1223" t="n"/>
      <c r="H44" s="1223" t="n"/>
      <c r="N44" s="20" t="n"/>
      <c r="O44" s="20" t="n"/>
      <c r="P44" s="20" t="n"/>
      <c r="Q44" s="20" t="n"/>
      <c r="R44" s="20" t="n"/>
      <c r="S44" s="20" t="n"/>
      <c r="T44" s="20" t="n"/>
      <c r="U44" s="20" t="n"/>
      <c r="V44" s="20" t="n"/>
      <c r="W44" s="20" t="n"/>
    </row>
    <row r="45" ht="15" customHeight="1">
      <c r="A45" s="1223" t="n"/>
      <c r="B45" s="1223" t="n"/>
      <c r="C45" s="1223" t="n"/>
      <c r="D45" s="1223" t="n"/>
      <c r="E45" s="1223" t="n"/>
      <c r="F45" s="1223" t="n"/>
      <c r="G45" s="1223" t="n"/>
      <c r="H45" s="1223" t="n"/>
      <c r="N45" s="20" t="n"/>
      <c r="O45" s="20" t="n"/>
      <c r="P45" s="20" t="n"/>
      <c r="Q45" s="20" t="n"/>
      <c r="R45" s="20" t="n"/>
      <c r="S45" s="20" t="n"/>
      <c r="T45" s="20" t="n"/>
      <c r="U45" s="20" t="n"/>
      <c r="V45" s="20" t="n"/>
      <c r="W45" s="20" t="n"/>
    </row>
    <row r="46" ht="15" customHeight="1">
      <c r="A46" s="1223" t="n"/>
      <c r="B46" s="1223" t="n"/>
      <c r="C46" s="1223" t="n"/>
      <c r="D46" s="1223" t="n"/>
      <c r="E46" s="1223" t="n"/>
      <c r="F46" s="1223" t="n"/>
      <c r="G46" s="1223" t="n"/>
      <c r="H46" s="1223" t="n"/>
    </row>
    <row r="47" ht="15" customHeight="1">
      <c r="A47" s="1138" t="n"/>
      <c r="D47" s="1138" t="n"/>
      <c r="E47" s="1138" t="n"/>
      <c r="H47" s="1138" t="n"/>
    </row>
    <row r="48" ht="15" customHeight="1">
      <c r="A48" s="1138" t="n"/>
      <c r="B48" s="1138" t="n"/>
      <c r="C48" s="1138" t="n"/>
      <c r="D48" s="1138" t="n"/>
      <c r="E48" s="1138" t="n"/>
      <c r="F48" s="1138" t="n"/>
      <c r="G48" s="1138" t="n"/>
      <c r="H48" s="1138" t="n"/>
    </row>
    <row r="49" ht="15" customHeight="1">
      <c r="A49" s="1138" t="n"/>
      <c r="B49" s="1138" t="n"/>
      <c r="C49" s="1138" t="n"/>
      <c r="D49" s="1138" t="n"/>
      <c r="E49" s="1138" t="n"/>
      <c r="F49" s="1138" t="n"/>
      <c r="G49" s="1138" t="n"/>
      <c r="H49" s="1138" t="n"/>
    </row>
    <row r="50" ht="15" customHeight="1">
      <c r="A50" s="1138" t="n"/>
      <c r="B50" s="1138" t="n"/>
      <c r="C50" s="1138" t="n"/>
      <c r="D50" s="1138" t="n"/>
      <c r="E50" s="1138" t="n"/>
      <c r="F50" s="1138" t="n"/>
      <c r="G50" s="1138" t="n"/>
      <c r="H50" s="1138" t="n"/>
    </row>
    <row r="51" ht="15" customHeight="1">
      <c r="A51" s="1026" t="n"/>
      <c r="D51" s="583" t="n"/>
      <c r="E51" s="583" t="n"/>
      <c r="F51" s="1026" t="n"/>
    </row>
    <row r="52" ht="15" customHeight="1">
      <c r="A52" s="1138" t="n"/>
      <c r="B52" s="1138" t="n"/>
      <c r="C52" s="1138" t="n"/>
      <c r="D52" s="1138" t="n"/>
      <c r="E52" s="1138" t="n"/>
      <c r="F52" s="1138" t="n"/>
      <c r="G52" s="1138" t="n"/>
      <c r="H52" s="1138" t="n"/>
    </row>
    <row r="53" ht="15" customHeight="1">
      <c r="A53" s="1138" t="n"/>
      <c r="B53" s="1138" t="n"/>
      <c r="C53" s="1138" t="n"/>
      <c r="D53" s="1138" t="n"/>
      <c r="E53" s="1138" t="n"/>
      <c r="F53" s="1138" t="n"/>
      <c r="G53" s="1138" t="n"/>
      <c r="H53" s="1138" t="n"/>
    </row>
    <row r="54" ht="15" customHeight="1">
      <c r="A54" s="1138" t="n"/>
      <c r="B54" s="1138" t="n"/>
      <c r="C54" s="1138" t="n"/>
      <c r="D54" s="1138" t="n"/>
      <c r="E54" s="1138" t="n"/>
      <c r="F54" s="1138" t="n"/>
      <c r="G54" s="1138" t="n"/>
      <c r="H54" s="1138" t="n"/>
    </row>
    <row r="55" ht="15" customHeight="1">
      <c r="A55" s="1138" t="n"/>
      <c r="B55" s="1138" t="n"/>
      <c r="C55" s="1138" t="n"/>
      <c r="D55" s="1138" t="n"/>
      <c r="E55" s="1138" t="n"/>
      <c r="F55" s="1138" t="n"/>
      <c r="G55" s="1138" t="n"/>
      <c r="H55" s="1138" t="n"/>
    </row>
    <row r="56" ht="15" customHeight="1">
      <c r="A56" s="1138" t="n"/>
      <c r="B56" s="1138" t="n"/>
      <c r="C56" s="1138" t="n"/>
      <c r="D56" s="1138" t="n"/>
      <c r="E56" s="1138" t="n"/>
      <c r="F56" s="1138" t="n"/>
      <c r="G56" s="1138" t="n"/>
      <c r="H56" s="1138" t="n"/>
    </row>
    <row r="57" ht="15" customHeight="1">
      <c r="A57" s="1138" t="n"/>
      <c r="B57" s="1138" t="n"/>
      <c r="C57" s="1138" t="n"/>
      <c r="D57" s="1138" t="n"/>
      <c r="E57" s="1138" t="n"/>
      <c r="F57" s="1138" t="n"/>
      <c r="G57" s="1138" t="n"/>
      <c r="H57" s="1138" t="n"/>
    </row>
    <row r="58" ht="15" customHeight="1">
      <c r="A58" s="1138" t="n"/>
      <c r="B58" s="1138" t="n"/>
      <c r="C58" s="1138" t="n"/>
      <c r="D58" s="1138" t="n"/>
      <c r="E58" s="1138" t="n"/>
      <c r="F58" s="1138" t="n"/>
      <c r="G58" s="1138" t="n"/>
      <c r="H58" s="1138" t="n"/>
    </row>
    <row r="59" ht="15" customHeight="1">
      <c r="A59" s="1139">
        <f>+K19</f>
        <v/>
      </c>
      <c r="B59" s="1241" t="n"/>
      <c r="C59" s="1241" t="n"/>
      <c r="D59" s="583" t="n"/>
      <c r="E59" s="583" t="n"/>
      <c r="F59" s="1018">
        <f>'Datos de Ensayos'!E4</f>
        <v/>
      </c>
      <c r="G59" s="1241" t="n"/>
      <c r="H59" s="1241" t="n"/>
    </row>
    <row r="60" ht="15" customHeight="1">
      <c r="A60" s="1026">
        <f>+'Identificación del Instrumento'!C14</f>
        <v/>
      </c>
      <c r="D60" s="583" t="n"/>
      <c r="E60" s="583" t="n"/>
      <c r="F60" s="1026">
        <f>+'Identificación del Instrumento'!E61</f>
        <v/>
      </c>
    </row>
    <row r="61" ht="15" customHeight="1">
      <c r="A61" s="1138" t="n"/>
      <c r="B61" s="1138" t="n"/>
      <c r="C61" s="1138" t="n"/>
      <c r="D61" s="1138" t="n"/>
      <c r="E61" s="1138" t="n"/>
      <c r="F61" s="1138" t="n"/>
      <c r="G61" s="1138" t="n"/>
      <c r="H61" s="1138" t="n"/>
    </row>
    <row r="62" ht="15" customHeight="1">
      <c r="A62" s="1138" t="n"/>
      <c r="B62" s="1138" t="n"/>
      <c r="C62" s="1138" t="n"/>
      <c r="D62" s="1138" t="n"/>
      <c r="E62" s="1138" t="n"/>
      <c r="F62" s="1138" t="n"/>
      <c r="G62" s="1138" t="n"/>
      <c r="H62" s="1138" t="n"/>
    </row>
    <row r="63" ht="15" customHeight="1">
      <c r="A63" s="1138" t="n"/>
      <c r="B63" s="1138" t="n"/>
      <c r="C63" s="1138" t="n"/>
      <c r="D63" s="1138" t="n"/>
      <c r="E63" s="1138" t="n"/>
      <c r="F63" s="1138" t="n"/>
      <c r="G63" s="1138" t="n"/>
      <c r="H63" s="1138" t="n"/>
    </row>
    <row r="64" ht="15" customHeight="1">
      <c r="A64" s="1138" t="n"/>
      <c r="B64" s="1138" t="n"/>
      <c r="C64" s="1138" t="n"/>
      <c r="D64" s="1138" t="n"/>
      <c r="E64" s="1138" t="n"/>
      <c r="F64" s="1138" t="n"/>
      <c r="G64" s="1138" t="n"/>
      <c r="H64" s="1138" t="n"/>
    </row>
    <row r="65" ht="15" customHeight="1">
      <c r="A65" s="1027" t="n"/>
    </row>
    <row r="66">
      <c r="A66" s="1025" t="n"/>
    </row>
    <row r="67">
      <c r="A67" s="1025" t="n"/>
    </row>
  </sheetData>
  <mergeCells count="33">
    <mergeCell ref="A67:H67"/>
    <mergeCell ref="A16:F16"/>
    <mergeCell ref="J24:L24"/>
    <mergeCell ref="J27:L27"/>
    <mergeCell ref="L14:Q14"/>
    <mergeCell ref="J26:L26"/>
    <mergeCell ref="J10:K14"/>
    <mergeCell ref="A18:H32"/>
    <mergeCell ref="J25:L25"/>
    <mergeCell ref="K20:L20"/>
    <mergeCell ref="A47:C47"/>
    <mergeCell ref="A65:H65"/>
    <mergeCell ref="L10:Q10"/>
    <mergeCell ref="J22:L22"/>
    <mergeCell ref="N26:P27"/>
    <mergeCell ref="A41:H43"/>
    <mergeCell ref="A33:H40"/>
    <mergeCell ref="A66:H66"/>
    <mergeCell ref="S16:T17"/>
    <mergeCell ref="J21:L21"/>
    <mergeCell ref="F60:H60"/>
    <mergeCell ref="J18:L18"/>
    <mergeCell ref="E47:G47"/>
    <mergeCell ref="J23:L23"/>
    <mergeCell ref="A14:H14"/>
    <mergeCell ref="A59:C59"/>
    <mergeCell ref="A51:C51"/>
    <mergeCell ref="A60:C60"/>
    <mergeCell ref="N32:P32"/>
    <mergeCell ref="K19:L19"/>
    <mergeCell ref="F59:H59"/>
    <mergeCell ref="A44:H46"/>
    <mergeCell ref="F51:H51"/>
  </mergeCells>
  <conditionalFormatting sqref="A18 A41 A44">
    <cfRule type="cellIs" priority="1" operator="equal" dxfId="16" stopIfTrue="1">
      <formula>"¡Completar datos del acta!"</formula>
    </cfRule>
  </conditionalFormatting>
  <conditionalFormatting sqref="A33">
    <cfRule type="cellIs" priority="2" operator="equal" dxfId="15" stopIfTrue="1">
      <formula>"¡LA BALANZA NO CUMPLE!"</formula>
    </cfRule>
  </conditionalFormatting>
  <dataValidations count="2">
    <dataValidation sqref="J20" showDropDown="0" showInputMessage="1" showErrorMessage="1" allowBlank="1" errorTitle="Tipo de documento" error="Valor incorrecto. Respete las opciones de la lista" promptTitle="Tipo de documento" prompt="Seleccione una opción de la lista" type="list">
      <formula1>$V$18:$V$22</formula1>
    </dataValidation>
    <dataValidation sqref="L10:Q10" showDropDown="0" showInputMessage="1" showErrorMessage="1" allowBlank="0" type="list">
      <formula1>$AB$15:$AB$29</formula1>
    </dataValidation>
  </dataValidations>
  <hyperlinks>
    <hyperlink xmlns:r="http://schemas.openxmlformats.org/officeDocument/2006/relationships" ref="K20" display="=@'Acta Verificación '!K19:L19" r:id="rId1"/>
  </hyperlinks>
  <pageMargins left="0.984251968503937" right="0.3937007874015748" top="0.3937007874015748" bottom="0.3937007874015748" header="0" footer="0"/>
  <pageSetup orientation="portrait" paperSize="9" scale="88"/>
  <legacyDrawing xmlns:r="http://schemas.openxmlformats.org/officeDocument/2006/relationships" r:id="anysvml"/>
</worksheet>
</file>

<file path=xl/worksheets/sheet9.xml><?xml version="1.0" encoding="utf-8"?>
<worksheet xmlns="http://schemas.openxmlformats.org/spreadsheetml/2006/main">
  <sheetPr codeName="Hoja8">
    <outlinePr summaryBelow="1" summaryRight="1"/>
    <pageSetUpPr/>
  </sheetPr>
  <dimension ref="A1:AW135"/>
  <sheetViews>
    <sheetView view="pageBreakPreview" zoomScaleNormal="100" zoomScaleSheetLayoutView="100" workbookViewId="0">
      <selection activeCell="G7" sqref="G7:H7"/>
    </sheetView>
  </sheetViews>
  <sheetFormatPr baseColWidth="10" defaultColWidth="11.42578125" defaultRowHeight="15"/>
  <cols>
    <col width="11.42578125" customWidth="1" style="1083" min="1" max="1"/>
    <col width="12.85546875" customWidth="1" style="1083" min="2" max="2"/>
    <col width="20" customWidth="1" style="1083" min="3" max="3"/>
    <col width="7.5703125" customWidth="1" style="390" min="4" max="4"/>
    <col width="7.5703125" customWidth="1" style="391" min="5" max="5"/>
    <col width="15.140625" customWidth="1" style="1083" min="6" max="6"/>
    <col width="7.5703125" customWidth="1" style="1083" min="7" max="7"/>
    <col width="7.5703125" customWidth="1" style="391" min="8" max="8"/>
    <col width="19.7109375" customWidth="1" style="1083" min="9" max="9"/>
    <col width="18.140625" customWidth="1" style="1083" min="10" max="10"/>
    <col width="35.5703125" customWidth="1" style="1083" min="11" max="11"/>
    <col width="11.7109375" bestFit="1" customWidth="1" style="1083" min="12" max="12"/>
    <col width="11.42578125" customWidth="1" style="1083" min="13" max="14"/>
    <col width="11.42578125" customWidth="1" style="392" min="15" max="15"/>
    <col width="11.42578125" customWidth="1" style="1083" min="16" max="16384"/>
  </cols>
  <sheetData>
    <row r="1" ht="36" customFormat="1" customHeight="1" s="1157" thickBot="1">
      <c r="A1" s="1351" t="inlineStr">
        <is>
          <t>Revisó y aprobó:</t>
        </is>
      </c>
      <c r="B1" s="389" t="n"/>
      <c r="C1" s="1352">
        <f>CONCATENATE('Datos de Ensayos'!E3," - ",'Datos de Ensayos'!E4)</f>
        <v/>
      </c>
      <c r="D1" s="388" t="n"/>
      <c r="E1" s="388" t="n"/>
      <c r="F1" s="388" t="n"/>
      <c r="G1" s="388" t="n"/>
      <c r="H1" s="389" t="n"/>
      <c r="I1" s="25" t="n"/>
      <c r="J1" s="25" t="n"/>
      <c r="K1" s="25" t="inlineStr">
        <is>
          <t>FALTA DE MEDIOS</t>
        </is>
      </c>
      <c r="L1" s="1157" t="inlineStr">
        <is>
          <t>La verificación programada para el día de la fecha se suspende por falta de medios para realizarla.</t>
        </is>
      </c>
      <c r="M1" s="1157" t="inlineStr">
        <is>
          <t>por falta de medios para realizarla.</t>
        </is>
      </c>
      <c r="O1" s="26" t="n"/>
      <c r="P1" s="22" t="n"/>
      <c r="Q1" s="24" t="n"/>
      <c r="R1" s="22" t="n"/>
      <c r="S1" s="23" t="n"/>
      <c r="T1" s="23" t="n"/>
      <c r="V1" s="22" t="n"/>
      <c r="AJ1" s="23" t="n"/>
      <c r="AK1" s="23" t="n"/>
      <c r="AL1" s="27" t="n"/>
      <c r="AM1" s="23" t="n"/>
      <c r="AN1" s="23" t="n"/>
      <c r="AO1" s="28" t="n"/>
      <c r="AP1" s="29" t="n"/>
      <c r="AQ1" s="1341" t="n"/>
      <c r="AR1" s="23" t="n"/>
    </row>
    <row r="2" ht="26.25" customHeight="1" thickBot="1">
      <c r="J2" s="48" t="inlineStr">
        <is>
          <t>Ö</t>
        </is>
      </c>
      <c r="K2" s="1083" t="inlineStr">
        <is>
          <t>INSTRUMENTO NO APTO</t>
        </is>
      </c>
      <c r="L2" s="1083" t="inlineStr">
        <is>
          <t>La verificación programada para el día de la fecha se suspende porque el instrumento no está en condiciones de ser verificado.</t>
        </is>
      </c>
      <c r="M2" s="1083" t="inlineStr">
        <is>
          <t>debido a que el instrumento no está en condiciones de ser verificado.</t>
        </is>
      </c>
    </row>
    <row r="3" ht="21" customHeight="1" thickBot="1">
      <c r="A3" s="1353" t="n"/>
      <c r="B3" s="388" t="n"/>
      <c r="C3" s="388" t="n"/>
      <c r="D3" s="388" t="n"/>
      <c r="E3" s="388" t="n"/>
      <c r="F3" s="388" t="n"/>
      <c r="G3" s="388" t="n"/>
      <c r="H3" s="389" t="n"/>
      <c r="K3" s="1083" t="inlineStr">
        <is>
          <t>FACTORES CLIMÁTICOS</t>
        </is>
      </c>
      <c r="L3" s="1083" t="inlineStr">
        <is>
          <t>suspensión sin cargo al solicitante. No se emite informe</t>
        </is>
      </c>
      <c r="M3" s="1083" t="inlineStr">
        <is>
          <t>por factores climáticos adversos.</t>
        </is>
      </c>
    </row>
    <row r="4" hidden="1" ht="6.75" customHeight="1">
      <c r="D4" s="1083" t="n"/>
      <c r="I4" s="393" t="n"/>
    </row>
    <row r="5" ht="18" customHeight="1">
      <c r="A5" s="1166" t="inlineStr">
        <is>
          <t>INFORME DE VERIFICACIÓN</t>
        </is>
      </c>
      <c r="I5" s="393" t="n"/>
    </row>
    <row r="6" ht="3.75" customHeight="1" thickBot="1">
      <c r="A6" s="1157" t="n"/>
      <c r="B6" s="1157" t="n"/>
      <c r="C6" s="1157" t="n"/>
      <c r="D6" s="1157" t="n"/>
      <c r="E6" s="1157" t="n"/>
      <c r="F6" s="1157" t="n"/>
      <c r="G6" s="1157" t="n"/>
      <c r="H6" s="394" t="n"/>
      <c r="I6" s="393" t="n"/>
    </row>
    <row r="7" ht="22.5" customHeight="1" thickBot="1">
      <c r="A7" s="1167">
        <f>CONCATENATE("N° O.T.: ",'Identificación del Instrumento'!B4)</f>
        <v/>
      </c>
      <c r="G7" s="1168" t="n"/>
      <c r="I7" s="13" t="inlineStr"/>
      <c r="J7" s="10" t="n"/>
      <c r="K7" s="10" t="n"/>
      <c r="L7" s="10" t="n"/>
      <c r="M7" s="10" t="n"/>
      <c r="N7" s="10" t="n"/>
      <c r="O7" s="1342" t="inlineStr">
        <is>
          <t>MARGENES DE INFORME PARA J JONES</t>
        </is>
      </c>
      <c r="P7" s="388" t="n"/>
      <c r="Q7" s="388" t="n"/>
      <c r="R7" s="388" t="n"/>
      <c r="S7" s="388" t="n"/>
      <c r="T7" s="389" t="n"/>
    </row>
    <row r="8" ht="24.75" customHeight="1">
      <c r="A8" s="1152">
        <f>IF(OR(ISBLANK('Identificación del Instrumento'!B22),ISBLANK('Identificación del Instrumento'!D29),ISBLANK('Identificación del Instrumento'!D30),ISBLANK('Identificación del Instrumento'!F30)),"",CONCATENATE("Objeto:  ",'Identificación del Instrumento'!B22,", de capacidad máxima ",'Datos de Ensayos'!I18," kg,"," mínima división ",'Datos de Ensayos'!E18," kg, clase ",'Datos de Ensayos'!J17,", de tipo ",'Datos de Ensayos'!E17,"."))</f>
        <v/>
      </c>
      <c r="J8" s="10" t="n"/>
      <c r="K8" s="10" t="n"/>
      <c r="L8" s="10" t="n"/>
      <c r="M8" s="10" t="n"/>
      <c r="N8" s="10" t="n"/>
      <c r="O8" s="418" t="n"/>
      <c r="P8" s="193" t="n"/>
      <c r="Q8" s="419" t="inlineStr">
        <is>
          <t>SUP 4,3</t>
        </is>
      </c>
      <c r="R8" s="419" t="n"/>
      <c r="S8" s="419" t="n"/>
      <c r="T8" s="420" t="inlineStr">
        <is>
          <t>ENCAB 5</t>
        </is>
      </c>
    </row>
    <row r="9" ht="9.75" customHeight="1">
      <c r="O9" s="421" t="n"/>
      <c r="T9" s="423" t="n"/>
    </row>
    <row r="10" ht="15.75" customHeight="1">
      <c r="A10" s="1152">
        <f>Informe!A7</f>
        <v/>
      </c>
      <c r="O10" s="421" t="inlineStr">
        <is>
          <t>IZQ 1,6</t>
        </is>
      </c>
      <c r="S10" s="1083" t="inlineStr">
        <is>
          <t>DER 1,8</t>
        </is>
      </c>
      <c r="T10" s="423" t="n"/>
    </row>
    <row r="11" ht="15.95" customHeight="1">
      <c r="A11" s="1152">
        <f>Informe!A9</f>
        <v/>
      </c>
      <c r="O11" s="421" t="n"/>
      <c r="T11" s="423" t="n"/>
    </row>
    <row r="12" ht="15.95" customHeight="1">
      <c r="A12" s="1152">
        <f>Informe!A10</f>
        <v/>
      </c>
      <c r="I12" s="13" t="inlineStr"/>
      <c r="J12" s="10" t="n"/>
      <c r="K12" s="10" t="n"/>
      <c r="L12" s="10" t="n"/>
      <c r="M12" s="10" t="n"/>
      <c r="N12" s="10" t="n"/>
      <c r="O12" s="422" t="n"/>
      <c r="T12" s="423" t="n"/>
    </row>
    <row r="13" ht="15.95" customHeight="1">
      <c r="A13" s="1152">
        <f>Informe!A14</f>
        <v/>
      </c>
      <c r="I13" s="13" t="inlineStr"/>
      <c r="J13" s="10" t="n"/>
      <c r="K13" s="10" t="n"/>
      <c r="L13" s="10" t="n"/>
      <c r="M13" s="10" t="n"/>
      <c r="N13" s="10" t="n"/>
      <c r="O13" s="422" t="n"/>
      <c r="Q13" s="1083" t="inlineStr">
        <is>
          <t>INF 5,5</t>
        </is>
      </c>
      <c r="T13" s="423" t="inlineStr">
        <is>
          <t>PIE 4,5</t>
        </is>
      </c>
    </row>
    <row r="14" hidden="1" ht="15.95" customHeight="1">
      <c r="A14" s="1152" t="n"/>
      <c r="I14" s="13" t="n"/>
      <c r="J14" s="10" t="n"/>
      <c r="K14" s="10" t="n"/>
      <c r="L14" s="10" t="n"/>
      <c r="M14" s="10" t="n"/>
      <c r="N14" s="10" t="n"/>
      <c r="O14" s="422" t="n"/>
      <c r="T14" s="423" t="n"/>
    </row>
    <row r="15" ht="15.95" customHeight="1" thickBot="1">
      <c r="A15" s="1152">
        <f>Informe!A15</f>
        <v/>
      </c>
      <c r="I15" s="13" t="inlineStr"/>
      <c r="J15" s="10" t="n"/>
      <c r="K15" s="10" t="n"/>
      <c r="L15" s="10" t="n"/>
      <c r="M15" s="10" t="n"/>
      <c r="N15" s="10" t="n"/>
      <c r="O15" s="422" t="n"/>
      <c r="T15" s="423" t="n"/>
    </row>
    <row r="16" ht="21.6" customHeight="1" thickBot="1">
      <c r="I16" s="13" t="inlineStr"/>
      <c r="J16" s="1171">
        <f>IF('Acta Suspensión'!L10='Acta Suspensión'!AB29,'Acta Suspensión'!L14,(VLOOKUP('Acta Suspensión'!L10,'Acta Suspensión'!AB15:AC28,2)))</f>
        <v/>
      </c>
      <c r="O16" s="1342" t="inlineStr">
        <is>
          <t>ESCALA 100%</t>
        </is>
      </c>
      <c r="P16" s="388" t="n"/>
      <c r="Q16" s="388" t="n"/>
      <c r="R16" s="388" t="n"/>
      <c r="S16" s="388" t="n"/>
      <c r="T16" s="389" t="n"/>
    </row>
    <row r="17" ht="30.75" customHeight="1">
      <c r="A17" s="1110">
        <f>Informe!A16</f>
        <v/>
      </c>
      <c r="O17" s="1083" t="n"/>
    </row>
    <row r="18" ht="15" customHeight="1">
      <c r="A18" s="1110" t="inlineStr">
        <is>
          <t xml:space="preserve">Determinación requerida: </t>
        </is>
      </c>
      <c r="C18" s="1152">
        <f>IF(COUNTA('Identificación del Instrumento'!$B$22)=1,VLOOKUP('Identificación del Instrumento'!$J$22,Informe!$I$17:$J$18,2,FALSE),"")</f>
        <v/>
      </c>
      <c r="I18" s="13" t="n"/>
      <c r="L18" s="10" t="n"/>
      <c r="M18" s="10" t="n"/>
      <c r="N18" s="10" t="n"/>
    </row>
    <row r="19" ht="15" customHeight="1">
      <c r="A19" s="1152" t="n"/>
      <c r="B19" s="1152" t="n"/>
      <c r="L19" s="5" t="n"/>
      <c r="M19" s="5" t="n"/>
    </row>
    <row r="20" ht="16.5" customHeight="1">
      <c r="A20" s="1152" t="n"/>
      <c r="B20" s="1152" t="n"/>
      <c r="L20" s="5" t="n"/>
      <c r="M20" s="5" t="n"/>
    </row>
    <row r="21" hidden="1" ht="4.5" customHeight="1">
      <c r="A21" s="1152" t="n"/>
      <c r="B21" s="1152" t="n"/>
      <c r="C21" s="1152" t="n"/>
      <c r="D21" s="1152" t="n"/>
      <c r="F21" s="1152" t="n"/>
      <c r="G21" s="1152" t="n"/>
      <c r="I21" s="744" t="n"/>
      <c r="J21" s="744" t="n"/>
      <c r="K21" s="744" t="n"/>
      <c r="M21" s="10" t="n"/>
      <c r="N21" s="10" t="n"/>
    </row>
    <row r="22" ht="17.25" customHeight="1">
      <c r="A22" s="1172" t="inlineStr">
        <is>
          <t>Conclusión</t>
        </is>
      </c>
      <c r="I22" s="747" t="n">
        <v>1</v>
      </c>
      <c r="J22" s="396" t="inlineStr">
        <is>
          <t>Verificación del cumplimiento con las Reglamentaciones Metrológica y Técnica correspondientes a la Resolución ex S.E.C. y N.E.I. N° 2307/1980.</t>
        </is>
      </c>
      <c r="K22" s="745" t="n"/>
      <c r="M22" s="10" t="n"/>
      <c r="N22" s="10" t="n"/>
      <c r="U22" s="1083" t="inlineStr">
        <is>
          <t>Párrafos de las Reglamentaciones Metrológica y Técnica, Resolución 2307/80</t>
        </is>
      </c>
    </row>
    <row r="23" ht="54" customHeight="1">
      <c r="A23" s="1110">
        <f>CONCATENATE("La verificación programada para el día de la fecha se suspende por el siguinete motivo: ",J16, ".")</f>
        <v/>
      </c>
      <c r="I23" s="747" t="n">
        <v>2</v>
      </c>
      <c r="J23" s="396" t="inlineStr">
        <is>
          <t>Verificación del cumplimiento con las Reglamentaciones Metrológica y Técnica correspondientes a las Resoluciones ex S.E.C. y N.E.I. N° 2307/1980 y S.C.D. y D.C. N° 119/2001.</t>
        </is>
      </c>
      <c r="K23" s="745" t="n"/>
      <c r="M23" s="10" t="n"/>
      <c r="N23" s="10" t="n"/>
      <c r="U23" s="1083" t="inlineStr">
        <is>
          <t>Párrafos de las Reglamentaciones Metrológica y Técnica, Resoluciones 2307/80 y 119/2001 (*)</t>
        </is>
      </c>
    </row>
    <row r="24" ht="16.5" customFormat="1" customHeight="1" s="392">
      <c r="A24" s="1153">
        <f>CONCATENATE("Fecha de la verificación:  ")</f>
        <v/>
      </c>
      <c r="D24" s="1354">
        <f>Informe!D28</f>
        <v/>
      </c>
      <c r="G24" s="1354" t="n"/>
      <c r="I24" s="1083" t="n"/>
      <c r="J24" s="1083" t="n"/>
      <c r="K24" s="1083" t="n"/>
      <c r="L24" s="1083" t="n"/>
      <c r="M24" s="1345" t="n"/>
      <c r="N24" s="1083" t="n"/>
      <c r="P24" s="1083" t="n"/>
      <c r="Q24" s="1083" t="n"/>
      <c r="R24" s="1083" t="n"/>
      <c r="S24" s="1083" t="n"/>
      <c r="T24" s="1083" t="n"/>
      <c r="U24" s="1083" t="n"/>
      <c r="V24" s="1083" t="n"/>
      <c r="W24" s="1083" t="n"/>
      <c r="X24" s="1083" t="n"/>
      <c r="Y24" s="1083" t="n"/>
      <c r="Z24" s="1083" t="n"/>
      <c r="AA24" s="1083" t="n"/>
      <c r="AB24" s="1083" t="n"/>
      <c r="AC24" s="1083" t="n"/>
      <c r="AD24" s="1083" t="n"/>
      <c r="AE24" s="1083" t="n"/>
      <c r="AF24" s="1083" t="n"/>
      <c r="AG24" s="1083" t="n"/>
      <c r="AH24" s="1083" t="n"/>
      <c r="AI24" s="1083" t="n"/>
      <c r="AJ24" s="1083" t="n"/>
      <c r="AK24" s="1083" t="n"/>
      <c r="AL24" s="1083" t="n"/>
      <c r="AM24" s="1083" t="n"/>
      <c r="AN24" s="1083" t="n"/>
      <c r="AO24" s="1083" t="n"/>
      <c r="AP24" s="1083" t="n"/>
      <c r="AQ24" s="1083" t="n"/>
      <c r="AR24" s="1083" t="n"/>
      <c r="AS24" s="1083" t="n"/>
      <c r="AT24" s="1083" t="n"/>
      <c r="AU24" s="1083" t="n"/>
      <c r="AV24" s="1083" t="n"/>
      <c r="AW24" s="1083" t="n"/>
    </row>
    <row r="25" ht="16.5" customFormat="1" customHeight="1" s="392">
      <c r="A25" s="1153">
        <f>CONCATENATE("Fecha de emisión:  ")</f>
        <v/>
      </c>
      <c r="D25" s="1354">
        <f>TODAY()</f>
        <v/>
      </c>
      <c r="I25" s="1083" t="n"/>
      <c r="J25" s="1083" t="n"/>
      <c r="K25" s="1083" t="n"/>
      <c r="L25" s="1083" t="n"/>
      <c r="M25" s="1345" t="n"/>
      <c r="N25" s="1083" t="n"/>
      <c r="P25" s="1083" t="n"/>
      <c r="Q25" s="1083" t="n"/>
      <c r="R25" s="1083" t="n"/>
      <c r="S25" s="1083" t="n"/>
      <c r="T25" s="1083" t="n"/>
      <c r="U25" s="1083" t="n"/>
      <c r="V25" s="1083" t="n"/>
      <c r="W25" s="1083" t="n"/>
      <c r="X25" s="1083" t="n"/>
      <c r="Y25" s="1083" t="n"/>
      <c r="Z25" s="1083" t="n"/>
      <c r="AA25" s="1083" t="n"/>
      <c r="AB25" s="1083" t="n"/>
      <c r="AC25" s="1083" t="n"/>
      <c r="AD25" s="1083" t="n"/>
      <c r="AE25" s="1083" t="n"/>
      <c r="AF25" s="1083" t="n"/>
      <c r="AG25" s="1083" t="n"/>
      <c r="AH25" s="1083" t="n"/>
      <c r="AI25" s="1083" t="n"/>
      <c r="AJ25" s="1083" t="n"/>
      <c r="AK25" s="1083" t="n"/>
      <c r="AL25" s="1083" t="n"/>
      <c r="AM25" s="1083" t="n"/>
      <c r="AN25" s="1083" t="n"/>
      <c r="AO25" s="1083" t="n"/>
      <c r="AP25" s="1083" t="n"/>
      <c r="AQ25" s="1083" t="n"/>
      <c r="AR25" s="1083" t="n"/>
      <c r="AS25" s="1083" t="n"/>
      <c r="AT25" s="1083" t="n"/>
      <c r="AU25" s="1083" t="n"/>
      <c r="AV25" s="1083" t="n"/>
      <c r="AW25" s="1083" t="n"/>
    </row>
    <row r="26" ht="16.5" customFormat="1" customHeight="1" s="392">
      <c r="A26" s="1154" t="inlineStr">
        <is>
          <t>Los registros de verificación se encuentran archivados en el INTI.</t>
        </is>
      </c>
      <c r="I26" s="1083" t="n"/>
      <c r="J26" s="1083" t="n"/>
      <c r="K26" s="1083" t="n"/>
      <c r="L26" s="1083" t="n"/>
      <c r="M26" s="1345" t="n"/>
      <c r="N26" s="1083" t="n"/>
      <c r="P26" s="1083" t="n"/>
      <c r="Q26" s="1083" t="n"/>
      <c r="R26" s="1083" t="n"/>
      <c r="S26" s="1083" t="n"/>
      <c r="T26" s="1083" t="n"/>
      <c r="U26" s="1083" t="n"/>
      <c r="V26" s="1083" t="n"/>
      <c r="W26" s="1083" t="n"/>
      <c r="X26" s="1083" t="n"/>
      <c r="Y26" s="1083" t="n"/>
      <c r="Z26" s="1083" t="n"/>
      <c r="AA26" s="1083" t="n"/>
      <c r="AB26" s="1083" t="n"/>
      <c r="AC26" s="1083" t="n"/>
      <c r="AD26" s="1083" t="n"/>
      <c r="AE26" s="1083" t="n"/>
      <c r="AF26" s="1083" t="n"/>
      <c r="AG26" s="1083" t="n"/>
      <c r="AH26" s="1083" t="n"/>
      <c r="AI26" s="1083" t="n"/>
      <c r="AJ26" s="1083" t="n"/>
      <c r="AK26" s="1083" t="n"/>
      <c r="AL26" s="1083" t="n"/>
      <c r="AM26" s="1083" t="n"/>
      <c r="AN26" s="1083" t="n"/>
      <c r="AO26" s="1083" t="n"/>
      <c r="AP26" s="1083" t="n"/>
      <c r="AQ26" s="1083" t="n"/>
      <c r="AR26" s="1083" t="n"/>
      <c r="AS26" s="1083" t="n"/>
      <c r="AT26" s="1083" t="n"/>
      <c r="AU26" s="1083" t="n"/>
      <c r="AV26" s="1083" t="n"/>
      <c r="AW26" s="1083" t="n"/>
    </row>
    <row r="27" hidden="1" ht="6" customFormat="1" customHeight="1" s="392">
      <c r="A27" s="1153" t="n"/>
      <c r="B27" s="1153" t="n"/>
      <c r="C27" s="1153" t="n"/>
      <c r="D27" s="1354" t="n"/>
      <c r="E27" s="1354" t="n"/>
      <c r="F27" s="1354" t="n"/>
      <c r="G27" s="1354" t="n"/>
      <c r="H27" s="1354" t="n"/>
      <c r="I27" s="1083" t="n"/>
      <c r="J27" s="1083" t="n"/>
      <c r="K27" s="1083" t="n"/>
      <c r="L27" s="1083" t="n"/>
      <c r="M27" s="1345" t="n"/>
      <c r="N27" s="1083" t="n"/>
      <c r="P27" s="1083" t="n"/>
      <c r="Q27" s="1083" t="n"/>
      <c r="R27" s="1083" t="n"/>
      <c r="S27" s="1083" t="n"/>
      <c r="T27" s="1083" t="n"/>
      <c r="U27" s="1083" t="n"/>
      <c r="V27" s="1083" t="n"/>
      <c r="W27" s="1083" t="n"/>
      <c r="X27" s="1083" t="n"/>
      <c r="Y27" s="1083" t="n"/>
      <c r="Z27" s="1083" t="n"/>
      <c r="AA27" s="1083" t="n"/>
      <c r="AB27" s="1083" t="n"/>
      <c r="AC27" s="1083" t="n"/>
      <c r="AD27" s="1083" t="n"/>
      <c r="AE27" s="1083" t="n"/>
      <c r="AF27" s="1083" t="n"/>
      <c r="AG27" s="1083" t="n"/>
      <c r="AH27" s="1083" t="n"/>
      <c r="AI27" s="1083" t="n"/>
      <c r="AJ27" s="1083" t="n"/>
      <c r="AK27" s="1083" t="n"/>
      <c r="AL27" s="1083" t="n"/>
      <c r="AM27" s="1083" t="n"/>
      <c r="AN27" s="1083" t="n"/>
      <c r="AO27" s="1083" t="n"/>
      <c r="AP27" s="1083" t="n"/>
      <c r="AQ27" s="1083" t="n"/>
      <c r="AR27" s="1083" t="n"/>
      <c r="AS27" s="1083" t="n"/>
      <c r="AT27" s="1083" t="n"/>
      <c r="AU27" s="1083" t="n"/>
      <c r="AV27" s="1083" t="n"/>
      <c r="AW27" s="1083" t="n"/>
    </row>
    <row r="28" ht="5.25" customFormat="1" customHeight="1" s="392">
      <c r="A28" s="1156" t="inlineStr">
        <is>
          <t>Las mediciones involucradas en este certificado están vinculadas a los patrones de medida mantenidos en el INTI según la legislación vigente, los cuales representan a las unidades físicas de medida en concordancia con el Sistema Internacional de Unidades (SI).</t>
        </is>
      </c>
      <c r="I28" s="1083" t="n"/>
      <c r="J28" s="1083" t="n"/>
      <c r="K28" s="1083" t="n"/>
      <c r="L28" s="1083" t="n"/>
      <c r="M28" s="1345" t="n"/>
      <c r="N28" s="1083" t="n"/>
      <c r="P28" s="1083" t="n"/>
      <c r="Q28" s="1083" t="n"/>
      <c r="R28" s="1083" t="n"/>
      <c r="S28" s="1083" t="n"/>
      <c r="T28" s="1083" t="n"/>
      <c r="U28" s="1083" t="n"/>
      <c r="V28" s="1083" t="n"/>
      <c r="W28" s="1083" t="n"/>
      <c r="X28" s="1083" t="n"/>
      <c r="Y28" s="1083" t="n"/>
      <c r="Z28" s="1083" t="n"/>
      <c r="AA28" s="1083" t="n"/>
      <c r="AB28" s="1083" t="n"/>
      <c r="AC28" s="1083" t="n"/>
      <c r="AD28" s="1083" t="n"/>
      <c r="AE28" s="1083" t="n"/>
      <c r="AF28" s="1083" t="n"/>
      <c r="AG28" s="1083" t="n"/>
      <c r="AH28" s="1083" t="n"/>
      <c r="AI28" s="1083" t="n"/>
      <c r="AJ28" s="1083" t="n"/>
      <c r="AK28" s="1083" t="n"/>
      <c r="AL28" s="1083" t="n"/>
      <c r="AM28" s="1083" t="n"/>
      <c r="AN28" s="1083" t="n"/>
      <c r="AO28" s="1083" t="n"/>
      <c r="AP28" s="1083" t="n"/>
      <c r="AQ28" s="1083" t="n"/>
      <c r="AR28" s="1083" t="n"/>
      <c r="AS28" s="1083" t="n"/>
      <c r="AT28" s="1083" t="n"/>
      <c r="AU28" s="1083" t="n"/>
      <c r="AV28" s="1083" t="n"/>
      <c r="AW28" s="1083" t="n"/>
    </row>
    <row r="29" ht="55.5" customFormat="1" customHeight="1" s="392">
      <c r="I29" s="1083" t="n"/>
      <c r="J29" s="1083" t="n"/>
      <c r="K29" s="1083" t="n"/>
      <c r="L29" s="1083" t="n"/>
      <c r="M29" s="1345" t="n"/>
      <c r="N29" s="1083" t="n"/>
      <c r="P29" s="1083" t="n"/>
      <c r="Q29" s="1083" t="n"/>
      <c r="R29" s="1083" t="n"/>
      <c r="S29" s="1083" t="n"/>
      <c r="T29" s="1083" t="n"/>
      <c r="U29" s="1083" t="n"/>
      <c r="V29" s="1083" t="n"/>
      <c r="W29" s="1083" t="n"/>
      <c r="X29" s="1083" t="n"/>
      <c r="Y29" s="1083" t="n"/>
      <c r="Z29" s="1083" t="n"/>
      <c r="AA29" s="1083" t="n"/>
      <c r="AB29" s="1083" t="n"/>
      <c r="AC29" s="1083" t="n"/>
      <c r="AD29" s="1083" t="n"/>
      <c r="AE29" s="1083" t="n"/>
      <c r="AF29" s="1083" t="n"/>
      <c r="AG29" s="1083" t="n"/>
      <c r="AH29" s="1083" t="n"/>
      <c r="AI29" s="1083" t="n"/>
      <c r="AJ29" s="1083" t="n"/>
      <c r="AK29" s="1083" t="n"/>
      <c r="AL29" s="1083" t="n"/>
      <c r="AM29" s="1083" t="n"/>
      <c r="AN29" s="1083" t="n"/>
      <c r="AO29" s="1083" t="n"/>
      <c r="AP29" s="1083" t="n"/>
      <c r="AQ29" s="1083" t="n"/>
      <c r="AR29" s="1083" t="n"/>
      <c r="AS29" s="1083" t="n"/>
      <c r="AT29" s="1083" t="n"/>
      <c r="AU29" s="1083" t="n"/>
      <c r="AV29" s="1083" t="n"/>
      <c r="AW29" s="1083" t="n"/>
    </row>
    <row r="30" ht="0.75" customFormat="1" customHeight="1" s="392">
      <c r="A30" s="1157" t="n"/>
      <c r="B30" s="1157" t="n"/>
      <c r="C30" s="1157" t="n"/>
      <c r="D30" s="1157" t="n"/>
      <c r="F30" s="1354" t="n"/>
      <c r="G30" s="1354" t="n"/>
      <c r="I30" s="1083" t="n"/>
      <c r="J30" s="1083" t="n"/>
      <c r="K30" s="1083" t="n"/>
      <c r="L30" s="1083" t="n"/>
      <c r="M30" s="1345" t="n"/>
      <c r="N30" s="1083" t="n"/>
      <c r="P30" s="1083" t="n"/>
      <c r="Q30" s="1083" t="n"/>
      <c r="R30" s="1083" t="n"/>
      <c r="S30" s="1083" t="n"/>
      <c r="T30" s="1083" t="n"/>
      <c r="U30" s="1083" t="n"/>
      <c r="V30" s="1083" t="n"/>
      <c r="W30" s="1083" t="n"/>
      <c r="X30" s="1083" t="n"/>
      <c r="Y30" s="1083" t="n"/>
      <c r="Z30" s="1083" t="n"/>
      <c r="AA30" s="1083" t="n"/>
      <c r="AB30" s="1083" t="n"/>
      <c r="AC30" s="1083" t="n"/>
      <c r="AD30" s="1083" t="n"/>
      <c r="AE30" s="1083" t="n"/>
      <c r="AF30" s="1083" t="n"/>
      <c r="AG30" s="1083" t="n"/>
      <c r="AH30" s="1083" t="n"/>
      <c r="AI30" s="1083" t="n"/>
      <c r="AJ30" s="1083" t="n"/>
      <c r="AK30" s="1083" t="n"/>
      <c r="AL30" s="1083" t="n"/>
      <c r="AM30" s="1083" t="n"/>
      <c r="AN30" s="1083" t="n"/>
      <c r="AO30" s="1083" t="n"/>
      <c r="AP30" s="1083" t="n"/>
      <c r="AQ30" s="1083" t="n"/>
      <c r="AR30" s="1083" t="n"/>
      <c r="AS30" s="1083" t="n"/>
      <c r="AT30" s="1083" t="n"/>
      <c r="AU30" s="1083" t="n"/>
      <c r="AV30" s="1083" t="n"/>
      <c r="AW30" s="1083" t="n"/>
    </row>
    <row r="31" hidden="1" ht="24" customFormat="1" customHeight="1" s="392">
      <c r="A31" s="1151" t="n"/>
      <c r="I31" s="1083" t="n"/>
      <c r="J31" s="1083" t="n"/>
      <c r="K31" s="1083" t="n"/>
      <c r="L31" s="1083" t="n"/>
      <c r="M31" s="1345" t="n"/>
      <c r="N31" s="1083" t="n"/>
      <c r="P31" s="1083" t="n"/>
      <c r="Q31" s="1083" t="n"/>
      <c r="R31" s="1083" t="n"/>
      <c r="S31" s="1083" t="n"/>
      <c r="T31" s="1083" t="n"/>
      <c r="U31" s="1083" t="n"/>
      <c r="V31" s="1083" t="n"/>
      <c r="W31" s="1083" t="n"/>
      <c r="X31" s="1083" t="n"/>
      <c r="Y31" s="1083" t="n"/>
      <c r="Z31" s="1083" t="n"/>
      <c r="AA31" s="1083" t="n"/>
      <c r="AB31" s="1083" t="n"/>
      <c r="AC31" s="1083" t="n"/>
      <c r="AD31" s="1083" t="n"/>
      <c r="AE31" s="1083" t="n"/>
      <c r="AF31" s="1083" t="n"/>
      <c r="AG31" s="1083" t="n"/>
      <c r="AH31" s="1083" t="n"/>
      <c r="AI31" s="1083" t="n"/>
      <c r="AJ31" s="1083" t="n"/>
      <c r="AK31" s="1083" t="n"/>
      <c r="AL31" s="1083" t="n"/>
      <c r="AM31" s="1083" t="n"/>
      <c r="AN31" s="1083" t="n"/>
      <c r="AO31" s="1083" t="n"/>
      <c r="AP31" s="1083" t="n"/>
      <c r="AQ31" s="1083" t="n"/>
      <c r="AR31" s="1083" t="n"/>
      <c r="AS31" s="1083" t="n"/>
      <c r="AT31" s="1083" t="n"/>
      <c r="AU31" s="1083" t="n"/>
      <c r="AV31" s="1083" t="n"/>
      <c r="AW31" s="1083" t="n"/>
    </row>
    <row r="32" ht="15.75" customFormat="1" customHeight="1" s="392">
      <c r="A32" s="1169" t="inlineStr">
        <is>
          <t xml:space="preserve">Usuario: </t>
        </is>
      </c>
      <c r="B32" s="1155">
        <f>Informe!B33</f>
        <v/>
      </c>
      <c r="I32" s="393" t="n"/>
      <c r="J32" s="11" t="n"/>
      <c r="K32" s="11" t="n"/>
      <c r="L32" s="11" t="n"/>
      <c r="M32" s="11" t="n"/>
      <c r="N32" s="11" t="n"/>
      <c r="P32" s="1083" t="n"/>
      <c r="Q32" s="1083" t="n"/>
      <c r="R32" s="1083" t="n"/>
      <c r="S32" s="1083" t="n"/>
      <c r="T32" s="1083" t="n"/>
      <c r="U32" s="1083" t="n"/>
      <c r="V32" s="1083" t="n"/>
      <c r="W32" s="1083" t="n"/>
      <c r="X32" s="1083" t="n"/>
      <c r="Y32" s="1083" t="n"/>
      <c r="Z32" s="1083" t="n"/>
      <c r="AA32" s="1083" t="n"/>
      <c r="AB32" s="1083" t="n"/>
      <c r="AC32" s="1083" t="n"/>
      <c r="AD32" s="1083" t="n"/>
      <c r="AE32" s="1083" t="n"/>
      <c r="AF32" s="1083" t="n"/>
      <c r="AG32" s="1083" t="n"/>
      <c r="AH32" s="1083" t="n"/>
      <c r="AI32" s="1083" t="n"/>
      <c r="AJ32" s="1083" t="n"/>
      <c r="AK32" s="1083" t="n"/>
      <c r="AL32" s="1083" t="n"/>
      <c r="AM32" s="1083" t="n"/>
      <c r="AN32" s="1083" t="n"/>
      <c r="AO32" s="1083" t="n"/>
      <c r="AP32" s="1083" t="n"/>
      <c r="AQ32" s="1083" t="n"/>
      <c r="AR32" s="1083" t="n"/>
      <c r="AS32" s="1083" t="n"/>
      <c r="AT32" s="1083" t="n"/>
      <c r="AU32" s="1083" t="n"/>
      <c r="AV32" s="1083" t="n"/>
      <c r="AW32" s="1083" t="n"/>
    </row>
    <row r="33" ht="15" customFormat="1" customHeight="1" s="392">
      <c r="A33" s="621" t="n"/>
      <c r="B33" s="1155">
        <f>Informe!B34</f>
        <v/>
      </c>
      <c r="I33" s="393" t="n"/>
      <c r="J33" s="11" t="n"/>
      <c r="K33" s="11" t="n"/>
      <c r="L33" s="11" t="n"/>
      <c r="M33" s="11" t="n"/>
      <c r="N33" s="11" t="n"/>
      <c r="P33" s="1083" t="n"/>
      <c r="Q33" s="1083" t="n"/>
      <c r="R33" s="1083" t="n"/>
      <c r="S33" s="1083" t="n"/>
      <c r="T33" s="1083" t="n"/>
      <c r="U33" s="1083" t="n"/>
      <c r="V33" s="1083" t="n"/>
      <c r="W33" s="1083" t="n"/>
      <c r="X33" s="1083" t="n"/>
      <c r="Y33" s="1083" t="n"/>
      <c r="Z33" s="1083" t="n"/>
      <c r="AA33" s="1083" t="n"/>
      <c r="AB33" s="1083" t="n"/>
      <c r="AC33" s="1083" t="n"/>
      <c r="AD33" s="1083" t="n"/>
      <c r="AE33" s="1083" t="n"/>
      <c r="AF33" s="1083" t="n"/>
      <c r="AG33" s="1083" t="n"/>
      <c r="AH33" s="1083" t="n"/>
      <c r="AI33" s="1083" t="n"/>
      <c r="AJ33" s="1083" t="n"/>
      <c r="AK33" s="1083" t="n"/>
      <c r="AL33" s="1083" t="n"/>
      <c r="AM33" s="1083" t="n"/>
      <c r="AN33" s="1083" t="n"/>
      <c r="AO33" s="1083" t="n"/>
      <c r="AP33" s="1083" t="n"/>
      <c r="AQ33" s="1083" t="n"/>
      <c r="AR33" s="1083" t="n"/>
      <c r="AS33" s="1083" t="n"/>
      <c r="AT33" s="1083" t="n"/>
      <c r="AU33" s="1083" t="n"/>
      <c r="AV33" s="1083" t="n"/>
      <c r="AW33" s="1083" t="n"/>
    </row>
    <row r="34" ht="15.75" customHeight="1">
      <c r="A34" s="621" t="n"/>
      <c r="B34" s="1169">
        <f>Informe!B35</f>
        <v/>
      </c>
      <c r="I34" s="393" t="n"/>
      <c r="J34" s="11" t="n"/>
      <c r="K34" s="11" t="n"/>
      <c r="L34" s="11" t="n"/>
      <c r="M34" s="11" t="n"/>
      <c r="N34" s="11" t="n"/>
    </row>
    <row r="35" ht="15.75" customHeight="1">
      <c r="A35" s="4" t="n"/>
      <c r="B35" s="4" t="n"/>
      <c r="C35" s="4" t="n"/>
      <c r="D35" s="34" t="n"/>
      <c r="E35" s="42" t="n"/>
      <c r="F35" s="4" t="n"/>
      <c r="G35" s="4" t="n"/>
      <c r="N35" s="813" t="n"/>
      <c r="O35" s="1083" t="n"/>
    </row>
    <row r="36" ht="15.75" customHeight="1">
      <c r="A36" s="4" t="n"/>
      <c r="B36" s="4" t="n"/>
      <c r="C36" s="4" t="n"/>
      <c r="D36" s="34" t="n"/>
      <c r="E36" s="42" t="n"/>
      <c r="F36" s="4" t="n"/>
      <c r="G36" s="4" t="n"/>
      <c r="N36" s="813" t="n"/>
      <c r="O36" s="1083" t="n"/>
    </row>
    <row r="37" ht="15.75" customHeight="1">
      <c r="A37" s="4" t="n"/>
      <c r="B37" s="4" t="n"/>
      <c r="C37" s="4" t="n"/>
      <c r="D37" s="34" t="n"/>
      <c r="E37" s="42" t="n"/>
      <c r="F37" s="4" t="n"/>
      <c r="G37" s="4" t="n"/>
      <c r="N37" s="813" t="n"/>
      <c r="O37" s="1083" t="n"/>
    </row>
    <row r="38" ht="15.75" customHeight="1">
      <c r="A38" s="4" t="n"/>
      <c r="B38" s="4" t="n"/>
      <c r="C38" s="4" t="n"/>
      <c r="D38" s="34" t="n"/>
      <c r="E38" s="42" t="n"/>
      <c r="F38" s="4" t="n"/>
      <c r="G38" s="4" t="n"/>
      <c r="N38" s="813" t="n"/>
      <c r="O38" s="1083" t="n"/>
    </row>
    <row r="39" ht="15.75" customHeight="1">
      <c r="A39" s="4" t="n"/>
      <c r="B39" s="4" t="n"/>
      <c r="C39" s="4" t="n"/>
      <c r="D39" s="34" t="n"/>
      <c r="E39" s="42" t="n"/>
      <c r="F39" s="4" t="n"/>
      <c r="G39" s="4" t="n"/>
      <c r="N39" s="813" t="n"/>
      <c r="O39" s="1083" t="n"/>
    </row>
    <row r="40" ht="15.75" customHeight="1">
      <c r="A40" s="4" t="n"/>
      <c r="B40" s="4" t="n"/>
      <c r="C40" s="4" t="n"/>
      <c r="D40" s="34" t="n"/>
      <c r="E40" s="42" t="n"/>
      <c r="F40" s="4" t="n"/>
      <c r="G40" s="4" t="n"/>
      <c r="N40" s="813" t="n"/>
      <c r="O40" s="1083" t="n"/>
    </row>
    <row r="41" ht="15.75" customHeight="1">
      <c r="A41" s="4" t="n"/>
      <c r="B41" s="4" t="n"/>
      <c r="C41" s="4" t="n"/>
      <c r="D41" s="34" t="n"/>
      <c r="E41" s="42" t="n"/>
      <c r="F41" s="4" t="n"/>
      <c r="G41" s="4" t="n"/>
      <c r="N41" s="813" t="n"/>
      <c r="O41" s="1083" t="n"/>
    </row>
    <row r="42" ht="15.75" customHeight="1">
      <c r="A42" s="4" t="n"/>
      <c r="B42" s="4" t="n"/>
      <c r="C42" s="4" t="n"/>
      <c r="D42" s="34" t="n"/>
      <c r="E42" s="42" t="n"/>
      <c r="F42" s="4" t="n"/>
      <c r="G42" s="4" t="n"/>
      <c r="N42" s="813" t="n"/>
      <c r="O42" s="1083" t="n"/>
    </row>
    <row r="43" ht="15.75" customHeight="1">
      <c r="A43" s="4" t="n"/>
      <c r="B43" s="4" t="n"/>
      <c r="C43" s="4" t="n"/>
      <c r="D43" s="34" t="n"/>
      <c r="E43" s="42" t="n"/>
      <c r="F43" s="4" t="n"/>
      <c r="G43" s="4" t="n"/>
      <c r="N43" s="813" t="n"/>
      <c r="O43" s="1083" t="n"/>
    </row>
    <row r="44" ht="15.75" customHeight="1">
      <c r="A44" s="4" t="n"/>
      <c r="B44" s="4" t="n"/>
      <c r="C44" s="4" t="n"/>
      <c r="D44" s="34" t="n"/>
      <c r="E44" s="42" t="n"/>
      <c r="F44" s="4" t="n"/>
      <c r="G44" s="4" t="n"/>
      <c r="N44" s="813" t="n"/>
      <c r="O44" s="1083" t="n"/>
    </row>
    <row r="45" ht="15.75" customHeight="1">
      <c r="A45" s="4" t="n"/>
      <c r="B45" s="4" t="n"/>
      <c r="C45" s="4" t="n"/>
      <c r="D45" s="34" t="n"/>
      <c r="E45" s="42" t="n"/>
      <c r="F45" s="4" t="n"/>
      <c r="G45" s="4" t="n"/>
      <c r="N45" s="813" t="n"/>
      <c r="O45" s="1083" t="n"/>
    </row>
    <row r="46" ht="15.75" customHeight="1">
      <c r="A46" s="4" t="n"/>
      <c r="B46" s="4" t="n"/>
      <c r="C46" s="4" t="n"/>
      <c r="D46" s="34" t="n"/>
      <c r="E46" s="42" t="n"/>
      <c r="F46" s="4" t="n"/>
      <c r="G46" s="4" t="n"/>
      <c r="N46" s="813" t="n"/>
      <c r="O46" s="1083" t="n"/>
    </row>
    <row r="47" ht="15.75" customHeight="1">
      <c r="A47" s="4" t="n"/>
      <c r="B47" s="4" t="n"/>
      <c r="C47" s="4" t="n"/>
      <c r="D47" s="34" t="n"/>
      <c r="E47" s="42" t="n"/>
      <c r="F47" s="4" t="n"/>
      <c r="G47" s="4" t="n"/>
      <c r="N47" s="813" t="n"/>
      <c r="O47" s="1083" t="n"/>
    </row>
    <row r="48" ht="15.75" customHeight="1">
      <c r="A48" s="4" t="n"/>
      <c r="B48" s="4" t="n"/>
      <c r="C48" s="4" t="n"/>
      <c r="D48" s="34" t="n"/>
      <c r="E48" s="42" t="n"/>
      <c r="F48" s="4" t="n"/>
      <c r="G48" s="4" t="n"/>
      <c r="N48" s="813" t="n"/>
      <c r="O48" s="1083" t="n"/>
    </row>
    <row r="49" ht="15.75" customHeight="1">
      <c r="A49" s="4" t="n"/>
      <c r="B49" s="4" t="n"/>
      <c r="C49" s="4" t="n"/>
      <c r="D49" s="34" t="n"/>
      <c r="E49" s="42" t="n"/>
      <c r="F49" s="4" t="n"/>
      <c r="G49" s="4" t="n"/>
      <c r="N49" s="813" t="n"/>
      <c r="O49" s="1083" t="n"/>
    </row>
    <row r="50" ht="15.75" customHeight="1">
      <c r="A50" s="4" t="n"/>
      <c r="B50" s="4" t="n"/>
      <c r="C50" s="4" t="n"/>
      <c r="D50" s="34" t="n"/>
      <c r="E50" s="42" t="n"/>
      <c r="F50" s="4" t="n"/>
      <c r="G50" s="4" t="n"/>
      <c r="N50" s="813" t="n"/>
      <c r="O50" s="1083" t="n"/>
    </row>
    <row r="51" ht="15.75" customHeight="1">
      <c r="A51" s="4" t="n"/>
      <c r="B51" s="4" t="n"/>
      <c r="C51" s="4" t="n"/>
      <c r="D51" s="34" t="n"/>
      <c r="E51" s="42" t="n"/>
      <c r="F51" s="4" t="n"/>
      <c r="G51" s="4" t="n"/>
      <c r="N51" s="813" t="n"/>
      <c r="O51" s="1083" t="n"/>
    </row>
    <row r="52" ht="15.75" customHeight="1">
      <c r="A52" s="4" t="n"/>
      <c r="B52" s="4" t="n"/>
      <c r="C52" s="4" t="n"/>
      <c r="D52" s="34" t="n"/>
      <c r="E52" s="42" t="n"/>
      <c r="F52" s="4" t="n"/>
      <c r="G52" s="4" t="n"/>
      <c r="N52" s="813" t="n"/>
      <c r="O52" s="1083" t="n"/>
    </row>
    <row r="53" ht="15.75" customHeight="1">
      <c r="A53" s="4" t="n"/>
      <c r="B53" s="4" t="n"/>
      <c r="C53" s="4" t="n"/>
      <c r="D53" s="34" t="n"/>
      <c r="E53" s="42" t="n"/>
      <c r="F53" s="4" t="n"/>
      <c r="G53" s="4" t="n"/>
      <c r="N53" s="813" t="n"/>
      <c r="O53" s="1083" t="n"/>
    </row>
    <row r="54" ht="15.75" customHeight="1">
      <c r="A54" s="4" t="n"/>
      <c r="B54" s="4" t="n"/>
      <c r="C54" s="4" t="n"/>
      <c r="D54" s="34" t="n"/>
      <c r="E54" s="42" t="n"/>
      <c r="F54" s="4" t="n"/>
      <c r="G54" s="4" t="n"/>
      <c r="N54" s="813" t="n"/>
      <c r="O54" s="1083" t="n"/>
    </row>
    <row r="55" ht="15.75" customHeight="1">
      <c r="A55" s="4" t="n"/>
      <c r="B55" s="4" t="n"/>
      <c r="C55" s="4" t="n"/>
      <c r="D55" s="34" t="n"/>
      <c r="E55" s="42" t="n"/>
      <c r="F55" s="4" t="n"/>
      <c r="G55" s="4" t="n"/>
      <c r="N55" s="813" t="n"/>
      <c r="O55" s="1083" t="n"/>
    </row>
    <row r="56" ht="15.75" customHeight="1">
      <c r="A56" s="4" t="n"/>
      <c r="B56" s="4" t="n"/>
      <c r="C56" s="4" t="n"/>
      <c r="D56" s="34" t="n"/>
      <c r="E56" s="42" t="n"/>
      <c r="F56" s="4" t="n"/>
      <c r="G56" s="4" t="n"/>
      <c r="N56" s="813" t="n"/>
      <c r="O56" s="1083" t="n"/>
    </row>
    <row r="57" ht="15.75" customHeight="1">
      <c r="A57" s="4" t="n"/>
      <c r="B57" s="4" t="n"/>
      <c r="C57" s="4" t="n"/>
      <c r="D57" s="34" t="n"/>
      <c r="E57" s="42" t="n"/>
      <c r="F57" s="4" t="n"/>
      <c r="G57" s="4" t="n"/>
      <c r="N57" s="813" t="n"/>
      <c r="O57" s="1083" t="n"/>
    </row>
    <row r="58" ht="15.75" customHeight="1">
      <c r="A58" s="4" t="n"/>
      <c r="B58" s="4" t="n"/>
      <c r="C58" s="4" t="n"/>
      <c r="D58" s="34" t="n"/>
      <c r="E58" s="42" t="n"/>
      <c r="F58" s="4" t="n"/>
      <c r="G58" s="4" t="n"/>
      <c r="N58" s="813" t="n"/>
      <c r="O58" s="1083" t="n"/>
    </row>
    <row r="59" ht="15.75" customHeight="1">
      <c r="A59" s="4" t="n"/>
      <c r="B59" s="4" t="n"/>
      <c r="C59" s="4" t="n"/>
      <c r="D59" s="34" t="n"/>
      <c r="E59" s="42" t="n"/>
      <c r="F59" s="4" t="n"/>
      <c r="G59" s="4" t="n"/>
      <c r="N59" s="813" t="n"/>
      <c r="O59" s="1083" t="n"/>
    </row>
    <row r="60" ht="15.75" customHeight="1">
      <c r="A60" s="4" t="n"/>
      <c r="B60" s="4" t="n"/>
      <c r="C60" s="4" t="n"/>
      <c r="D60" s="34" t="n"/>
      <c r="E60" s="42" t="n"/>
      <c r="F60" s="4" t="n"/>
      <c r="G60" s="4" t="n"/>
      <c r="N60" s="813" t="n"/>
      <c r="O60" s="1083" t="n"/>
    </row>
    <row r="61" ht="15.75" customHeight="1">
      <c r="A61" s="4" t="n"/>
      <c r="B61" s="4" t="n"/>
      <c r="C61" s="4" t="n"/>
      <c r="D61" s="34" t="n"/>
      <c r="E61" s="42" t="n"/>
      <c r="F61" s="4" t="n"/>
      <c r="G61" s="4" t="n"/>
      <c r="N61" s="813" t="n"/>
      <c r="O61" s="1083" t="n"/>
    </row>
    <row r="62" ht="15.75" customHeight="1">
      <c r="A62" s="4" t="n"/>
      <c r="B62" s="4" t="n"/>
      <c r="C62" s="4" t="n"/>
      <c r="D62" s="34" t="n"/>
      <c r="E62" s="42" t="n"/>
      <c r="F62" s="4" t="n"/>
      <c r="G62" s="4" t="n"/>
      <c r="N62" s="813" t="n"/>
      <c r="O62" s="1083" t="n"/>
    </row>
    <row r="63" ht="15.75" customHeight="1">
      <c r="A63" s="4" t="n"/>
      <c r="B63" s="4" t="n"/>
      <c r="C63" s="4" t="n"/>
      <c r="D63" s="34" t="n"/>
      <c r="E63" s="42" t="n"/>
      <c r="F63" s="4" t="n"/>
      <c r="G63" s="4" t="n"/>
      <c r="N63" s="813" t="n"/>
      <c r="O63" s="1083" t="n"/>
    </row>
    <row r="64" ht="15.75" customHeight="1">
      <c r="A64" s="4" t="n"/>
      <c r="B64" s="4" t="n"/>
      <c r="C64" s="4" t="n"/>
      <c r="D64" s="34" t="n"/>
      <c r="E64" s="42" t="n"/>
      <c r="F64" s="4" t="n"/>
      <c r="G64" s="4" t="n"/>
      <c r="N64" s="813" t="n"/>
      <c r="O64" s="1083" t="n"/>
    </row>
    <row r="65" ht="15.75" customHeight="1">
      <c r="A65" s="4" t="n"/>
      <c r="B65" s="4" t="n"/>
      <c r="C65" s="4" t="n"/>
      <c r="D65" s="34" t="n"/>
      <c r="E65" s="35" t="n"/>
      <c r="F65" s="1098" t="n"/>
      <c r="G65" s="1098" t="n"/>
      <c r="N65" s="813" t="n"/>
      <c r="O65" s="1083" t="n"/>
    </row>
    <row r="66" ht="15.75" customHeight="1">
      <c r="A66" s="4" t="n"/>
      <c r="B66" s="4" t="n"/>
      <c r="C66" s="4" t="n"/>
      <c r="D66" s="34" t="n"/>
      <c r="E66" s="35" t="n"/>
      <c r="F66" s="1098" t="n"/>
      <c r="G66" s="1098" t="n"/>
      <c r="N66" s="813" t="n"/>
      <c r="O66" s="1083" t="n"/>
    </row>
    <row r="67" ht="15.75" customHeight="1">
      <c r="A67" s="4" t="n"/>
      <c r="B67" s="4" t="n"/>
      <c r="C67" s="4" t="n"/>
      <c r="D67" s="34" t="n"/>
      <c r="E67" s="35" t="n"/>
      <c r="F67" s="1098" t="n"/>
      <c r="G67" s="1098" t="n"/>
      <c r="N67" s="813" t="n"/>
      <c r="O67" s="1083" t="n"/>
    </row>
    <row r="68" ht="15.75" customHeight="1">
      <c r="A68" s="4" t="n"/>
      <c r="B68" s="4" t="n"/>
      <c r="C68" s="4" t="n"/>
      <c r="D68" s="34" t="n"/>
      <c r="E68" s="35" t="n"/>
      <c r="F68" s="1098" t="n"/>
      <c r="G68" s="1098" t="n"/>
      <c r="N68" s="813" t="n"/>
      <c r="O68" s="1083" t="n"/>
    </row>
    <row r="69" ht="15.75" customHeight="1">
      <c r="A69" s="4" t="n"/>
      <c r="B69" s="4" t="n"/>
      <c r="C69" s="4" t="n"/>
      <c r="D69" s="34" t="n"/>
      <c r="E69" s="35" t="n"/>
      <c r="F69" s="1098" t="n"/>
      <c r="G69" s="1098" t="n"/>
      <c r="N69" s="813" t="n"/>
      <c r="O69" s="1083" t="n"/>
    </row>
    <row r="70" ht="15.75" customHeight="1">
      <c r="A70" s="4" t="n"/>
      <c r="B70" s="4" t="n"/>
      <c r="C70" s="4" t="n"/>
      <c r="D70" s="34" t="n"/>
      <c r="E70" s="35" t="n"/>
      <c r="F70" s="1098" t="n"/>
      <c r="G70" s="1098" t="n"/>
      <c r="N70" s="813" t="n"/>
      <c r="O70" s="1083" t="n"/>
    </row>
    <row r="71" ht="15.75" customHeight="1">
      <c r="A71" s="4" t="n"/>
      <c r="B71" s="4" t="n"/>
      <c r="C71" s="4" t="n"/>
      <c r="D71" s="34" t="n"/>
      <c r="E71" s="35" t="n"/>
      <c r="F71" s="1098" t="n"/>
      <c r="G71" s="1098" t="n"/>
      <c r="N71" s="813" t="n"/>
      <c r="O71" s="1083" t="n"/>
    </row>
    <row r="72" ht="15.75" customHeight="1">
      <c r="A72" s="4" t="n"/>
      <c r="B72" s="4" t="n"/>
      <c r="C72" s="4" t="n"/>
      <c r="D72" s="34" t="n"/>
      <c r="E72" s="35" t="n"/>
      <c r="F72" s="1098" t="n"/>
      <c r="G72" s="1098" t="n"/>
      <c r="N72" s="813" t="n"/>
      <c r="O72" s="1083" t="n"/>
    </row>
    <row r="73" ht="15.75" customHeight="1">
      <c r="A73" s="4" t="n"/>
      <c r="B73" s="4" t="n"/>
      <c r="C73" s="4" t="n"/>
      <c r="D73" s="34" t="n"/>
      <c r="E73" s="35" t="n"/>
      <c r="F73" s="1098" t="n"/>
      <c r="G73" s="1098" t="n"/>
      <c r="N73" s="813" t="n"/>
      <c r="O73" s="1083" t="n"/>
    </row>
    <row r="74" ht="15.75" customHeight="1">
      <c r="A74" s="4" t="n"/>
      <c r="B74" s="4" t="n"/>
      <c r="C74" s="4" t="n"/>
      <c r="D74" s="34" t="n"/>
      <c r="E74" s="35" t="n"/>
      <c r="F74" s="1098" t="n"/>
      <c r="G74" s="1098" t="n"/>
      <c r="N74" s="813" t="n"/>
      <c r="O74" s="1083" t="n"/>
    </row>
    <row r="75" ht="15.75" customHeight="1">
      <c r="A75" s="4" t="n"/>
      <c r="B75" s="4" t="n"/>
      <c r="C75" s="4" t="n"/>
      <c r="D75" s="34" t="n"/>
      <c r="N75" s="813" t="n"/>
      <c r="O75" s="1083" t="n"/>
    </row>
    <row r="76">
      <c r="N76" s="813" t="n"/>
    </row>
    <row r="77">
      <c r="N77" s="813" t="n"/>
    </row>
    <row r="78">
      <c r="A78" s="1083" t="inlineStr">
        <is>
          <t xml:space="preserve">Excentricidad:     </t>
        </is>
      </c>
      <c r="H78" s="32" t="inlineStr">
        <is>
          <t> </t>
        </is>
      </c>
      <c r="N78" s="813" t="n"/>
      <c r="O78" s="1083" t="n"/>
    </row>
    <row r="79">
      <c r="B79" s="1083" t="n">
        <v>0</v>
      </c>
      <c r="C79" s="1083" t="inlineStr">
        <is>
          <t>kg</t>
        </is>
      </c>
      <c r="E79" s="391" t="e">
        <v>#REF!</v>
      </c>
      <c r="H79" s="36" t="n">
        <v>2</v>
      </c>
      <c r="N79" s="813" t="n"/>
      <c r="O79" s="1083" t="n"/>
    </row>
    <row r="80">
      <c r="A80" s="1083" t="inlineStr">
        <is>
          <t xml:space="preserve">Se utilizó una carga aproximada de </t>
        </is>
      </c>
      <c r="N80" s="813" t="n"/>
      <c r="O80" s="1083" t="n"/>
    </row>
    <row r="81">
      <c r="B81" s="398" t="inlineStr"/>
      <c r="C81" s="1083" t="inlineStr">
        <is>
          <t>kg</t>
        </is>
      </c>
      <c r="E81" s="391" t="inlineStr">
        <is>
          <t>kg</t>
        </is>
      </c>
      <c r="N81" s="813" t="n"/>
      <c r="O81" s="1083" t="n"/>
    </row>
    <row r="82">
      <c r="N82" s="813" t="n"/>
    </row>
    <row r="83">
      <c r="N83" s="813" t="n"/>
    </row>
    <row r="84">
      <c r="A84" s="1083">
        <f>IF(#REF!=0,"El instrumento cumple con las tolerancias establecidas en el punto 9.1.1. de la Resolución 2307 de la Secretaría de Comercio ","El instrumento no cumple con las tolerancias establecidas en el punto 9.1.1. de la Resolución 2307 de la Secretaría de Comercio")</f>
        <v/>
      </c>
      <c r="N84" s="813" t="n"/>
      <c r="O84" s="1083" t="n"/>
    </row>
    <row r="85">
      <c r="N85" s="813" t="n"/>
    </row>
    <row r="86">
      <c r="N86" s="813" t="n"/>
    </row>
    <row r="87">
      <c r="N87" s="813" t="n"/>
      <c r="O87" s="1083" t="n"/>
    </row>
    <row r="88" ht="15" customHeight="1">
      <c r="A88" s="1096" t="inlineStr">
        <is>
          <t xml:space="preserve">Los valores de incertidumbre de medición que aparecen en la tabla de errores de indicación fueron calculados combinando la incertidumbre de las pesas patrones, y los componentes asociados a la fidelidad y resolución de la balanza. La incertidumbre standard asociada a las combinaciones de pesas patrones utilizadas resultó siempre menor que </t>
        </is>
      </c>
      <c r="N88" s="813" t="n"/>
      <c r="O88" s="1083" t="n"/>
    </row>
    <row r="89">
      <c r="N89" s="813" t="n"/>
      <c r="O89" s="1083" t="n"/>
    </row>
    <row r="90">
      <c r="N90" s="813" t="n"/>
      <c r="O90" s="1083" t="n"/>
    </row>
    <row r="91">
      <c r="N91" s="813" t="n"/>
      <c r="O91" s="1083" t="n"/>
    </row>
    <row r="92">
      <c r="N92" s="813" t="n"/>
      <c r="O92" s="1083" t="n"/>
    </row>
    <row r="93">
      <c r="N93" s="813" t="n"/>
      <c r="O93" s="1083" t="n"/>
    </row>
    <row r="94">
      <c r="A94" s="1096" t="inlineStr">
        <is>
          <t xml:space="preserve"> kg, para todos los valores de carga aplicados. El componente asociado a la fidelidad fue estimado estadísticamente. El componente asociado a la resolución fue calculado considerando una distribución rectangular a partir de la mínima división de la balanza. La incertidumbre expandida informada fue calculada multiplicando la incertidumbre standard combinada por un factor de cubrimiento k = 2 lo cual corresponde a un nivel de confianza del 95% para una distribución normal.</t>
        </is>
      </c>
      <c r="N94" s="813" t="n"/>
      <c r="O94" s="1083" t="n"/>
    </row>
    <row r="95">
      <c r="N95" s="813" t="n"/>
      <c r="O95" s="1083" t="n"/>
    </row>
    <row r="96">
      <c r="N96" s="813" t="n"/>
      <c r="O96" s="1083" t="n"/>
    </row>
    <row r="97">
      <c r="N97" s="813" t="n"/>
      <c r="O97" s="1083" t="n"/>
    </row>
    <row r="98">
      <c r="N98" s="813" t="n"/>
      <c r="O98" s="1083" t="n"/>
    </row>
    <row r="99">
      <c r="N99" s="813" t="n"/>
      <c r="O99" s="1083" t="n"/>
    </row>
    <row r="100">
      <c r="N100" s="813" t="n"/>
      <c r="O100" s="1083" t="n"/>
    </row>
    <row r="101">
      <c r="N101" s="813" t="n"/>
    </row>
    <row r="102">
      <c r="N102" s="813" t="n"/>
    </row>
    <row r="103">
      <c r="N103" s="813" t="n"/>
    </row>
    <row r="104">
      <c r="N104" s="813" t="n"/>
    </row>
    <row r="105">
      <c r="N105" s="813" t="n"/>
    </row>
    <row r="106">
      <c r="N106" s="813" t="n"/>
    </row>
    <row r="107">
      <c r="N107" s="813" t="n"/>
    </row>
    <row r="108">
      <c r="N108" s="813" t="n"/>
    </row>
    <row r="109">
      <c r="N109" s="813" t="n"/>
    </row>
    <row r="110">
      <c r="N110" s="813" t="n"/>
    </row>
    <row r="111">
      <c r="N111" s="813" t="n"/>
    </row>
    <row r="112">
      <c r="N112" s="813" t="n"/>
    </row>
    <row r="113">
      <c r="N113" s="813" t="n"/>
    </row>
    <row r="114" customFormat="1" s="392">
      <c r="A114" s="1083" t="n"/>
      <c r="B114" s="1083" t="n"/>
      <c r="C114" s="1083" t="n"/>
      <c r="D114" s="390" t="n"/>
      <c r="E114" s="391" t="n"/>
      <c r="F114" s="1083" t="n"/>
      <c r="G114" s="1083" t="n"/>
      <c r="H114" s="391" t="n"/>
      <c r="I114" s="1083" t="n"/>
      <c r="J114" s="1083" t="n"/>
      <c r="K114" s="1083" t="n"/>
      <c r="L114" s="1083" t="n"/>
      <c r="M114" s="1083" t="n"/>
      <c r="N114" s="813" t="n"/>
      <c r="P114" s="1083" t="n"/>
      <c r="Q114" s="1083" t="n"/>
      <c r="R114" s="1083" t="n"/>
      <c r="S114" s="1083" t="n"/>
      <c r="T114" s="1083" t="n"/>
      <c r="U114" s="1083" t="n"/>
      <c r="V114" s="1083" t="n"/>
      <c r="W114" s="1083" t="n"/>
      <c r="X114" s="1083" t="n"/>
      <c r="Y114" s="1083" t="n"/>
      <c r="Z114" s="1083" t="n"/>
      <c r="AA114" s="1083" t="n"/>
      <c r="AB114" s="1083" t="n"/>
      <c r="AC114" s="1083" t="n"/>
      <c r="AD114" s="1083" t="n"/>
      <c r="AE114" s="1083" t="n"/>
      <c r="AF114" s="1083" t="n"/>
      <c r="AG114" s="1083" t="n"/>
      <c r="AH114" s="1083" t="n"/>
      <c r="AI114" s="1083" t="n"/>
      <c r="AJ114" s="1083" t="n"/>
      <c r="AK114" s="1083" t="n"/>
      <c r="AL114" s="1083" t="n"/>
      <c r="AM114" s="1083" t="n"/>
      <c r="AN114" s="1083" t="n"/>
      <c r="AO114" s="1083" t="n"/>
      <c r="AP114" s="1083" t="n"/>
      <c r="AQ114" s="1083" t="n"/>
      <c r="AR114" s="1083" t="n"/>
      <c r="AS114" s="1083" t="n"/>
      <c r="AT114" s="1083" t="n"/>
      <c r="AU114" s="1083" t="n"/>
      <c r="AV114" s="1083" t="n"/>
      <c r="AW114" s="1083" t="n"/>
    </row>
    <row r="115" customFormat="1" s="392">
      <c r="A115" s="1083" t="n"/>
      <c r="B115" s="1083" t="n"/>
      <c r="C115" s="1083" t="n"/>
      <c r="D115" s="390" t="n"/>
      <c r="E115" s="391" t="n"/>
      <c r="F115" s="1083" t="n"/>
      <c r="G115" s="1083" t="n"/>
      <c r="H115" s="391" t="n"/>
      <c r="I115" s="1083" t="n"/>
      <c r="J115" s="1083" t="n"/>
      <c r="K115" s="1083" t="n"/>
      <c r="L115" s="1083" t="n"/>
      <c r="M115" s="1083" t="n"/>
      <c r="N115" s="813" t="n"/>
      <c r="P115" s="1083" t="n"/>
      <c r="Q115" s="1083" t="n"/>
      <c r="R115" s="1083" t="n"/>
      <c r="S115" s="1083" t="n"/>
      <c r="T115" s="1083" t="n"/>
      <c r="U115" s="1083" t="n"/>
      <c r="V115" s="1083" t="n"/>
      <c r="W115" s="1083" t="n"/>
      <c r="X115" s="1083" t="n"/>
      <c r="Y115" s="1083" t="n"/>
      <c r="Z115" s="1083" t="n"/>
      <c r="AA115" s="1083" t="n"/>
      <c r="AB115" s="1083" t="n"/>
      <c r="AC115" s="1083" t="n"/>
      <c r="AD115" s="1083" t="n"/>
      <c r="AE115" s="1083" t="n"/>
      <c r="AF115" s="1083" t="n"/>
      <c r="AG115" s="1083" t="n"/>
      <c r="AH115" s="1083" t="n"/>
      <c r="AI115" s="1083" t="n"/>
      <c r="AJ115" s="1083" t="n"/>
      <c r="AK115" s="1083" t="n"/>
      <c r="AL115" s="1083" t="n"/>
      <c r="AM115" s="1083" t="n"/>
      <c r="AN115" s="1083" t="n"/>
      <c r="AO115" s="1083" t="n"/>
      <c r="AP115" s="1083" t="n"/>
      <c r="AQ115" s="1083" t="n"/>
      <c r="AR115" s="1083" t="n"/>
      <c r="AS115" s="1083" t="n"/>
      <c r="AT115" s="1083" t="n"/>
      <c r="AU115" s="1083" t="n"/>
      <c r="AV115" s="1083" t="n"/>
      <c r="AW115" s="1083" t="n"/>
    </row>
    <row r="116" customFormat="1" s="392">
      <c r="A116" s="1083" t="n"/>
      <c r="B116" s="1083" t="n"/>
      <c r="C116" s="1083" t="n"/>
      <c r="D116" s="390" t="n"/>
      <c r="E116" s="391" t="n"/>
      <c r="F116" s="1083" t="n"/>
      <c r="G116" s="1083" t="n"/>
      <c r="H116" s="391" t="n"/>
      <c r="I116" s="1083" t="n"/>
      <c r="J116" s="1083" t="n"/>
      <c r="K116" s="1083" t="n"/>
      <c r="L116" s="1083" t="n"/>
      <c r="M116" s="1083" t="n"/>
      <c r="N116" s="813" t="n"/>
      <c r="P116" s="1083" t="n"/>
      <c r="Q116" s="1083" t="n"/>
      <c r="R116" s="1083" t="n"/>
      <c r="S116" s="1083" t="n"/>
      <c r="T116" s="1083" t="n"/>
      <c r="U116" s="1083" t="n"/>
      <c r="V116" s="1083" t="n"/>
      <c r="W116" s="1083" t="n"/>
      <c r="X116" s="1083" t="n"/>
      <c r="Y116" s="1083" t="n"/>
      <c r="Z116" s="1083" t="n"/>
      <c r="AA116" s="1083" t="n"/>
      <c r="AB116" s="1083" t="n"/>
      <c r="AC116" s="1083" t="n"/>
      <c r="AD116" s="1083" t="n"/>
      <c r="AE116" s="1083" t="n"/>
      <c r="AF116" s="1083" t="n"/>
      <c r="AG116" s="1083" t="n"/>
      <c r="AH116" s="1083" t="n"/>
      <c r="AI116" s="1083" t="n"/>
      <c r="AJ116" s="1083" t="n"/>
      <c r="AK116" s="1083" t="n"/>
      <c r="AL116" s="1083" t="n"/>
      <c r="AM116" s="1083" t="n"/>
      <c r="AN116" s="1083" t="n"/>
      <c r="AO116" s="1083" t="n"/>
      <c r="AP116" s="1083" t="n"/>
      <c r="AQ116" s="1083" t="n"/>
      <c r="AR116" s="1083" t="n"/>
      <c r="AS116" s="1083" t="n"/>
      <c r="AT116" s="1083" t="n"/>
      <c r="AU116" s="1083" t="n"/>
      <c r="AV116" s="1083" t="n"/>
      <c r="AW116" s="1083" t="n"/>
    </row>
    <row r="117" customFormat="1" s="392">
      <c r="A117" s="1083" t="n"/>
      <c r="B117" s="1083" t="n"/>
      <c r="C117" s="1083" t="n"/>
      <c r="D117" s="390" t="n"/>
      <c r="E117" s="391" t="n"/>
      <c r="F117" s="1083" t="n"/>
      <c r="G117" s="1083" t="n"/>
      <c r="H117" s="391" t="n"/>
      <c r="I117" s="1083" t="n"/>
      <c r="J117" s="1083" t="n"/>
      <c r="K117" s="1083" t="n"/>
      <c r="L117" s="1083" t="n"/>
      <c r="M117" s="1083" t="n"/>
      <c r="N117" s="813" t="n"/>
      <c r="P117" s="1083" t="n"/>
      <c r="Q117" s="1083" t="n"/>
      <c r="R117" s="1083" t="n"/>
      <c r="S117" s="1083" t="n"/>
      <c r="T117" s="1083" t="n"/>
      <c r="U117" s="1083" t="n"/>
      <c r="V117" s="1083" t="n"/>
      <c r="W117" s="1083" t="n"/>
      <c r="X117" s="1083" t="n"/>
      <c r="Y117" s="1083" t="n"/>
      <c r="Z117" s="1083" t="n"/>
      <c r="AA117" s="1083" t="n"/>
      <c r="AB117" s="1083" t="n"/>
      <c r="AC117" s="1083" t="n"/>
      <c r="AD117" s="1083" t="n"/>
      <c r="AE117" s="1083" t="n"/>
      <c r="AF117" s="1083" t="n"/>
      <c r="AG117" s="1083" t="n"/>
      <c r="AH117" s="1083" t="n"/>
      <c r="AI117" s="1083" t="n"/>
      <c r="AJ117" s="1083" t="n"/>
      <c r="AK117" s="1083" t="n"/>
      <c r="AL117" s="1083" t="n"/>
      <c r="AM117" s="1083" t="n"/>
      <c r="AN117" s="1083" t="n"/>
      <c r="AO117" s="1083" t="n"/>
      <c r="AP117" s="1083" t="n"/>
      <c r="AQ117" s="1083" t="n"/>
      <c r="AR117" s="1083" t="n"/>
      <c r="AS117" s="1083" t="n"/>
      <c r="AT117" s="1083" t="n"/>
      <c r="AU117" s="1083" t="n"/>
      <c r="AV117" s="1083" t="n"/>
      <c r="AW117" s="1083" t="n"/>
    </row>
    <row r="118" customFormat="1" s="392">
      <c r="A118" s="1083" t="n"/>
      <c r="B118" s="1083" t="n"/>
      <c r="C118" s="1083" t="n"/>
      <c r="D118" s="390" t="n"/>
      <c r="E118" s="391" t="n"/>
      <c r="F118" s="1083" t="n"/>
      <c r="G118" s="1083" t="n"/>
      <c r="H118" s="391" t="n"/>
      <c r="I118" s="1083" t="n"/>
      <c r="J118" s="1083" t="n"/>
      <c r="K118" s="1083" t="n"/>
      <c r="L118" s="1083" t="n"/>
      <c r="M118" s="1083" t="n"/>
      <c r="N118" s="813" t="n"/>
      <c r="P118" s="1083" t="n"/>
      <c r="Q118" s="1083" t="n"/>
      <c r="R118" s="1083" t="n"/>
      <c r="S118" s="1083" t="n"/>
      <c r="T118" s="1083" t="n"/>
      <c r="U118" s="1083" t="n"/>
      <c r="V118" s="1083" t="n"/>
      <c r="W118" s="1083" t="n"/>
      <c r="X118" s="1083" t="n"/>
      <c r="Y118" s="1083" t="n"/>
      <c r="Z118" s="1083" t="n"/>
      <c r="AA118" s="1083" t="n"/>
      <c r="AB118" s="1083" t="n"/>
      <c r="AC118" s="1083" t="n"/>
      <c r="AD118" s="1083" t="n"/>
      <c r="AE118" s="1083" t="n"/>
      <c r="AF118" s="1083" t="n"/>
      <c r="AG118" s="1083" t="n"/>
      <c r="AH118" s="1083" t="n"/>
      <c r="AI118" s="1083" t="n"/>
      <c r="AJ118" s="1083" t="n"/>
      <c r="AK118" s="1083" t="n"/>
      <c r="AL118" s="1083" t="n"/>
      <c r="AM118" s="1083" t="n"/>
      <c r="AN118" s="1083" t="n"/>
      <c r="AO118" s="1083" t="n"/>
      <c r="AP118" s="1083" t="n"/>
      <c r="AQ118" s="1083" t="n"/>
      <c r="AR118" s="1083" t="n"/>
      <c r="AS118" s="1083" t="n"/>
      <c r="AT118" s="1083" t="n"/>
      <c r="AU118" s="1083" t="n"/>
      <c r="AV118" s="1083" t="n"/>
      <c r="AW118" s="1083" t="n"/>
    </row>
    <row r="119" customFormat="1" s="392">
      <c r="A119" s="1083" t="n"/>
      <c r="B119" s="1083" t="n"/>
      <c r="C119" s="1083" t="n"/>
      <c r="D119" s="390" t="n"/>
      <c r="E119" s="391" t="n"/>
      <c r="F119" s="1083" t="n"/>
      <c r="G119" s="1083" t="n"/>
      <c r="H119" s="391" t="n"/>
      <c r="I119" s="1083" t="n"/>
      <c r="J119" s="1083" t="n"/>
      <c r="K119" s="1083" t="n"/>
      <c r="L119" s="1083" t="n"/>
      <c r="M119" s="1083" t="n"/>
      <c r="N119" s="813" t="n"/>
      <c r="P119" s="1083" t="n"/>
      <c r="Q119" s="1083" t="n"/>
      <c r="R119" s="1083" t="n"/>
      <c r="S119" s="1083" t="n"/>
      <c r="T119" s="1083" t="n"/>
      <c r="U119" s="1083" t="n"/>
      <c r="V119" s="1083" t="n"/>
      <c r="W119" s="1083" t="n"/>
      <c r="X119" s="1083" t="n"/>
      <c r="Y119" s="1083" t="n"/>
      <c r="Z119" s="1083" t="n"/>
      <c r="AA119" s="1083" t="n"/>
      <c r="AB119" s="1083" t="n"/>
      <c r="AC119" s="1083" t="n"/>
      <c r="AD119" s="1083" t="n"/>
      <c r="AE119" s="1083" t="n"/>
      <c r="AF119" s="1083" t="n"/>
      <c r="AG119" s="1083" t="n"/>
      <c r="AH119" s="1083" t="n"/>
      <c r="AI119" s="1083" t="n"/>
      <c r="AJ119" s="1083" t="n"/>
      <c r="AK119" s="1083" t="n"/>
      <c r="AL119" s="1083" t="n"/>
      <c r="AM119" s="1083" t="n"/>
      <c r="AN119" s="1083" t="n"/>
      <c r="AO119" s="1083" t="n"/>
      <c r="AP119" s="1083" t="n"/>
      <c r="AQ119" s="1083" t="n"/>
      <c r="AR119" s="1083" t="n"/>
      <c r="AS119" s="1083" t="n"/>
      <c r="AT119" s="1083" t="n"/>
      <c r="AU119" s="1083" t="n"/>
      <c r="AV119" s="1083" t="n"/>
      <c r="AW119" s="1083" t="n"/>
    </row>
    <row r="120" customFormat="1" s="392">
      <c r="A120" s="1083" t="n"/>
      <c r="B120" s="1083" t="n"/>
      <c r="C120" s="1083" t="n"/>
      <c r="D120" s="390" t="n"/>
      <c r="E120" s="391" t="n"/>
      <c r="F120" s="1083" t="n"/>
      <c r="G120" s="1083" t="n"/>
      <c r="H120" s="391" t="n"/>
      <c r="I120" s="1083" t="n"/>
      <c r="J120" s="1083" t="n"/>
      <c r="K120" s="1083" t="n"/>
      <c r="L120" s="1083" t="n"/>
      <c r="M120" s="1083" t="n"/>
      <c r="N120" s="813" t="n"/>
      <c r="P120" s="1083" t="n"/>
      <c r="Q120" s="1083" t="n"/>
      <c r="R120" s="1083" t="n"/>
      <c r="S120" s="1083" t="n"/>
      <c r="T120" s="1083" t="n"/>
      <c r="U120" s="1083" t="n"/>
      <c r="V120" s="1083" t="n"/>
      <c r="W120" s="1083" t="n"/>
      <c r="X120" s="1083" t="n"/>
      <c r="Y120" s="1083" t="n"/>
      <c r="Z120" s="1083" t="n"/>
      <c r="AA120" s="1083" t="n"/>
      <c r="AB120" s="1083" t="n"/>
      <c r="AC120" s="1083" t="n"/>
      <c r="AD120" s="1083" t="n"/>
      <c r="AE120" s="1083" t="n"/>
      <c r="AF120" s="1083" t="n"/>
      <c r="AG120" s="1083" t="n"/>
      <c r="AH120" s="1083" t="n"/>
      <c r="AI120" s="1083" t="n"/>
      <c r="AJ120" s="1083" t="n"/>
      <c r="AK120" s="1083" t="n"/>
      <c r="AL120" s="1083" t="n"/>
      <c r="AM120" s="1083" t="n"/>
      <c r="AN120" s="1083" t="n"/>
      <c r="AO120" s="1083" t="n"/>
      <c r="AP120" s="1083" t="n"/>
      <c r="AQ120" s="1083" t="n"/>
      <c r="AR120" s="1083" t="n"/>
      <c r="AS120" s="1083" t="n"/>
      <c r="AT120" s="1083" t="n"/>
      <c r="AU120" s="1083" t="n"/>
      <c r="AV120" s="1083" t="n"/>
      <c r="AW120" s="1083" t="n"/>
    </row>
    <row r="121" customFormat="1" s="392">
      <c r="A121" s="1083" t="n"/>
      <c r="B121" s="1083" t="n"/>
      <c r="C121" s="1083" t="n"/>
      <c r="D121" s="390" t="n"/>
      <c r="E121" s="391" t="n"/>
      <c r="F121" s="1083" t="n"/>
      <c r="G121" s="1083" t="n"/>
      <c r="H121" s="391" t="n"/>
      <c r="I121" s="1083" t="n"/>
      <c r="J121" s="1083" t="n"/>
      <c r="K121" s="1083" t="n"/>
      <c r="L121" s="1083" t="n"/>
      <c r="M121" s="1083" t="n"/>
      <c r="N121" s="1083" t="n"/>
      <c r="P121" s="1083" t="n"/>
      <c r="Q121" s="1083" t="n"/>
      <c r="R121" s="1083" t="n"/>
      <c r="S121" s="1083" t="n"/>
      <c r="T121" s="1083" t="n"/>
      <c r="U121" s="1083" t="n"/>
      <c r="V121" s="1083" t="n"/>
      <c r="W121" s="1083" t="n"/>
      <c r="X121" s="1083" t="n"/>
      <c r="Y121" s="1083" t="n"/>
      <c r="Z121" s="1083" t="n"/>
      <c r="AA121" s="1083" t="n"/>
      <c r="AB121" s="1083" t="n"/>
      <c r="AC121" s="1083" t="n"/>
      <c r="AD121" s="1083" t="n"/>
      <c r="AE121" s="1083" t="n"/>
      <c r="AF121" s="1083" t="n"/>
      <c r="AG121" s="1083" t="n"/>
      <c r="AH121" s="1083" t="n"/>
      <c r="AI121" s="1083" t="n"/>
      <c r="AJ121" s="1083" t="n"/>
      <c r="AK121" s="1083" t="n"/>
      <c r="AL121" s="1083" t="n"/>
      <c r="AM121" s="1083" t="n"/>
      <c r="AN121" s="1083" t="n"/>
      <c r="AO121" s="1083" t="n"/>
      <c r="AP121" s="1083" t="n"/>
      <c r="AQ121" s="1083" t="n"/>
      <c r="AR121" s="1083" t="n"/>
      <c r="AS121" s="1083" t="n"/>
      <c r="AT121" s="1083" t="n"/>
      <c r="AU121" s="1083" t="n"/>
      <c r="AV121" s="1083" t="n"/>
      <c r="AW121" s="1083" t="n"/>
    </row>
    <row r="122" customFormat="1" s="392">
      <c r="A122" s="1083" t="n"/>
      <c r="B122" s="1083" t="n"/>
      <c r="C122" s="1083" t="n"/>
      <c r="D122" s="390" t="n"/>
      <c r="E122" s="391" t="n"/>
      <c r="F122" s="1083" t="n"/>
      <c r="G122" s="1083" t="n"/>
      <c r="H122" s="391" t="n"/>
      <c r="I122" s="1083" t="n"/>
      <c r="J122" s="1083" t="n"/>
      <c r="K122" s="1083" t="n"/>
      <c r="L122" s="1083" t="n"/>
      <c r="M122" s="1083" t="n"/>
      <c r="N122" s="1083" t="n"/>
      <c r="P122" s="1083" t="n"/>
      <c r="Q122" s="1083" t="n"/>
      <c r="R122" s="1083" t="n"/>
      <c r="S122" s="1083" t="n"/>
      <c r="T122" s="1083" t="n"/>
      <c r="U122" s="1083" t="n"/>
      <c r="V122" s="1083" t="n"/>
      <c r="W122" s="1083" t="n"/>
      <c r="X122" s="1083" t="n"/>
      <c r="Y122" s="1083" t="n"/>
      <c r="Z122" s="1083" t="n"/>
      <c r="AA122" s="1083" t="n"/>
      <c r="AB122" s="1083" t="n"/>
      <c r="AC122" s="1083" t="n"/>
      <c r="AD122" s="1083" t="n"/>
      <c r="AE122" s="1083" t="n"/>
      <c r="AF122" s="1083" t="n"/>
      <c r="AG122" s="1083" t="n"/>
      <c r="AH122" s="1083" t="n"/>
      <c r="AI122" s="1083" t="n"/>
      <c r="AJ122" s="1083" t="n"/>
      <c r="AK122" s="1083" t="n"/>
      <c r="AL122" s="1083" t="n"/>
      <c r="AM122" s="1083" t="n"/>
      <c r="AN122" s="1083" t="n"/>
      <c r="AO122" s="1083" t="n"/>
      <c r="AP122" s="1083" t="n"/>
      <c r="AQ122" s="1083" t="n"/>
      <c r="AR122" s="1083" t="n"/>
      <c r="AS122" s="1083" t="n"/>
      <c r="AT122" s="1083" t="n"/>
      <c r="AU122" s="1083" t="n"/>
      <c r="AV122" s="1083" t="n"/>
      <c r="AW122" s="1083" t="n"/>
    </row>
    <row r="123" customFormat="1" s="392">
      <c r="A123" s="1083" t="n"/>
      <c r="B123" s="1083" t="n"/>
      <c r="C123" s="1083" t="n"/>
      <c r="D123" s="390" t="n"/>
      <c r="E123" s="391" t="n"/>
      <c r="F123" s="1083" t="n"/>
      <c r="G123" s="1083" t="n"/>
      <c r="H123" s="391" t="n"/>
      <c r="I123" s="1083" t="n"/>
      <c r="J123" s="1083" t="n"/>
      <c r="K123" s="1083" t="n"/>
      <c r="L123" s="1083" t="n"/>
      <c r="M123" s="1083" t="n"/>
      <c r="N123" s="1083" t="n"/>
      <c r="P123" s="1083" t="n"/>
      <c r="Q123" s="1083" t="n"/>
      <c r="R123" s="1083" t="n"/>
      <c r="S123" s="1083" t="n"/>
      <c r="T123" s="1083" t="n"/>
      <c r="U123" s="1083" t="n"/>
      <c r="V123" s="1083" t="n"/>
      <c r="W123" s="1083" t="n"/>
      <c r="X123" s="1083" t="n"/>
      <c r="Y123" s="1083" t="n"/>
      <c r="Z123" s="1083" t="n"/>
      <c r="AA123" s="1083" t="n"/>
      <c r="AB123" s="1083" t="n"/>
      <c r="AC123" s="1083" t="n"/>
      <c r="AD123" s="1083" t="n"/>
      <c r="AE123" s="1083" t="n"/>
      <c r="AF123" s="1083" t="n"/>
      <c r="AG123" s="1083" t="n"/>
      <c r="AH123" s="1083" t="n"/>
      <c r="AI123" s="1083" t="n"/>
      <c r="AJ123" s="1083" t="n"/>
      <c r="AK123" s="1083" t="n"/>
      <c r="AL123" s="1083" t="n"/>
      <c r="AM123" s="1083" t="n"/>
      <c r="AN123" s="1083" t="n"/>
      <c r="AO123" s="1083" t="n"/>
      <c r="AP123" s="1083" t="n"/>
      <c r="AQ123" s="1083" t="n"/>
      <c r="AR123" s="1083" t="n"/>
      <c r="AS123" s="1083" t="n"/>
      <c r="AT123" s="1083" t="n"/>
      <c r="AU123" s="1083" t="n"/>
      <c r="AV123" s="1083" t="n"/>
      <c r="AW123" s="1083" t="n"/>
    </row>
    <row r="124" customFormat="1" s="392">
      <c r="A124" s="1083" t="n"/>
      <c r="B124" s="1083" t="n"/>
      <c r="C124" s="1083" t="n"/>
      <c r="D124" s="390" t="n"/>
      <c r="E124" s="391" t="n"/>
      <c r="F124" s="1083" t="n"/>
      <c r="G124" s="1083" t="n"/>
      <c r="H124" s="391" t="n"/>
      <c r="I124" s="1083" t="n"/>
      <c r="J124" s="1083" t="n"/>
      <c r="K124" s="1083" t="n"/>
      <c r="L124" s="1083" t="n"/>
      <c r="M124" s="1083" t="n"/>
      <c r="N124" s="1083" t="n"/>
      <c r="P124" s="1083" t="n"/>
      <c r="Q124" s="1083" t="n"/>
      <c r="R124" s="1083" t="n"/>
      <c r="S124" s="1083" t="n"/>
      <c r="T124" s="1083" t="n"/>
      <c r="U124" s="1083" t="n"/>
      <c r="V124" s="1083" t="n"/>
      <c r="W124" s="1083" t="n"/>
      <c r="X124" s="1083" t="n"/>
      <c r="Y124" s="1083" t="n"/>
      <c r="Z124" s="1083" t="n"/>
      <c r="AA124" s="1083" t="n"/>
      <c r="AB124" s="1083" t="n"/>
      <c r="AC124" s="1083" t="n"/>
      <c r="AD124" s="1083" t="n"/>
      <c r="AE124" s="1083" t="n"/>
      <c r="AF124" s="1083" t="n"/>
      <c r="AG124" s="1083" t="n"/>
      <c r="AH124" s="1083" t="n"/>
      <c r="AI124" s="1083" t="n"/>
      <c r="AJ124" s="1083" t="n"/>
      <c r="AK124" s="1083" t="n"/>
      <c r="AL124" s="1083" t="n"/>
      <c r="AM124" s="1083" t="n"/>
      <c r="AN124" s="1083" t="n"/>
      <c r="AO124" s="1083" t="n"/>
      <c r="AP124" s="1083" t="n"/>
      <c r="AQ124" s="1083" t="n"/>
      <c r="AR124" s="1083" t="n"/>
      <c r="AS124" s="1083" t="n"/>
      <c r="AT124" s="1083" t="n"/>
      <c r="AU124" s="1083" t="n"/>
      <c r="AV124" s="1083" t="n"/>
      <c r="AW124" s="1083" t="n"/>
    </row>
    <row r="125" customFormat="1" s="392">
      <c r="A125" s="1083" t="n"/>
      <c r="B125" s="1083" t="n"/>
      <c r="C125" s="1083" t="n"/>
      <c r="D125" s="390" t="n"/>
      <c r="E125" s="391" t="n"/>
      <c r="F125" s="1083" t="n"/>
      <c r="G125" s="1083" t="n"/>
      <c r="H125" s="391" t="n"/>
      <c r="I125" s="1083" t="n"/>
      <c r="J125" s="1083" t="n"/>
      <c r="K125" s="1083" t="n"/>
      <c r="L125" s="1083" t="n"/>
      <c r="M125" s="1083" t="n"/>
      <c r="N125" s="1083" t="n"/>
      <c r="P125" s="1083" t="n"/>
      <c r="Q125" s="1083" t="n"/>
      <c r="R125" s="1083" t="n"/>
      <c r="S125" s="1083" t="n"/>
      <c r="T125" s="1083" t="n"/>
      <c r="U125" s="1083" t="n"/>
      <c r="V125" s="1083" t="n"/>
      <c r="W125" s="1083" t="n"/>
      <c r="X125" s="1083" t="n"/>
      <c r="Y125" s="1083" t="n"/>
      <c r="Z125" s="1083" t="n"/>
      <c r="AA125" s="1083" t="n"/>
      <c r="AB125" s="1083" t="n"/>
      <c r="AC125" s="1083" t="n"/>
      <c r="AD125" s="1083" t="n"/>
      <c r="AE125" s="1083" t="n"/>
      <c r="AF125" s="1083" t="n"/>
      <c r="AG125" s="1083" t="n"/>
      <c r="AH125" s="1083" t="n"/>
      <c r="AI125" s="1083" t="n"/>
      <c r="AJ125" s="1083" t="n"/>
      <c r="AK125" s="1083" t="n"/>
      <c r="AL125" s="1083" t="n"/>
      <c r="AM125" s="1083" t="n"/>
      <c r="AN125" s="1083" t="n"/>
      <c r="AO125" s="1083" t="n"/>
      <c r="AP125" s="1083" t="n"/>
      <c r="AQ125" s="1083" t="n"/>
      <c r="AR125" s="1083" t="n"/>
      <c r="AS125" s="1083" t="n"/>
      <c r="AT125" s="1083" t="n"/>
      <c r="AU125" s="1083" t="n"/>
      <c r="AV125" s="1083" t="n"/>
      <c r="AW125" s="1083" t="n"/>
    </row>
    <row r="126" customFormat="1" s="392">
      <c r="A126" s="1083" t="n"/>
      <c r="B126" s="1083" t="n"/>
      <c r="C126" s="1083" t="n"/>
      <c r="D126" s="390" t="n"/>
      <c r="E126" s="391" t="n"/>
      <c r="F126" s="1083" t="n"/>
      <c r="G126" s="1083" t="n"/>
      <c r="H126" s="391" t="n"/>
      <c r="I126" s="1083" t="n"/>
      <c r="J126" s="1083" t="n"/>
      <c r="K126" s="1083" t="n"/>
      <c r="L126" s="1083" t="n"/>
      <c r="M126" s="1083" t="n"/>
      <c r="N126" s="1083" t="n"/>
      <c r="P126" s="1083" t="n"/>
      <c r="Q126" s="1083" t="n"/>
      <c r="R126" s="1083" t="n"/>
      <c r="S126" s="1083" t="n"/>
      <c r="T126" s="1083" t="n"/>
      <c r="U126" s="1083" t="n"/>
      <c r="V126" s="1083" t="n"/>
      <c r="W126" s="1083" t="n"/>
      <c r="X126" s="1083" t="n"/>
      <c r="Y126" s="1083" t="n"/>
      <c r="Z126" s="1083" t="n"/>
      <c r="AA126" s="1083" t="n"/>
      <c r="AB126" s="1083" t="n"/>
      <c r="AC126" s="1083" t="n"/>
      <c r="AD126" s="1083" t="n"/>
      <c r="AE126" s="1083" t="n"/>
      <c r="AF126" s="1083" t="n"/>
      <c r="AG126" s="1083" t="n"/>
      <c r="AH126" s="1083" t="n"/>
      <c r="AI126" s="1083" t="n"/>
      <c r="AJ126" s="1083" t="n"/>
      <c r="AK126" s="1083" t="n"/>
      <c r="AL126" s="1083" t="n"/>
      <c r="AM126" s="1083" t="n"/>
      <c r="AN126" s="1083" t="n"/>
      <c r="AO126" s="1083" t="n"/>
      <c r="AP126" s="1083" t="n"/>
      <c r="AQ126" s="1083" t="n"/>
      <c r="AR126" s="1083" t="n"/>
      <c r="AS126" s="1083" t="n"/>
      <c r="AT126" s="1083" t="n"/>
      <c r="AU126" s="1083" t="n"/>
      <c r="AV126" s="1083" t="n"/>
      <c r="AW126" s="1083" t="n"/>
    </row>
    <row r="127" customFormat="1" s="392">
      <c r="A127" s="1083" t="n"/>
      <c r="B127" s="1083" t="n"/>
      <c r="C127" s="1083" t="n"/>
      <c r="D127" s="390" t="n"/>
      <c r="E127" s="391" t="n"/>
      <c r="F127" s="1083" t="n"/>
      <c r="G127" s="1083" t="n"/>
      <c r="H127" s="391" t="n"/>
      <c r="I127" s="1083" t="n"/>
      <c r="J127" s="1083" t="n"/>
      <c r="K127" s="1083" t="n"/>
      <c r="L127" s="1083" t="n"/>
      <c r="M127" s="1083" t="n"/>
      <c r="N127" s="1083" t="n"/>
      <c r="P127" s="1083" t="n"/>
      <c r="Q127" s="1083" t="n"/>
      <c r="R127" s="1083" t="n"/>
      <c r="S127" s="1083" t="n"/>
      <c r="T127" s="1083" t="n"/>
      <c r="U127" s="1083" t="n"/>
      <c r="V127" s="1083" t="n"/>
      <c r="W127" s="1083" t="n"/>
      <c r="X127" s="1083" t="n"/>
      <c r="Y127" s="1083" t="n"/>
      <c r="Z127" s="1083" t="n"/>
      <c r="AA127" s="1083" t="n"/>
      <c r="AB127" s="1083" t="n"/>
      <c r="AC127" s="1083" t="n"/>
      <c r="AD127" s="1083" t="n"/>
      <c r="AE127" s="1083" t="n"/>
      <c r="AF127" s="1083" t="n"/>
      <c r="AG127" s="1083" t="n"/>
      <c r="AH127" s="1083" t="n"/>
      <c r="AI127" s="1083" t="n"/>
      <c r="AJ127" s="1083" t="n"/>
      <c r="AK127" s="1083" t="n"/>
      <c r="AL127" s="1083" t="n"/>
      <c r="AM127" s="1083" t="n"/>
      <c r="AN127" s="1083" t="n"/>
      <c r="AO127" s="1083" t="n"/>
      <c r="AP127" s="1083" t="n"/>
      <c r="AQ127" s="1083" t="n"/>
      <c r="AR127" s="1083" t="n"/>
      <c r="AS127" s="1083" t="n"/>
      <c r="AT127" s="1083" t="n"/>
      <c r="AU127" s="1083" t="n"/>
      <c r="AV127" s="1083" t="n"/>
      <c r="AW127" s="1083" t="n"/>
    </row>
    <row r="128" customFormat="1" s="392">
      <c r="A128" s="1083" t="n"/>
      <c r="B128" s="1083" t="n"/>
      <c r="C128" s="1083" t="n"/>
      <c r="D128" s="390" t="n"/>
      <c r="E128" s="391" t="n"/>
      <c r="F128" s="1083" t="n"/>
      <c r="G128" s="1083" t="n"/>
      <c r="H128" s="391" t="n"/>
      <c r="I128" s="1083" t="n"/>
      <c r="J128" s="1083" t="n"/>
      <c r="K128" s="1083" t="n"/>
      <c r="L128" s="1083" t="n"/>
      <c r="M128" s="1083" t="n"/>
      <c r="N128" s="1083" t="n"/>
      <c r="P128" s="1083" t="n"/>
      <c r="Q128" s="1083" t="n"/>
      <c r="R128" s="1083" t="n"/>
      <c r="S128" s="1083" t="n"/>
      <c r="T128" s="1083" t="n"/>
      <c r="U128" s="1083" t="n"/>
      <c r="V128" s="1083" t="n"/>
      <c r="W128" s="1083" t="n"/>
      <c r="X128" s="1083" t="n"/>
      <c r="Y128" s="1083" t="n"/>
      <c r="Z128" s="1083" t="n"/>
      <c r="AA128" s="1083" t="n"/>
      <c r="AB128" s="1083" t="n"/>
      <c r="AC128" s="1083" t="n"/>
      <c r="AD128" s="1083" t="n"/>
      <c r="AE128" s="1083" t="n"/>
      <c r="AF128" s="1083" t="n"/>
      <c r="AG128" s="1083" t="n"/>
      <c r="AH128" s="1083" t="n"/>
      <c r="AI128" s="1083" t="n"/>
      <c r="AJ128" s="1083" t="n"/>
      <c r="AK128" s="1083" t="n"/>
      <c r="AL128" s="1083" t="n"/>
      <c r="AM128" s="1083" t="n"/>
      <c r="AN128" s="1083" t="n"/>
      <c r="AO128" s="1083" t="n"/>
      <c r="AP128" s="1083" t="n"/>
      <c r="AQ128" s="1083" t="n"/>
      <c r="AR128" s="1083" t="n"/>
      <c r="AS128" s="1083" t="n"/>
      <c r="AT128" s="1083" t="n"/>
      <c r="AU128" s="1083" t="n"/>
      <c r="AV128" s="1083" t="n"/>
      <c r="AW128" s="1083" t="n"/>
    </row>
    <row r="129" customFormat="1" s="392">
      <c r="A129" s="1083" t="n"/>
      <c r="B129" s="1083" t="n"/>
      <c r="C129" s="1083" t="n"/>
      <c r="D129" s="390" t="n"/>
      <c r="E129" s="391" t="n"/>
      <c r="F129" s="1083" t="n"/>
      <c r="G129" s="1083" t="n"/>
      <c r="H129" s="391" t="n"/>
      <c r="I129" s="1083" t="n"/>
      <c r="J129" s="1083" t="n"/>
      <c r="K129" s="1083" t="n"/>
      <c r="L129" s="1083" t="n"/>
      <c r="M129" s="1083" t="n"/>
      <c r="N129" s="1083" t="n"/>
      <c r="P129" s="1083" t="n"/>
      <c r="Q129" s="1083" t="n"/>
      <c r="R129" s="1083" t="n"/>
      <c r="S129" s="1083" t="n"/>
      <c r="T129" s="1083" t="n"/>
      <c r="U129" s="1083" t="n"/>
      <c r="V129" s="1083" t="n"/>
      <c r="W129" s="1083" t="n"/>
      <c r="X129" s="1083" t="n"/>
      <c r="Y129" s="1083" t="n"/>
      <c r="Z129" s="1083" t="n"/>
      <c r="AA129" s="1083" t="n"/>
      <c r="AB129" s="1083" t="n"/>
      <c r="AC129" s="1083" t="n"/>
      <c r="AD129" s="1083" t="n"/>
      <c r="AE129" s="1083" t="n"/>
      <c r="AF129" s="1083" t="n"/>
      <c r="AG129" s="1083" t="n"/>
      <c r="AH129" s="1083" t="n"/>
      <c r="AI129" s="1083" t="n"/>
      <c r="AJ129" s="1083" t="n"/>
      <c r="AK129" s="1083" t="n"/>
      <c r="AL129" s="1083" t="n"/>
      <c r="AM129" s="1083" t="n"/>
      <c r="AN129" s="1083" t="n"/>
      <c r="AO129" s="1083" t="n"/>
      <c r="AP129" s="1083" t="n"/>
      <c r="AQ129" s="1083" t="n"/>
      <c r="AR129" s="1083" t="n"/>
      <c r="AS129" s="1083" t="n"/>
      <c r="AT129" s="1083" t="n"/>
      <c r="AU129" s="1083" t="n"/>
      <c r="AV129" s="1083" t="n"/>
      <c r="AW129" s="1083" t="n"/>
    </row>
    <row r="130" customFormat="1" s="392">
      <c r="A130" s="1083" t="n"/>
      <c r="B130" s="1083" t="n"/>
      <c r="C130" s="1083" t="n"/>
      <c r="D130" s="390" t="n"/>
      <c r="E130" s="391" t="n"/>
      <c r="F130" s="1083" t="n"/>
      <c r="G130" s="1083" t="n"/>
      <c r="H130" s="391" t="n"/>
      <c r="I130" s="1083" t="n"/>
      <c r="J130" s="1083" t="n"/>
      <c r="K130" s="1083" t="n"/>
      <c r="L130" s="1083" t="n"/>
      <c r="M130" s="1083" t="n"/>
      <c r="N130" s="1083" t="n"/>
      <c r="P130" s="1083" t="n"/>
      <c r="Q130" s="1083" t="n"/>
      <c r="R130" s="1083" t="n"/>
      <c r="S130" s="1083" t="n"/>
      <c r="T130" s="1083" t="n"/>
      <c r="U130" s="1083" t="n"/>
      <c r="V130" s="1083" t="n"/>
      <c r="W130" s="1083" t="n"/>
      <c r="X130" s="1083" t="n"/>
      <c r="Y130" s="1083" t="n"/>
      <c r="Z130" s="1083" t="n"/>
      <c r="AA130" s="1083" t="n"/>
      <c r="AB130" s="1083" t="n"/>
      <c r="AC130" s="1083" t="n"/>
      <c r="AD130" s="1083" t="n"/>
      <c r="AE130" s="1083" t="n"/>
      <c r="AF130" s="1083" t="n"/>
      <c r="AG130" s="1083" t="n"/>
      <c r="AH130" s="1083" t="n"/>
      <c r="AI130" s="1083" t="n"/>
      <c r="AJ130" s="1083" t="n"/>
      <c r="AK130" s="1083" t="n"/>
      <c r="AL130" s="1083" t="n"/>
      <c r="AM130" s="1083" t="n"/>
      <c r="AN130" s="1083" t="n"/>
      <c r="AO130" s="1083" t="n"/>
      <c r="AP130" s="1083" t="n"/>
      <c r="AQ130" s="1083" t="n"/>
      <c r="AR130" s="1083" t="n"/>
      <c r="AS130" s="1083" t="n"/>
      <c r="AT130" s="1083" t="n"/>
      <c r="AU130" s="1083" t="n"/>
      <c r="AV130" s="1083" t="n"/>
      <c r="AW130" s="1083" t="n"/>
    </row>
    <row r="131" customFormat="1" s="392">
      <c r="A131" s="1083" t="n"/>
      <c r="B131" s="1083" t="n"/>
      <c r="C131" s="1083" t="n"/>
      <c r="D131" s="390" t="n"/>
      <c r="E131" s="391" t="n"/>
      <c r="F131" s="1083" t="n"/>
      <c r="G131" s="1083" t="n"/>
      <c r="H131" s="391" t="n"/>
      <c r="I131" s="1083" t="n"/>
      <c r="J131" s="1083" t="n"/>
      <c r="K131" s="1083" t="n"/>
      <c r="L131" s="1083" t="n"/>
      <c r="M131" s="1083" t="n"/>
      <c r="N131" s="1083" t="n"/>
      <c r="P131" s="1083" t="n"/>
      <c r="Q131" s="1083" t="n"/>
      <c r="R131" s="1083" t="n"/>
      <c r="S131" s="1083" t="n"/>
      <c r="T131" s="1083" t="n"/>
      <c r="U131" s="1083" t="n"/>
      <c r="V131" s="1083" t="n"/>
      <c r="W131" s="1083" t="n"/>
      <c r="X131" s="1083" t="n"/>
      <c r="Y131" s="1083" t="n"/>
      <c r="Z131" s="1083" t="n"/>
      <c r="AA131" s="1083" t="n"/>
      <c r="AB131" s="1083" t="n"/>
      <c r="AC131" s="1083" t="n"/>
      <c r="AD131" s="1083" t="n"/>
      <c r="AE131" s="1083" t="n"/>
      <c r="AF131" s="1083" t="n"/>
      <c r="AG131" s="1083" t="n"/>
      <c r="AH131" s="1083" t="n"/>
      <c r="AI131" s="1083" t="n"/>
      <c r="AJ131" s="1083" t="n"/>
      <c r="AK131" s="1083" t="n"/>
      <c r="AL131" s="1083" t="n"/>
      <c r="AM131" s="1083" t="n"/>
      <c r="AN131" s="1083" t="n"/>
      <c r="AO131" s="1083" t="n"/>
      <c r="AP131" s="1083" t="n"/>
      <c r="AQ131" s="1083" t="n"/>
      <c r="AR131" s="1083" t="n"/>
      <c r="AS131" s="1083" t="n"/>
      <c r="AT131" s="1083" t="n"/>
      <c r="AU131" s="1083" t="n"/>
      <c r="AV131" s="1083" t="n"/>
      <c r="AW131" s="1083" t="n"/>
    </row>
    <row r="132" customFormat="1" s="392">
      <c r="A132" s="1083" t="n"/>
      <c r="B132" s="1083" t="n"/>
      <c r="C132" s="1083" t="n"/>
      <c r="D132" s="390" t="n"/>
      <c r="E132" s="391" t="n"/>
      <c r="F132" s="1083" t="n"/>
      <c r="G132" s="1083" t="n"/>
      <c r="H132" s="391" t="n"/>
      <c r="I132" s="1083" t="n"/>
      <c r="J132" s="1083" t="n"/>
      <c r="K132" s="1083" t="n"/>
      <c r="L132" s="1083" t="n"/>
      <c r="M132" s="1083" t="n"/>
      <c r="N132" s="1083" t="n"/>
      <c r="P132" s="1083" t="n"/>
      <c r="Q132" s="1083" t="n"/>
      <c r="R132" s="1083" t="n"/>
      <c r="S132" s="1083" t="n"/>
      <c r="T132" s="1083" t="n"/>
      <c r="U132" s="1083" t="n"/>
      <c r="V132" s="1083" t="n"/>
      <c r="W132" s="1083" t="n"/>
      <c r="X132" s="1083" t="n"/>
      <c r="Y132" s="1083" t="n"/>
      <c r="Z132" s="1083" t="n"/>
      <c r="AA132" s="1083" t="n"/>
      <c r="AB132" s="1083" t="n"/>
      <c r="AC132" s="1083" t="n"/>
      <c r="AD132" s="1083" t="n"/>
      <c r="AE132" s="1083" t="n"/>
      <c r="AF132" s="1083" t="n"/>
      <c r="AG132" s="1083" t="n"/>
      <c r="AH132" s="1083" t="n"/>
      <c r="AI132" s="1083" t="n"/>
      <c r="AJ132" s="1083" t="n"/>
      <c r="AK132" s="1083" t="n"/>
      <c r="AL132" s="1083" t="n"/>
      <c r="AM132" s="1083" t="n"/>
      <c r="AN132" s="1083" t="n"/>
      <c r="AO132" s="1083" t="n"/>
      <c r="AP132" s="1083" t="n"/>
      <c r="AQ132" s="1083" t="n"/>
      <c r="AR132" s="1083" t="n"/>
      <c r="AS132" s="1083" t="n"/>
      <c r="AT132" s="1083" t="n"/>
      <c r="AU132" s="1083" t="n"/>
      <c r="AV132" s="1083" t="n"/>
      <c r="AW132" s="1083" t="n"/>
    </row>
    <row r="133" customFormat="1" s="392">
      <c r="A133" s="1083" t="n"/>
      <c r="B133" s="1083" t="n"/>
      <c r="C133" s="1083" t="n"/>
      <c r="D133" s="390" t="n"/>
      <c r="E133" s="391" t="n"/>
      <c r="F133" s="1083" t="n"/>
      <c r="G133" s="1083" t="n"/>
      <c r="H133" s="391" t="n"/>
      <c r="I133" s="1083" t="n"/>
      <c r="J133" s="1083" t="n"/>
      <c r="K133" s="1083" t="n"/>
      <c r="L133" s="1083" t="n"/>
      <c r="M133" s="1083" t="n"/>
      <c r="N133" s="1083" t="n"/>
      <c r="P133" s="1083" t="n"/>
      <c r="Q133" s="1083" t="n"/>
      <c r="R133" s="1083" t="n"/>
      <c r="S133" s="1083" t="n"/>
      <c r="T133" s="1083" t="n"/>
      <c r="U133" s="1083" t="n"/>
      <c r="V133" s="1083" t="n"/>
      <c r="W133" s="1083" t="n"/>
      <c r="X133" s="1083" t="n"/>
      <c r="Y133" s="1083" t="n"/>
      <c r="Z133" s="1083" t="n"/>
      <c r="AA133" s="1083" t="n"/>
      <c r="AB133" s="1083" t="n"/>
      <c r="AC133" s="1083" t="n"/>
      <c r="AD133" s="1083" t="n"/>
      <c r="AE133" s="1083" t="n"/>
      <c r="AF133" s="1083" t="n"/>
      <c r="AG133" s="1083" t="n"/>
      <c r="AH133" s="1083" t="n"/>
      <c r="AI133" s="1083" t="n"/>
      <c r="AJ133" s="1083" t="n"/>
      <c r="AK133" s="1083" t="n"/>
      <c r="AL133" s="1083" t="n"/>
      <c r="AM133" s="1083" t="n"/>
      <c r="AN133" s="1083" t="n"/>
      <c r="AO133" s="1083" t="n"/>
      <c r="AP133" s="1083" t="n"/>
      <c r="AQ133" s="1083" t="n"/>
      <c r="AR133" s="1083" t="n"/>
      <c r="AS133" s="1083" t="n"/>
      <c r="AT133" s="1083" t="n"/>
      <c r="AU133" s="1083" t="n"/>
      <c r="AV133" s="1083" t="n"/>
      <c r="AW133" s="1083" t="n"/>
    </row>
    <row r="134" customFormat="1" s="392">
      <c r="A134" s="1083" t="n"/>
      <c r="B134" s="1083" t="n"/>
      <c r="C134" s="1083" t="n"/>
      <c r="D134" s="390" t="n"/>
      <c r="E134" s="391" t="n"/>
      <c r="F134" s="1083" t="n"/>
      <c r="G134" s="1083" t="n"/>
      <c r="H134" s="391" t="n"/>
      <c r="I134" s="1083" t="n"/>
      <c r="J134" s="1083" t="n"/>
      <c r="K134" s="1083" t="n"/>
      <c r="L134" s="1083" t="n"/>
      <c r="M134" s="1083" t="n"/>
      <c r="N134" s="1083" t="n"/>
      <c r="P134" s="1083" t="n"/>
      <c r="Q134" s="1083" t="n"/>
      <c r="R134" s="1083" t="n"/>
      <c r="S134" s="1083" t="n"/>
      <c r="T134" s="1083" t="n"/>
      <c r="U134" s="1083" t="n"/>
      <c r="V134" s="1083" t="n"/>
      <c r="W134" s="1083" t="n"/>
      <c r="X134" s="1083" t="n"/>
      <c r="Y134" s="1083" t="n"/>
      <c r="Z134" s="1083" t="n"/>
      <c r="AA134" s="1083" t="n"/>
      <c r="AB134" s="1083" t="n"/>
      <c r="AC134" s="1083" t="n"/>
      <c r="AD134" s="1083" t="n"/>
      <c r="AE134" s="1083" t="n"/>
      <c r="AF134" s="1083" t="n"/>
      <c r="AG134" s="1083" t="n"/>
      <c r="AH134" s="1083" t="n"/>
      <c r="AI134" s="1083" t="n"/>
      <c r="AJ134" s="1083" t="n"/>
      <c r="AK134" s="1083" t="n"/>
      <c r="AL134" s="1083" t="n"/>
      <c r="AM134" s="1083" t="n"/>
      <c r="AN134" s="1083" t="n"/>
      <c r="AO134" s="1083" t="n"/>
      <c r="AP134" s="1083" t="n"/>
      <c r="AQ134" s="1083" t="n"/>
      <c r="AR134" s="1083" t="n"/>
      <c r="AS134" s="1083" t="n"/>
      <c r="AT134" s="1083" t="n"/>
      <c r="AU134" s="1083" t="n"/>
      <c r="AV134" s="1083" t="n"/>
      <c r="AW134" s="1083" t="n"/>
    </row>
    <row r="135" customFormat="1" s="392">
      <c r="A135" s="1083" t="n"/>
      <c r="B135" s="1083" t="n"/>
      <c r="C135" s="1083" t="n"/>
      <c r="D135" s="390" t="n"/>
      <c r="E135" s="391" t="n"/>
      <c r="F135" s="1083" t="n"/>
      <c r="G135" s="1083" t="n"/>
      <c r="H135" s="391" t="n"/>
      <c r="I135" s="1083" t="n"/>
      <c r="J135" s="1083" t="n"/>
      <c r="K135" s="1083" t="n"/>
      <c r="L135" s="1083" t="n"/>
      <c r="M135" s="1083" t="n"/>
      <c r="N135" s="1083" t="n"/>
      <c r="P135" s="1083" t="n"/>
      <c r="Q135" s="1083" t="n"/>
      <c r="R135" s="1083" t="n"/>
      <c r="S135" s="1083" t="n"/>
      <c r="T135" s="1083" t="n"/>
      <c r="U135" s="1083" t="n"/>
      <c r="V135" s="1083" t="n"/>
      <c r="W135" s="1083" t="n"/>
      <c r="X135" s="1083" t="n"/>
      <c r="Y135" s="1083" t="n"/>
      <c r="Z135" s="1083" t="n"/>
      <c r="AA135" s="1083" t="n"/>
      <c r="AB135" s="1083" t="n"/>
      <c r="AC135" s="1083" t="n"/>
      <c r="AD135" s="1083" t="n"/>
      <c r="AE135" s="1083" t="n"/>
      <c r="AF135" s="1083" t="n"/>
      <c r="AG135" s="1083" t="n"/>
      <c r="AH135" s="1083" t="n"/>
      <c r="AI135" s="1083" t="n"/>
      <c r="AJ135" s="1083" t="n"/>
      <c r="AK135" s="1083" t="n"/>
      <c r="AL135" s="1083" t="n"/>
      <c r="AM135" s="1083" t="n"/>
      <c r="AN135" s="1083" t="n"/>
      <c r="AO135" s="1083" t="n"/>
      <c r="AP135" s="1083" t="n"/>
      <c r="AQ135" s="1083" t="n"/>
      <c r="AR135" s="1083" t="n"/>
      <c r="AS135" s="1083" t="n"/>
      <c r="AT135" s="1083" t="n"/>
      <c r="AU135" s="1083" t="n"/>
      <c r="AV135" s="1083" t="n"/>
      <c r="AW135" s="1083" t="n"/>
    </row>
  </sheetData>
  <mergeCells count="39">
    <mergeCell ref="G21:H21"/>
    <mergeCell ref="A25:C25"/>
    <mergeCell ref="J16:N17"/>
    <mergeCell ref="A11:H11"/>
    <mergeCell ref="A1:B1"/>
    <mergeCell ref="B33:H33"/>
    <mergeCell ref="A8:H9"/>
    <mergeCell ref="D21:E21"/>
    <mergeCell ref="O16:T16"/>
    <mergeCell ref="B32:H32"/>
    <mergeCell ref="G7:H7"/>
    <mergeCell ref="A94:H98"/>
    <mergeCell ref="A18:B18"/>
    <mergeCell ref="D24:F24"/>
    <mergeCell ref="A12:H12"/>
    <mergeCell ref="A3:H3"/>
    <mergeCell ref="A26:H26"/>
    <mergeCell ref="A28:H29"/>
    <mergeCell ref="A7:F7"/>
    <mergeCell ref="G24:H24"/>
    <mergeCell ref="G30:H30"/>
    <mergeCell ref="A15:H16"/>
    <mergeCell ref="D4:E4"/>
    <mergeCell ref="A14:H14"/>
    <mergeCell ref="A5:H5"/>
    <mergeCell ref="O7:T7"/>
    <mergeCell ref="A23:H23"/>
    <mergeCell ref="A24:C24"/>
    <mergeCell ref="A22:H22"/>
    <mergeCell ref="A17:H17"/>
    <mergeCell ref="D25:H25"/>
    <mergeCell ref="D30:E30"/>
    <mergeCell ref="C18:H20"/>
    <mergeCell ref="A10:H10"/>
    <mergeCell ref="B34:H34"/>
    <mergeCell ref="A13:H13"/>
    <mergeCell ref="A31:H31"/>
    <mergeCell ref="A88:H93"/>
    <mergeCell ref="C1:H1"/>
  </mergeCells>
  <printOptions horizontalCentered="1"/>
  <pageMargins left="0.3937007874015748" right="0.1968503937007874" top="2.047244094488189" bottom="1.377952755905512" header="0.5905511811023623" footer="0.984251968503937"/>
  <pageSetup orientation="portrait" paperSize="9" scale="90" verticalDpi="4294967293"/>
  <headerFooter>
    <oddHeader>&amp;C&amp;G</oddHeader>
    <oddFooter>&amp;C&amp;"Arial,Negrita"&amp;8 Los resultados consignados se refieren a la muestra recibida y el INTI declina toda responsabilidad por el uso indebido_x000a_ o incorrecto que se hiciere de este informe. Está prohibida la reproducción parcial del presente certificado_x000a__x000a_&amp;G</oddFooter>
    <evenHeader/>
    <evenFooter/>
    <firstHeader/>
    <firstFooter/>
  </headerFooter>
</worksheet>
</file>

<file path=xl/worksheets/sheet10.xml><?xml version="1.0" encoding="utf-8"?>
<worksheet xmlns="http://schemas.openxmlformats.org/spreadsheetml/2006/main">
  <sheetPr codeName="Hoja3">
    <outlinePr summaryBelow="1" summaryRight="1"/>
    <pageSetUpPr/>
  </sheetPr>
  <dimension ref="A1:U200"/>
  <sheetViews>
    <sheetView showGridLines="0" view="pageBreakPreview" topLeftCell="A65" zoomScale="120" zoomScaleSheetLayoutView="120" workbookViewId="0">
      <selection activeCell="E200" sqref="E200:G200"/>
    </sheetView>
  </sheetViews>
  <sheetFormatPr baseColWidth="10" defaultColWidth="11.42578125" defaultRowHeight="12.75"/>
  <cols>
    <col width="14.42578125" customWidth="1" style="1178" min="1" max="1"/>
    <col width="12.7109375" customWidth="1" style="1178" min="2" max="2"/>
    <col width="14.42578125" customWidth="1" style="1178" min="3" max="5"/>
    <col width="15.5703125" customWidth="1" style="1178" min="6" max="6"/>
    <col width="15.42578125" customWidth="1" style="1178" min="7" max="7"/>
    <col width="11.42578125" customWidth="1" style="1178" min="8" max="10"/>
    <col width="28.85546875" customWidth="1" style="1178" min="11" max="11"/>
    <col width="14.42578125" customWidth="1" style="1178" min="12" max="12"/>
    <col width="17" customWidth="1" style="1178" min="13" max="13"/>
    <col width="11.42578125" customWidth="1" style="1178" min="14" max="14"/>
    <col width="24.42578125" customWidth="1" style="1178" min="15" max="15"/>
    <col width="11.42578125" customWidth="1" style="1178" min="16" max="16"/>
    <col width="36.140625" customWidth="1" style="1178" min="17" max="17"/>
    <col width="21.28515625" customWidth="1" style="1178" min="18" max="18"/>
    <col width="6" customWidth="1" style="1178" min="19" max="19"/>
    <col width="50.7109375" customWidth="1" style="1178" min="20" max="20"/>
    <col width="138.42578125" customWidth="1" style="1178" min="21" max="21"/>
    <col width="11.42578125" customWidth="1" style="1178" min="22" max="16384"/>
  </cols>
  <sheetData>
    <row r="1" ht="9.949999999999999" customHeight="1">
      <c r="A1" s="1180" t="n"/>
      <c r="B1" s="1180" t="n"/>
      <c r="C1" s="1180" t="n"/>
      <c r="D1" s="1180" t="n"/>
      <c r="E1" s="1180" t="n"/>
      <c r="F1" s="1180" t="n"/>
      <c r="G1" s="1180" t="n"/>
    </row>
    <row r="2" ht="15" customHeight="1">
      <c r="A2" s="1188" t="inlineStr">
        <is>
          <t>ENSAYOS EFECTUADOS</t>
        </is>
      </c>
    </row>
    <row r="3" ht="9.949999999999999" customHeight="1">
      <c r="A3" s="1179" t="n"/>
      <c r="B3" s="1179" t="n"/>
      <c r="C3" s="1179" t="n"/>
      <c r="D3" s="1179" t="n"/>
      <c r="E3" s="1179" t="n"/>
      <c r="F3" s="1179" t="n"/>
      <c r="G3" s="1179" t="n"/>
    </row>
    <row r="4" ht="17.1" customFormat="1" customHeight="1" s="577">
      <c r="A4" s="1190">
        <f>CONCATENATE("Informe Nº: ",'Identificación del Instrumento'!B4,"       ",'Identificación del Instrumento'!A5," ",'Identificación del Instrumento'!B5)</f>
        <v/>
      </c>
      <c r="E4" s="1191">
        <f>CONCATENATE("Fecha: ", IF(COUNTA('Identificación del Instrumento'!J2)=0,"",'Identificación del Instrumento'!J2))</f>
        <v/>
      </c>
    </row>
    <row r="5" ht="17.1" customHeight="1">
      <c r="A5" s="1187">
        <f>CONCATENATE("Realizó: ",IF(ISBLANK('Datos de Ensayos'!E3),"",'Datos de Ensayos'!E3))</f>
        <v/>
      </c>
      <c r="D5" s="1179" t="n"/>
      <c r="E5" s="1186">
        <f>CONCATENATE("Revisó: ",(IF(ISBLANK('Datos de Ensayos'!E4),"",'Datos de Ensayos'!E4)))</f>
        <v/>
      </c>
    </row>
    <row r="6" ht="32.1" customHeight="1">
      <c r="A6" s="1189" t="inlineStr">
        <is>
          <t>Los ensayos que se efectúan se realizan de acuerdo a lo establecido en el Anexo de la Resolución ex - S.E.C. y N.E.I. Nº 2307/80, y se detallan a continuación:</t>
        </is>
      </c>
    </row>
    <row r="7" ht="32.1" customHeight="1">
      <c r="A7" s="1172" t="inlineStr">
        <is>
          <t>NOTA: En los casos en que el instrumento esté provisto de dos o más dispositivos indicadores de carga, deberá completarse una planilla para cada indicador.</t>
        </is>
      </c>
    </row>
    <row r="8" hidden="1" ht="15" customHeight="1">
      <c r="A8" s="1152">
        <f>IF(('Identificación del Instrumento'!B17="PRIMITIVA"),"Antes de ser comparadas las indicaciones o impresiones discontinuas deben ser corregidas del error de redondeo (Punto 11 de la Resolución)", "")</f>
        <v/>
      </c>
    </row>
    <row r="9" ht="15" customHeight="1">
      <c r="A9" s="1179" t="n"/>
    </row>
    <row r="10" ht="15" customHeight="1">
      <c r="A10" s="1179" t="n"/>
      <c r="B10" s="1183" t="inlineStr">
        <is>
          <t>1.1. El instrumento parte de cero:</t>
        </is>
      </c>
      <c r="C10" s="1226" t="n"/>
      <c r="D10" s="1233" t="n"/>
      <c r="E10" s="1183">
        <f>IF(ISBLANK('Datos de Ensayos'!F55),"",'Datos de Ensayos'!F55)</f>
        <v/>
      </c>
      <c r="F10" s="1233" t="n"/>
      <c r="G10" s="1179" t="n"/>
    </row>
    <row r="11" ht="15" customHeight="1">
      <c r="A11" s="1179" t="n"/>
      <c r="B11" s="1183" t="inlineStr">
        <is>
          <t>1.2. Efecto máximo del dispositivo:</t>
        </is>
      </c>
      <c r="C11" s="1226" t="n"/>
      <c r="D11" s="1233" t="n"/>
      <c r="E11" s="1183">
        <f>IF(COUNTA('Datos de Ensayos'!G56)=1,IF('Datos de Ensayos'!G56="x","No Aplicable",IF('Datos de Ensayos'!G56="no supera","Menor al 4%","Mayor al 4%")),"")</f>
        <v/>
      </c>
      <c r="F11" s="1233" t="n"/>
      <c r="G11" s="1179" t="n"/>
    </row>
    <row r="12" ht="32.1" customHeight="1">
      <c r="A12" s="1152" t="n"/>
      <c r="B12" s="1183" t="inlineStr">
        <is>
          <t>“El efecto del dispositivo de puesta en cero debe ser como máximo igual al 4% de la capacidad máxima del instrumento”</t>
        </is>
      </c>
      <c r="C12" s="1226" t="n"/>
      <c r="D12" s="1226" t="n"/>
      <c r="E12" s="1226" t="n"/>
      <c r="F12" s="1233" t="n"/>
      <c r="G12" s="1152" t="n"/>
    </row>
    <row r="13" ht="15" customHeight="1">
      <c r="A13" s="1179" t="n"/>
      <c r="B13" s="1179" t="n"/>
      <c r="C13" s="1179" t="n"/>
      <c r="D13" s="1179" t="n"/>
      <c r="E13" s="1179" t="n"/>
      <c r="F13" s="1179" t="n"/>
      <c r="G13" s="1179" t="n"/>
    </row>
    <row r="14" ht="15" customHeight="1">
      <c r="A14" s="1179" t="inlineStr">
        <is>
          <t>2.- Ensayo de exactitud de las pesadas (Punto 9.1. de la Resolución).</t>
        </is>
      </c>
    </row>
    <row r="15" ht="15" customHeight="1">
      <c r="A15" s="1179" t="inlineStr">
        <is>
          <t>2.1. Equipos de capacidad máxima mayor ó igual a 20.000 kg.</t>
        </is>
      </c>
    </row>
    <row r="16" ht="20.25" customHeight="1" thickBot="1">
      <c r="A16" s="1179" t="inlineStr">
        <is>
          <t>(Efectuar 2 pesadas cada 10.000 kg o fracción mayor de 4.000 kg)</t>
        </is>
      </c>
    </row>
    <row r="17" ht="47.1" customHeight="1" thickBot="1">
      <c r="A17" s="1179" t="n"/>
      <c r="B17" s="584" t="inlineStr">
        <is>
          <t>Medición 
Nº</t>
        </is>
      </c>
      <c r="C17" s="585" t="inlineStr">
        <is>
          <t>Carga aplicada 
(kg)</t>
        </is>
      </c>
      <c r="D17" s="586" t="inlineStr">
        <is>
          <t>Error máximo tolerado (kg)</t>
        </is>
      </c>
      <c r="E17" s="587" t="inlineStr">
        <is>
          <t>Error verificado 
(kg)</t>
        </is>
      </c>
      <c r="F17" s="1179" t="n"/>
      <c r="G17" s="1179" t="n"/>
    </row>
    <row r="18" ht="15" customHeight="1">
      <c r="A18" s="1179" t="n"/>
      <c r="B18" s="588" t="n">
        <v>1</v>
      </c>
      <c r="C18" s="589">
        <f>IF(ISNUMBER('Datos de Ensayos'!D143),'Datos de Ensayos'!D143,"")</f>
        <v/>
      </c>
      <c r="D18" s="589">
        <f>'Datos de Ensayos'!U143</f>
        <v/>
      </c>
      <c r="E18" s="595">
        <f>IF('Identificación del Instrumento'!$B$17="periódica",'Datos de Ensayos'!I143,'Datos de Ensayos'!L143)</f>
        <v/>
      </c>
      <c r="F18" s="1179" t="n"/>
      <c r="G18" s="1179" t="n"/>
    </row>
    <row r="19" ht="15" customHeight="1">
      <c r="A19" s="1179" t="n"/>
      <c r="B19" s="588">
        <f>B18+1</f>
        <v/>
      </c>
      <c r="C19" s="589">
        <f>IF(ISNUMBER('Datos de Ensayos'!D144),'Datos de Ensayos'!D144,"")</f>
        <v/>
      </c>
      <c r="D19" s="589">
        <f>IF(ISNUMBER(C19),CONCATENATE("±",'Datos de Ensayos'!U144),"")</f>
        <v/>
      </c>
      <c r="E19" s="595">
        <f>IF('Identificación del Instrumento'!$B$17="periódica",'Datos de Ensayos'!I144,'Datos de Ensayos'!L144)</f>
        <v/>
      </c>
      <c r="F19" s="1179" t="n"/>
      <c r="G19" s="1179" t="n"/>
    </row>
    <row r="20" ht="15" customHeight="1">
      <c r="A20" s="1179" t="n"/>
      <c r="B20" s="588">
        <f>B19+1</f>
        <v/>
      </c>
      <c r="C20" s="589">
        <f>IF(ISNUMBER('Datos de Ensayos'!D145),'Datos de Ensayos'!D145,"")</f>
        <v/>
      </c>
      <c r="D20" s="589">
        <f>IF(ISNUMBER(C20),CONCATENATE("±",'Datos de Ensayos'!U145),"")</f>
        <v/>
      </c>
      <c r="E20" s="595">
        <f>IF('Identificación del Instrumento'!$B$17="periódica",'Datos de Ensayos'!I145,'Datos de Ensayos'!L145)</f>
        <v/>
      </c>
      <c r="F20" s="1179" t="n"/>
      <c r="G20" s="1179" t="n"/>
    </row>
    <row r="21" ht="15" customHeight="1">
      <c r="A21" s="1179" t="n"/>
      <c r="B21" s="588">
        <f>B20+1</f>
        <v/>
      </c>
      <c r="C21" s="589">
        <f>IF(ISNUMBER('Datos de Ensayos'!D146),'Datos de Ensayos'!D146,"")</f>
        <v/>
      </c>
      <c r="D21" s="589">
        <f>IF(ISNUMBER(C21),CONCATENATE("±",'Datos de Ensayos'!U146),"")</f>
        <v/>
      </c>
      <c r="E21" s="595">
        <f>IF('Identificación del Instrumento'!$B$17="periódica",'Datos de Ensayos'!I146,'Datos de Ensayos'!L146)</f>
        <v/>
      </c>
      <c r="F21" s="1179" t="n"/>
      <c r="G21" s="1179" t="n"/>
    </row>
    <row r="22" ht="15" customHeight="1">
      <c r="A22" s="1179" t="n"/>
      <c r="B22" s="588">
        <f>B21+1</f>
        <v/>
      </c>
      <c r="C22" s="589">
        <f>IF(ISNUMBER('Datos de Ensayos'!D147),'Datos de Ensayos'!D147,"")</f>
        <v/>
      </c>
      <c r="D22" s="589">
        <f>IF(ISNUMBER(C22),CONCATENATE("±",'Datos de Ensayos'!U147),"")</f>
        <v/>
      </c>
      <c r="E22" s="595">
        <f>IF('Identificación del Instrumento'!$B$17="periódica",'Datos de Ensayos'!I147,'Datos de Ensayos'!L147)</f>
        <v/>
      </c>
      <c r="F22" s="1179" t="n"/>
      <c r="G22" s="1179" t="n"/>
    </row>
    <row r="23" ht="15" customHeight="1">
      <c r="A23" s="1179" t="n"/>
      <c r="B23" s="588">
        <f>B22+1</f>
        <v/>
      </c>
      <c r="C23" s="589">
        <f>IF(ISNUMBER('Datos de Ensayos'!D148),'Datos de Ensayos'!D148,"")</f>
        <v/>
      </c>
      <c r="D23" s="589">
        <f>IF(ISNUMBER(C23),CONCATENATE("±",'Datos de Ensayos'!U148),"")</f>
        <v/>
      </c>
      <c r="E23" s="595">
        <f>IF('Identificación del Instrumento'!$B$17="periódica",'Datos de Ensayos'!I148,'Datos de Ensayos'!L148)</f>
        <v/>
      </c>
      <c r="F23" s="1179" t="n"/>
      <c r="G23" s="1179" t="n"/>
    </row>
    <row r="24" ht="15" customHeight="1">
      <c r="A24" s="1179" t="n"/>
      <c r="B24" s="588">
        <f>B23+1</f>
        <v/>
      </c>
      <c r="C24" s="589">
        <f>IF(ISNUMBER('Datos de Ensayos'!D149),'Datos de Ensayos'!D149,"")</f>
        <v/>
      </c>
      <c r="D24" s="589">
        <f>IF(ISNUMBER(C24),CONCATENATE("±",'Datos de Ensayos'!U149),"")</f>
        <v/>
      </c>
      <c r="E24" s="595">
        <f>IF('Identificación del Instrumento'!$B$17="periódica",'Datos de Ensayos'!I149,'Datos de Ensayos'!L149)</f>
        <v/>
      </c>
      <c r="F24" s="1179" t="n"/>
      <c r="G24" s="1179" t="n"/>
    </row>
    <row r="25" ht="15" customHeight="1">
      <c r="A25" s="1179" t="n"/>
      <c r="B25" s="588">
        <f>B24+1</f>
        <v/>
      </c>
      <c r="C25" s="589">
        <f>IF(ISNUMBER('Datos de Ensayos'!D150),'Datos de Ensayos'!D150,"")</f>
        <v/>
      </c>
      <c r="D25" s="589">
        <f>IF(ISNUMBER(C25),CONCATENATE("±",'Datos de Ensayos'!U150),"")</f>
        <v/>
      </c>
      <c r="E25" s="595">
        <f>IF('Identificación del Instrumento'!$B$17="periódica",'Datos de Ensayos'!I150,'Datos de Ensayos'!L150)</f>
        <v/>
      </c>
      <c r="F25" s="1179" t="n"/>
      <c r="G25" s="1179" t="n"/>
    </row>
    <row r="26" ht="15" customHeight="1">
      <c r="A26" s="1179" t="n"/>
      <c r="B26" s="588">
        <f>B25+1</f>
        <v/>
      </c>
      <c r="C26" s="589">
        <f>IF(ISNUMBER('Datos de Ensayos'!D151),'Datos de Ensayos'!D151,"")</f>
        <v/>
      </c>
      <c r="D26" s="589">
        <f>IF(ISNUMBER(C26),CONCATENATE("±",'Datos de Ensayos'!U151),"")</f>
        <v/>
      </c>
      <c r="E26" s="595">
        <f>IF('Identificación del Instrumento'!$B$17="periódica",'Datos de Ensayos'!I151,'Datos de Ensayos'!L151)</f>
        <v/>
      </c>
      <c r="F26" s="1179" t="n"/>
      <c r="G26" s="1179" t="n"/>
    </row>
    <row r="27" ht="15" customHeight="1">
      <c r="A27" s="1179" t="n"/>
      <c r="B27" s="588">
        <f>B26+1</f>
        <v/>
      </c>
      <c r="C27" s="589">
        <f>IF(ISNUMBER('Datos de Ensayos'!D152),'Datos de Ensayos'!D152,"")</f>
        <v/>
      </c>
      <c r="D27" s="589">
        <f>IF(ISNUMBER(C27),CONCATENATE("±",'Datos de Ensayos'!U152),"")</f>
        <v/>
      </c>
      <c r="E27" s="595">
        <f>IF('Identificación del Instrumento'!$B$17="periódica",'Datos de Ensayos'!I152,'Datos de Ensayos'!L152)</f>
        <v/>
      </c>
      <c r="F27" s="1179" t="n"/>
      <c r="G27" s="1179" t="n"/>
    </row>
    <row r="28" ht="15" customHeight="1">
      <c r="A28" s="1179" t="n"/>
      <c r="B28" s="588">
        <f>B27+1</f>
        <v/>
      </c>
      <c r="C28" s="589">
        <f>IF(ISNUMBER('Datos de Ensayos'!D153),'Datos de Ensayos'!D153,"")</f>
        <v/>
      </c>
      <c r="D28" s="589">
        <f>IF(ISNUMBER(C28),CONCATENATE("±",'Datos de Ensayos'!U153),"")</f>
        <v/>
      </c>
      <c r="E28" s="595">
        <f>IF('Identificación del Instrumento'!$B$17="periódica",'Datos de Ensayos'!I153,'Datos de Ensayos'!L153)</f>
        <v/>
      </c>
      <c r="F28" s="1179" t="n"/>
      <c r="G28" s="1179" t="n"/>
    </row>
    <row r="29" ht="15" customHeight="1">
      <c r="A29" s="1179" t="n"/>
      <c r="B29" s="588">
        <f>B28+1</f>
        <v/>
      </c>
      <c r="C29" s="589">
        <f>IF(ISNUMBER('Datos de Ensayos'!D154),'Datos de Ensayos'!D154,"")</f>
        <v/>
      </c>
      <c r="D29" s="589">
        <f>IF(ISNUMBER(C29),CONCATENATE("±",'Datos de Ensayos'!U154),"")</f>
        <v/>
      </c>
      <c r="E29" s="595">
        <f>IF('Identificación del Instrumento'!$B$17="periódica",'Datos de Ensayos'!I154,'Datos de Ensayos'!L154)</f>
        <v/>
      </c>
      <c r="F29" s="1179" t="n"/>
      <c r="G29" s="1179" t="n"/>
    </row>
    <row r="30" ht="15" customHeight="1">
      <c r="A30" s="1179" t="n"/>
      <c r="B30" s="588">
        <f>B29+1</f>
        <v/>
      </c>
      <c r="C30" s="589">
        <f>IF(ISNUMBER('Datos de Ensayos'!D155),'Datos de Ensayos'!D155,"")</f>
        <v/>
      </c>
      <c r="D30" s="589">
        <f>IF(ISNUMBER(C30),CONCATENATE("±",'Datos de Ensayos'!U155),"")</f>
        <v/>
      </c>
      <c r="E30" s="595">
        <f>IF('Identificación del Instrumento'!$B$17="periódica",'Datos de Ensayos'!I155,'Datos de Ensayos'!L155)</f>
        <v/>
      </c>
      <c r="F30" s="1179" t="n"/>
      <c r="G30" s="1179" t="n"/>
    </row>
    <row r="31" ht="15" customHeight="1">
      <c r="A31" s="1179" t="n"/>
      <c r="B31" s="588">
        <f>B30+1</f>
        <v/>
      </c>
      <c r="C31" s="589">
        <f>IF(ISNUMBER('Datos de Ensayos'!D156),'Datos de Ensayos'!D156,"")</f>
        <v/>
      </c>
      <c r="D31" s="589">
        <f>IF(ISNUMBER(C31),CONCATENATE("±",'Datos de Ensayos'!U156),"")</f>
        <v/>
      </c>
      <c r="E31" s="595">
        <f>IF('Identificación del Instrumento'!$B$17="periódica",'Datos de Ensayos'!I156,'Datos de Ensayos'!L156)</f>
        <v/>
      </c>
      <c r="F31" s="1179" t="n"/>
      <c r="G31" s="1179" t="n"/>
    </row>
    <row r="32" ht="15" customHeight="1">
      <c r="A32" s="1179" t="n"/>
      <c r="B32" s="588">
        <f>B31+1</f>
        <v/>
      </c>
      <c r="C32" s="589">
        <f>IF(ISNUMBER('Datos de Ensayos'!D157),'Datos de Ensayos'!D157,"")</f>
        <v/>
      </c>
      <c r="D32" s="589">
        <f>IF(ISNUMBER(C32),CONCATENATE("±",'Datos de Ensayos'!U157),"")</f>
        <v/>
      </c>
      <c r="E32" s="595">
        <f>IF('Identificación del Instrumento'!$B$17="periódica",'Datos de Ensayos'!I157,'Datos de Ensayos'!L157)</f>
        <v/>
      </c>
      <c r="F32" s="1179" t="n"/>
      <c r="G32" s="1179" t="n"/>
    </row>
    <row r="33" ht="15" customHeight="1">
      <c r="A33" s="1179" t="n"/>
      <c r="B33" s="588">
        <f>B32+1</f>
        <v/>
      </c>
      <c r="C33" s="589">
        <f>IF(ISNUMBER('Datos de Ensayos'!D158),'Datos de Ensayos'!D158,"")</f>
        <v/>
      </c>
      <c r="D33" s="589">
        <f>IF(ISNUMBER(C33),CONCATENATE("±",'Datos de Ensayos'!U158),"")</f>
        <v/>
      </c>
      <c r="E33" s="595">
        <f>IF('Identificación del Instrumento'!$B$17="periódica",'Datos de Ensayos'!I158,'Datos de Ensayos'!L158)</f>
        <v/>
      </c>
      <c r="F33" s="1179" t="n"/>
      <c r="G33" s="1179" t="n"/>
    </row>
    <row r="34" ht="15" customHeight="1">
      <c r="A34" s="1179" t="n"/>
      <c r="B34" s="588">
        <f>B33+1</f>
        <v/>
      </c>
      <c r="C34" s="589">
        <f>IF(ISNUMBER('Datos de Ensayos'!D159),'Datos de Ensayos'!D159,"")</f>
        <v/>
      </c>
      <c r="D34" s="589">
        <f>IF(ISNUMBER(C34),CONCATENATE("±",'Datos de Ensayos'!U159),"")</f>
        <v/>
      </c>
      <c r="E34" s="595">
        <f>IF('Identificación del Instrumento'!$B$17="periódica",'Datos de Ensayos'!I159,'Datos de Ensayos'!L159)</f>
        <v/>
      </c>
      <c r="F34" s="1179" t="n"/>
      <c r="G34" s="1179" t="n"/>
    </row>
    <row r="35" ht="15" customHeight="1">
      <c r="A35" s="1179" t="n"/>
      <c r="B35" s="588">
        <f>B34+1</f>
        <v/>
      </c>
      <c r="C35" s="589">
        <f>IF(ISNUMBER('Datos de Ensayos'!D160),'Datos de Ensayos'!D160,"")</f>
        <v/>
      </c>
      <c r="D35" s="589">
        <f>IF(ISNUMBER(C35),CONCATENATE("±",'Datos de Ensayos'!U160),"")</f>
        <v/>
      </c>
      <c r="E35" s="595">
        <f>IF('Identificación del Instrumento'!$B$17="periódica",'Datos de Ensayos'!I160,'Datos de Ensayos'!L160)</f>
        <v/>
      </c>
      <c r="F35" s="1179" t="n"/>
      <c r="G35" s="1179" t="n"/>
    </row>
    <row r="36" ht="15" customHeight="1">
      <c r="A36" s="1179" t="n"/>
      <c r="B36" s="588">
        <f>B35+1</f>
        <v/>
      </c>
      <c r="C36" s="589">
        <f>IF(ISNUMBER('Datos de Ensayos'!D161),'Datos de Ensayos'!D161,"")</f>
        <v/>
      </c>
      <c r="D36" s="589">
        <f>IF(ISNUMBER(C36),CONCATENATE("±",'Datos de Ensayos'!U161),"")</f>
        <v/>
      </c>
      <c r="E36" s="595">
        <f>IF('Identificación del Instrumento'!$B$17="periódica",'Datos de Ensayos'!I161,'Datos de Ensayos'!L161)</f>
        <v/>
      </c>
      <c r="F36" s="1179" t="n"/>
      <c r="G36" s="1179" t="n"/>
    </row>
    <row r="37" ht="15" customHeight="1">
      <c r="A37" s="1179" t="n"/>
      <c r="B37" s="588">
        <f>B36+1</f>
        <v/>
      </c>
      <c r="C37" s="589">
        <f>IF(ISNUMBER('Datos de Ensayos'!D162),'Datos de Ensayos'!D162,"")</f>
        <v/>
      </c>
      <c r="D37" s="589">
        <f>IF(ISNUMBER(C37),CONCATENATE("±",'Datos de Ensayos'!U162),"")</f>
        <v/>
      </c>
      <c r="E37" s="595">
        <f>IF('Identificación del Instrumento'!$B$17="periódica",'Datos de Ensayos'!I162,'Datos de Ensayos'!L162)</f>
        <v/>
      </c>
      <c r="F37" s="1179" t="n"/>
      <c r="G37" s="1179" t="n"/>
    </row>
    <row r="38" ht="15" customHeight="1">
      <c r="A38" s="1179" t="n"/>
      <c r="B38" s="588">
        <f>B37+1</f>
        <v/>
      </c>
      <c r="C38" s="589">
        <f>IF(ISNUMBER('Datos de Ensayos'!D163),'Datos de Ensayos'!D163,"")</f>
        <v/>
      </c>
      <c r="D38" s="589">
        <f>IF(ISNUMBER(C38),CONCATENATE("±",'Datos de Ensayos'!U163),"")</f>
        <v/>
      </c>
      <c r="E38" s="595">
        <f>IF('Identificación del Instrumento'!$B$17="periódica",'Datos de Ensayos'!I163,'Datos de Ensayos'!L163)</f>
        <v/>
      </c>
      <c r="F38" s="1179" t="n"/>
      <c r="G38" s="1179" t="n"/>
    </row>
    <row r="39" ht="15" customHeight="1">
      <c r="A39" s="1179" t="n"/>
      <c r="B39" s="588">
        <f>B38+1</f>
        <v/>
      </c>
      <c r="C39" s="589">
        <f>IF(ISNUMBER('Datos de Ensayos'!D164),'Datos de Ensayos'!D164,"")</f>
        <v/>
      </c>
      <c r="D39" s="589">
        <f>IF(ISNUMBER(C39),CONCATENATE("±",'Datos de Ensayos'!U164),"")</f>
        <v/>
      </c>
      <c r="E39" s="595">
        <f>IF('Identificación del Instrumento'!$B$17="periódica",'Datos de Ensayos'!I164,'Datos de Ensayos'!L164)</f>
        <v/>
      </c>
      <c r="F39" s="1179" t="n"/>
      <c r="G39" s="1179" t="n"/>
    </row>
    <row r="40" ht="15" customHeight="1">
      <c r="A40" s="1179" t="n"/>
      <c r="B40" s="588">
        <f>B39+1</f>
        <v/>
      </c>
      <c r="C40" s="589">
        <f>IF(ISNUMBER('Datos de Ensayos'!D165),'Datos de Ensayos'!D165,"")</f>
        <v/>
      </c>
      <c r="D40" s="589">
        <f>IF(ISNUMBER(C40),CONCATENATE("±",'Datos de Ensayos'!U165),"")</f>
        <v/>
      </c>
      <c r="E40" s="595">
        <f>IF('Identificación del Instrumento'!$B$17="periódica",'Datos de Ensayos'!I165,'Datos de Ensayos'!L165)</f>
        <v/>
      </c>
      <c r="F40" s="1179" t="n"/>
      <c r="G40" s="1179" t="n"/>
    </row>
    <row r="41" ht="15" customHeight="1">
      <c r="A41" s="1179" t="n"/>
      <c r="B41" s="588">
        <f>B40+1</f>
        <v/>
      </c>
      <c r="C41" s="589">
        <f>IF(ISNUMBER('Datos de Ensayos'!D166),'Datos de Ensayos'!D166,"")</f>
        <v/>
      </c>
      <c r="D41" s="589">
        <f>IF(ISNUMBER(C41),CONCATENATE("±",'Datos de Ensayos'!U166),"")</f>
        <v/>
      </c>
      <c r="E41" s="595">
        <f>IF('Identificación del Instrumento'!$B$17="periódica",'Datos de Ensayos'!I166,'Datos de Ensayos'!L166)</f>
        <v/>
      </c>
      <c r="F41" s="1179" t="n"/>
      <c r="G41" s="1179" t="n"/>
    </row>
    <row r="42" ht="15" customHeight="1">
      <c r="A42" s="1179" t="n"/>
      <c r="B42" s="588">
        <f>B41+1</f>
        <v/>
      </c>
      <c r="C42" s="589">
        <f>IF(ISNUMBER('Datos de Ensayos'!D167),'Datos de Ensayos'!D167,"")</f>
        <v/>
      </c>
      <c r="D42" s="589">
        <f>IF(ISNUMBER(C42),CONCATENATE("±",'Datos de Ensayos'!U167),"")</f>
        <v/>
      </c>
      <c r="E42" s="595">
        <f>IF('Identificación del Instrumento'!$B$17="periódica",'Datos de Ensayos'!I167,'Datos de Ensayos'!L167)</f>
        <v/>
      </c>
      <c r="F42" s="1179" t="n"/>
      <c r="G42" s="1179" t="n"/>
    </row>
    <row r="43" ht="15" customHeight="1">
      <c r="A43" s="1179" t="n"/>
      <c r="B43" s="588">
        <f>B42+1</f>
        <v/>
      </c>
      <c r="C43" s="589">
        <f>IF(ISNUMBER('Datos de Ensayos'!D168),'Datos de Ensayos'!D168,"")</f>
        <v/>
      </c>
      <c r="D43" s="589">
        <f>IF(ISNUMBER(C43),CONCATENATE("±",'Datos de Ensayos'!U168),"")</f>
        <v/>
      </c>
      <c r="E43" s="595">
        <f>IF('Identificación del Instrumento'!$B$17="periódica",'Datos de Ensayos'!I168,'Datos de Ensayos'!L168)</f>
        <v/>
      </c>
      <c r="F43" s="1179" t="n"/>
      <c r="G43" s="1179" t="n"/>
    </row>
    <row r="44" ht="15" customHeight="1">
      <c r="A44" s="1179" t="n"/>
      <c r="B44" s="588">
        <f>B43+1</f>
        <v/>
      </c>
      <c r="C44" s="589">
        <f>IF(ISNUMBER('Datos de Ensayos'!D169),'Datos de Ensayos'!D169,"")</f>
        <v/>
      </c>
      <c r="D44" s="589">
        <f>IF(ISNUMBER(C44),CONCATENATE("±",'Datos de Ensayos'!U169),"")</f>
        <v/>
      </c>
      <c r="E44" s="595">
        <f>IF('Identificación del Instrumento'!$B$17="periódica",'Datos de Ensayos'!I169,'Datos de Ensayos'!L169)</f>
        <v/>
      </c>
      <c r="F44" s="1179" t="n"/>
      <c r="G44" s="1179" t="n"/>
    </row>
    <row r="45" ht="15" customHeight="1">
      <c r="A45" s="1179" t="n"/>
      <c r="B45" s="588">
        <f>B44+1</f>
        <v/>
      </c>
      <c r="C45" s="589">
        <f>IF(ISNUMBER('Datos de Ensayos'!D170),'Datos de Ensayos'!D170,"")</f>
        <v/>
      </c>
      <c r="D45" s="589">
        <f>IF(ISNUMBER(C45),CONCATENATE("±",'Datos de Ensayos'!U170),"")</f>
        <v/>
      </c>
      <c r="E45" s="595">
        <f>IF('Identificación del Instrumento'!$B$17="periódica",'Datos de Ensayos'!I170,'Datos de Ensayos'!L170)</f>
        <v/>
      </c>
      <c r="F45" s="1179" t="n"/>
      <c r="G45" s="1179" t="n"/>
    </row>
    <row r="46" ht="15" customHeight="1">
      <c r="A46" s="1179" t="n"/>
      <c r="B46" s="588">
        <f>B45+1</f>
        <v/>
      </c>
      <c r="C46" s="589">
        <f>IF(ISNUMBER('Datos de Ensayos'!D171),'Datos de Ensayos'!D171,"")</f>
        <v/>
      </c>
      <c r="D46" s="589">
        <f>IF(ISNUMBER(C46),CONCATENATE("±",'Datos de Ensayos'!U171),"")</f>
        <v/>
      </c>
      <c r="E46" s="595">
        <f>IF('Identificación del Instrumento'!$B$17="periódica",'Datos de Ensayos'!I171,'Datos de Ensayos'!L171)</f>
        <v/>
      </c>
      <c r="F46" s="1179" t="n"/>
      <c r="G46" s="1179" t="n"/>
    </row>
    <row r="47" ht="15" customHeight="1">
      <c r="A47" s="1179" t="n"/>
      <c r="B47" s="588">
        <f>B46+1</f>
        <v/>
      </c>
      <c r="C47" s="589">
        <f>IF(ISNUMBER('Datos de Ensayos'!D172),'Datos de Ensayos'!D172,"")</f>
        <v/>
      </c>
      <c r="D47" s="589">
        <f>IF(ISNUMBER(C47),CONCATENATE("±",'Datos de Ensayos'!U172),"")</f>
        <v/>
      </c>
      <c r="E47" s="595">
        <f>IF('Identificación del Instrumento'!$B$17="periódica",'Datos de Ensayos'!I172,'Datos de Ensayos'!L172)</f>
        <v/>
      </c>
      <c r="F47" s="1179" t="n"/>
      <c r="G47" s="1179" t="n"/>
    </row>
    <row r="48" ht="15" customHeight="1">
      <c r="A48" s="1179" t="n"/>
      <c r="B48" s="588">
        <f>B47+1</f>
        <v/>
      </c>
      <c r="C48" s="589">
        <f>IF(ISNUMBER('Datos de Ensayos'!D173),'Datos de Ensayos'!D173,"")</f>
        <v/>
      </c>
      <c r="D48" s="589">
        <f>IF(ISNUMBER(C48),CONCATENATE("±",'Datos de Ensayos'!U173),"")</f>
        <v/>
      </c>
      <c r="E48" s="595">
        <f>IF('Identificación del Instrumento'!$B$17="periódica",'Datos de Ensayos'!I173,'Datos de Ensayos'!L173)</f>
        <v/>
      </c>
      <c r="F48" s="1179" t="n"/>
      <c r="G48" s="1179" t="n"/>
    </row>
    <row r="49" ht="15" customHeight="1">
      <c r="A49" s="1179" t="n"/>
      <c r="B49" s="588">
        <f>B48+1</f>
        <v/>
      </c>
      <c r="C49" s="589">
        <f>IF(ISNUMBER('Datos de Ensayos'!D174),'Datos de Ensayos'!D174,"")</f>
        <v/>
      </c>
      <c r="D49" s="589">
        <f>IF(ISNUMBER(C49),CONCATENATE("±",'Datos de Ensayos'!U174),"")</f>
        <v/>
      </c>
      <c r="E49" s="595">
        <f>IF('Identificación del Instrumento'!$B$17="periódica",'Datos de Ensayos'!I174,'Datos de Ensayos'!L174)</f>
        <v/>
      </c>
      <c r="F49" s="1179" t="n"/>
      <c r="G49" s="1179" t="n"/>
    </row>
    <row r="50" ht="15" customHeight="1">
      <c r="A50" s="1179" t="n"/>
      <c r="B50" s="588">
        <f>B49+1</f>
        <v/>
      </c>
      <c r="C50" s="589">
        <f>IF(ISNUMBER('Datos de Ensayos'!D175),'Datos de Ensayos'!D175,"")</f>
        <v/>
      </c>
      <c r="D50" s="589">
        <f>IF(ISNUMBER(C50),CONCATENATE("±",'Datos de Ensayos'!U175),"")</f>
        <v/>
      </c>
      <c r="E50" s="595">
        <f>IF('Identificación del Instrumento'!$B$17="periódica",'Datos de Ensayos'!I175,'Datos de Ensayos'!L175)</f>
        <v/>
      </c>
      <c r="F50" s="1179" t="n"/>
      <c r="G50" s="1179" t="n"/>
    </row>
    <row r="51" ht="15" customHeight="1">
      <c r="A51" s="1179" t="n"/>
      <c r="B51" s="588">
        <f>B50+1</f>
        <v/>
      </c>
      <c r="C51" s="589">
        <f>IF(ISNUMBER('Datos de Ensayos'!D176),'Datos de Ensayos'!D176,"")</f>
        <v/>
      </c>
      <c r="D51" s="589">
        <f>IF(ISNUMBER(C51),CONCATENATE("±",'Datos de Ensayos'!U176),"")</f>
        <v/>
      </c>
      <c r="E51" s="595">
        <f>IF('Identificación del Instrumento'!$B$17="periódica",'Datos de Ensayos'!I176,'Datos de Ensayos'!L176)</f>
        <v/>
      </c>
      <c r="F51" s="1179" t="n"/>
      <c r="G51" s="1179" t="n"/>
    </row>
    <row r="52" ht="15" customHeight="1">
      <c r="A52" s="1179" t="n"/>
      <c r="B52" s="588">
        <f>B51+1</f>
        <v/>
      </c>
      <c r="C52" s="589">
        <f>IF(ISNUMBER('Datos de Ensayos'!D177),'Datos de Ensayos'!D177,"")</f>
        <v/>
      </c>
      <c r="D52" s="589">
        <f>IF(ISNUMBER(C52),CONCATENATE("±",'Datos de Ensayos'!U177),"")</f>
        <v/>
      </c>
      <c r="E52" s="595">
        <f>IF('Identificación del Instrumento'!$B$17="periódica",'Datos de Ensayos'!I177,'Datos de Ensayos'!L177)</f>
        <v/>
      </c>
      <c r="F52" s="1179" t="n"/>
      <c r="G52" s="1179" t="n"/>
    </row>
    <row r="53" ht="15" customHeight="1">
      <c r="A53" s="1179" t="n"/>
      <c r="B53" s="588">
        <f>B52+1</f>
        <v/>
      </c>
      <c r="C53" s="589">
        <f>IF(ISNUMBER('Datos de Ensayos'!D178),'Datos de Ensayos'!D178,"")</f>
        <v/>
      </c>
      <c r="D53" s="589">
        <f>IF(ISNUMBER(C53),CONCATENATE("±",'Datos de Ensayos'!U178),"")</f>
        <v/>
      </c>
      <c r="E53" s="595">
        <f>IF('Identificación del Instrumento'!$B$17="periódica",'Datos de Ensayos'!I178,'Datos de Ensayos'!L178)</f>
        <v/>
      </c>
      <c r="F53" s="1179" t="n"/>
      <c r="G53" s="1179" t="n"/>
    </row>
    <row r="54" ht="15" customHeight="1">
      <c r="A54" s="1179" t="n"/>
      <c r="B54" s="588">
        <f>B53+1</f>
        <v/>
      </c>
      <c r="C54" s="589">
        <f>IF(ISNUMBER('Datos de Ensayos'!D179),'Datos de Ensayos'!D179,"")</f>
        <v/>
      </c>
      <c r="D54" s="589">
        <f>IF(ISNUMBER(C54),CONCATENATE("±",'Datos de Ensayos'!U179),"")</f>
        <v/>
      </c>
      <c r="E54" s="595">
        <f>IF('Identificación del Instrumento'!$B$17="periódica",'Datos de Ensayos'!I179,'Datos de Ensayos'!L179)</f>
        <v/>
      </c>
      <c r="F54" s="1179" t="n"/>
      <c r="G54" s="1179" t="n"/>
    </row>
    <row r="55" ht="15" customHeight="1">
      <c r="A55" s="1179" t="n"/>
      <c r="B55" s="588">
        <f>B54+1</f>
        <v/>
      </c>
      <c r="C55" s="589">
        <f>IF(ISNUMBER('Datos de Ensayos'!D180),'Datos de Ensayos'!D180,"")</f>
        <v/>
      </c>
      <c r="D55" s="589">
        <f>IF(ISNUMBER(C55),CONCATENATE("±",'Datos de Ensayos'!U180),"")</f>
        <v/>
      </c>
      <c r="E55" s="595">
        <f>IF('Identificación del Instrumento'!$B$17="periódica",'Datos de Ensayos'!I180,'Datos de Ensayos'!L180)</f>
        <v/>
      </c>
      <c r="F55" s="1179" t="n"/>
      <c r="G55" s="1179" t="n"/>
    </row>
    <row r="56" ht="15" customHeight="1">
      <c r="A56" s="1179" t="n"/>
      <c r="B56" s="588">
        <f>B55+1</f>
        <v/>
      </c>
      <c r="C56" s="589">
        <f>IF(ISNUMBER('Datos de Ensayos'!D181),'Datos de Ensayos'!D181,"")</f>
        <v/>
      </c>
      <c r="D56" s="589">
        <f>IF(ISNUMBER(C56),CONCATENATE("±",'Datos de Ensayos'!U181),"")</f>
        <v/>
      </c>
      <c r="E56" s="595">
        <f>IF('Identificación del Instrumento'!$B$17="periódica",'Datos de Ensayos'!I181,'Datos de Ensayos'!L181)</f>
        <v/>
      </c>
      <c r="F56" s="1179" t="n"/>
      <c r="G56" s="1179" t="n"/>
    </row>
    <row r="57" ht="15" customHeight="1">
      <c r="A57" s="1179" t="n"/>
      <c r="B57" s="588">
        <f>B56+1</f>
        <v/>
      </c>
      <c r="C57" s="589">
        <f>IF(ISNUMBER('Datos de Ensayos'!D182),'Datos de Ensayos'!D182,"")</f>
        <v/>
      </c>
      <c r="D57" s="589">
        <f>IF(ISNUMBER(C57),CONCATENATE("±",'Datos de Ensayos'!U182),"")</f>
        <v/>
      </c>
      <c r="E57" s="595">
        <f>IF('Identificación del Instrumento'!$B$17="periódica",'Datos de Ensayos'!I182,'Datos de Ensayos'!L182)</f>
        <v/>
      </c>
      <c r="F57" s="1179" t="n"/>
      <c r="G57" s="1179" t="n"/>
    </row>
    <row r="58" ht="15" customHeight="1">
      <c r="A58" s="1179" t="n"/>
      <c r="B58" s="588">
        <f>B57+1</f>
        <v/>
      </c>
      <c r="C58" s="589">
        <f>IF(ISNUMBER('Datos de Ensayos'!D183),'Datos de Ensayos'!D183,"")</f>
        <v/>
      </c>
      <c r="D58" s="589">
        <f>IF(ISNUMBER(C58),CONCATENATE("±",'Datos de Ensayos'!U183),"")</f>
        <v/>
      </c>
      <c r="E58" s="595">
        <f>IF('Identificación del Instrumento'!$B$17="periódica",'Datos de Ensayos'!I183,'Datos de Ensayos'!L183)</f>
        <v/>
      </c>
      <c r="F58" s="1179" t="n"/>
      <c r="G58" s="1179" t="n"/>
    </row>
    <row r="59" ht="15" customHeight="1">
      <c r="A59" s="1179" t="n"/>
      <c r="B59" s="588">
        <f>B58+1</f>
        <v/>
      </c>
      <c r="C59" s="589">
        <f>IF(ISNUMBER('Datos de Ensayos'!D184),'Datos de Ensayos'!D184,"")</f>
        <v/>
      </c>
      <c r="D59" s="589">
        <f>IF(ISNUMBER(C59),CONCATENATE("±",'Datos de Ensayos'!U184),"")</f>
        <v/>
      </c>
      <c r="E59" s="595">
        <f>IF('Identificación del Instrumento'!$B$17="periódica",'Datos de Ensayos'!I184,'Datos de Ensayos'!L184)</f>
        <v/>
      </c>
      <c r="F59" s="1179" t="n"/>
      <c r="G59" s="1179" t="n"/>
    </row>
    <row r="60" ht="15" customHeight="1">
      <c r="A60" s="1179" t="n"/>
      <c r="B60" s="588">
        <f>B59+1</f>
        <v/>
      </c>
      <c r="C60" s="589">
        <f>IF(ISNUMBER('Datos de Ensayos'!D185),'Datos de Ensayos'!D185,"")</f>
        <v/>
      </c>
      <c r="D60" s="589">
        <f>IF(ISNUMBER(C60),CONCATENATE("±",'Datos de Ensayos'!U185),"")</f>
        <v/>
      </c>
      <c r="E60" s="595">
        <f>IF('Identificación del Instrumento'!$B$17="periódica",'Datos de Ensayos'!I185,'Datos de Ensayos'!L185)</f>
        <v/>
      </c>
      <c r="F60" s="1179" t="n"/>
      <c r="G60" s="1179" t="n"/>
    </row>
    <row r="61" ht="15" customHeight="1" thickBot="1">
      <c r="A61" s="1179" t="n"/>
      <c r="B61" s="592">
        <f>B60+1</f>
        <v/>
      </c>
      <c r="C61" s="596">
        <f>IF(ISNUMBER('Datos de Ensayos'!D186),'Datos de Ensayos'!D186,"")</f>
        <v/>
      </c>
      <c r="D61" s="597">
        <f>IF(ISNUMBER(C61),CONCATENATE("±",'Datos de Ensayos'!U186),"")</f>
        <v/>
      </c>
      <c r="E61" s="598">
        <f>IF('Identificación del Instrumento'!$B$17="periódica",'Datos de Ensayos'!I186,'Datos de Ensayos'!L186)</f>
        <v/>
      </c>
      <c r="F61" s="1179" t="n"/>
      <c r="G61" s="1179" t="n"/>
    </row>
    <row r="62" ht="15" customHeight="1">
      <c r="A62" s="1179" t="n"/>
      <c r="B62" s="1179" t="n"/>
      <c r="C62" s="1179" t="n"/>
      <c r="D62" s="1179" t="n"/>
      <c r="E62" s="1179" t="n"/>
      <c r="F62" s="1179" t="n"/>
      <c r="G62" s="1179" t="n"/>
    </row>
    <row r="63" ht="15" customHeight="1" thickBot="1">
      <c r="A63" s="1179" t="n"/>
      <c r="B63" s="1152" t="n"/>
      <c r="C63" s="1179" t="n"/>
      <c r="D63" s="1179" t="n"/>
      <c r="E63" s="1179" t="n"/>
      <c r="F63" s="1179" t="n"/>
      <c r="G63" s="1179" t="n"/>
    </row>
    <row r="64" ht="15" customHeight="1">
      <c r="A64" s="1179" t="n"/>
      <c r="B64" s="1350" t="inlineStr">
        <is>
          <t>APLICACIÓN DE CARGA SUSTITUTA</t>
        </is>
      </c>
      <c r="C64" s="193" t="n"/>
      <c r="D64" s="193" t="n"/>
      <c r="E64" s="1268" t="n"/>
      <c r="F64" s="1179" t="n"/>
      <c r="G64" s="1179" t="n"/>
    </row>
    <row r="65" ht="15" customHeight="1" thickBot="1">
      <c r="A65" s="1179" t="n"/>
      <c r="B65" s="1355">
        <f>IF(ISBLANK('Datos de Ensayos'!F208), "", "(PRIMERA)")</f>
        <v/>
      </c>
      <c r="C65" s="190" t="n"/>
      <c r="D65" s="190" t="n"/>
      <c r="E65" s="209" t="n"/>
      <c r="F65" s="1179" t="n"/>
      <c r="G65" s="1179" t="n"/>
    </row>
    <row r="66" ht="15" customHeight="1">
      <c r="A66" s="1179" t="n"/>
      <c r="B66" s="656">
        <f>(COUNT(C18:C61)+1)</f>
        <v/>
      </c>
      <c r="C66" s="589">
        <f>IF(AND(ISNUMBER('Datos de Ensayos'!D197),ISNUMBER('Datos de Ensayos'!E197)),'Datos de Ensayos'!D197,"")</f>
        <v/>
      </c>
      <c r="D66" s="589">
        <f>IF(ISNUMBER(C66),CONCATENATE("±",'Datos de Ensayos'!O197),"")</f>
        <v/>
      </c>
      <c r="E66" s="595">
        <f>IF('Identificación del Instrumento'!$B$17="periódica",'Datos de Ensayos'!F197,'Datos de Ensayos'!I197)</f>
        <v/>
      </c>
      <c r="F66" s="1179" t="n"/>
      <c r="G66" s="1179" t="n"/>
    </row>
    <row r="67" ht="15" customHeight="1">
      <c r="A67" s="1179" t="n"/>
      <c r="B67" s="588">
        <f>B66+1</f>
        <v/>
      </c>
      <c r="C67" s="589">
        <f>IF(AND(ISNUMBER('Datos de Ensayos'!D198),ISNUMBER('Datos de Ensayos'!E198)),'Datos de Ensayos'!D198,"")</f>
        <v/>
      </c>
      <c r="D67" s="589">
        <f>IF(ISNUMBER(C67),CONCATENATE("±",'Datos de Ensayos'!O198),"")</f>
        <v/>
      </c>
      <c r="E67" s="595">
        <f>IF('Identificación del Instrumento'!$B$17="periódica",'Datos de Ensayos'!F198,'Datos de Ensayos'!I198)</f>
        <v/>
      </c>
      <c r="F67" s="1179" t="n"/>
      <c r="G67" s="1179" t="n"/>
    </row>
    <row r="68" ht="15" customHeight="1">
      <c r="A68" s="1179" t="n"/>
      <c r="B68" s="588">
        <f>B67+1</f>
        <v/>
      </c>
      <c r="C68" s="589">
        <f>IF(AND(ISNUMBER('Datos de Ensayos'!D199),ISNUMBER('Datos de Ensayos'!E199)),'Datos de Ensayos'!D199,"")</f>
        <v/>
      </c>
      <c r="D68" s="589">
        <f>IF(ISNUMBER(C68),CONCATENATE("±",'Datos de Ensayos'!O199),"")</f>
        <v/>
      </c>
      <c r="E68" s="595">
        <f>IF('Identificación del Instrumento'!$B$17="periódica",'Datos de Ensayos'!F199,'Datos de Ensayos'!I199)</f>
        <v/>
      </c>
      <c r="F68" s="1179" t="n"/>
      <c r="G68" s="1179" t="n"/>
    </row>
    <row r="69" ht="15" customHeight="1">
      <c r="A69" s="1179" t="n"/>
      <c r="B69" s="599">
        <f>B68+1</f>
        <v/>
      </c>
      <c r="C69" s="589">
        <f>IF(AND(ISNUMBER('Datos de Ensayos'!D200),ISNUMBER('Datos de Ensayos'!E200)),'Datos de Ensayos'!D200,"")</f>
        <v/>
      </c>
      <c r="D69" s="589">
        <f>IF(ISNUMBER(C69),CONCATENATE("±",'Datos de Ensayos'!O200),"")</f>
        <v/>
      </c>
      <c r="E69" s="595">
        <f>IF('Identificación del Instrumento'!$B$17="periódica",'Datos de Ensayos'!F200,'Datos de Ensayos'!I200)</f>
        <v/>
      </c>
      <c r="F69" s="1179" t="n"/>
      <c r="G69" s="1179" t="n"/>
    </row>
    <row r="70" ht="15" customHeight="1">
      <c r="A70" s="1179" t="n"/>
      <c r="B70" s="599">
        <f>B69+1</f>
        <v/>
      </c>
      <c r="C70" s="589">
        <f>IF(AND(ISNUMBER('Datos de Ensayos'!D201),ISNUMBER('Datos de Ensayos'!E201)),'Datos de Ensayos'!D201,"")</f>
        <v/>
      </c>
      <c r="D70" s="589">
        <f>IF(ISNUMBER(C70),CONCATENATE("±",'Datos de Ensayos'!O201),"")</f>
        <v/>
      </c>
      <c r="E70" s="595">
        <f>IF('Identificación del Instrumento'!$B$17="periódica",'Datos de Ensayos'!F201,'Datos de Ensayos'!I201)</f>
        <v/>
      </c>
      <c r="F70" s="1179" t="n"/>
      <c r="G70" s="1179" t="n"/>
    </row>
    <row r="71" ht="15" customHeight="1">
      <c r="A71" s="1179" t="n"/>
      <c r="B71" s="588">
        <f>B70+1</f>
        <v/>
      </c>
      <c r="C71" s="589">
        <f>IF(AND(ISNUMBER('Datos de Ensayos'!D202),ISNUMBER('Datos de Ensayos'!E202)),'Datos de Ensayos'!D202,"")</f>
        <v/>
      </c>
      <c r="D71" s="589">
        <f>IF(ISNUMBER(C71),CONCATENATE("±",'Datos de Ensayos'!O202),"")</f>
        <v/>
      </c>
      <c r="E71" s="595">
        <f>IF('Identificación del Instrumento'!$B$17="periódica",'Datos de Ensayos'!F202,'Datos de Ensayos'!I202)</f>
        <v/>
      </c>
      <c r="F71" s="1179" t="n"/>
      <c r="G71" s="1179" t="n"/>
    </row>
    <row r="72" ht="15" customHeight="1" thickBot="1">
      <c r="A72" s="1179" t="n"/>
      <c r="B72" s="602">
        <f>B71+1</f>
        <v/>
      </c>
      <c r="C72" s="589">
        <f>IF(AND(ISNUMBER('Datos de Ensayos'!D203),ISNUMBER('Datos de Ensayos'!E203)),'Datos de Ensayos'!D203,"")</f>
        <v/>
      </c>
      <c r="D72" s="589">
        <f>IF(ISNUMBER(C72),CONCATENATE("±",'Datos de Ensayos'!O203),"")</f>
        <v/>
      </c>
      <c r="E72" s="595">
        <f>IF('Identificación del Instrumento'!$B$17="periódica",'Datos de Ensayos'!F203,'Datos de Ensayos'!I203)</f>
        <v/>
      </c>
      <c r="F72" s="1179" t="n"/>
      <c r="G72" s="1179" t="n"/>
    </row>
    <row r="73" ht="15" customHeight="1" thickBot="1">
      <c r="A73" s="1179" t="n"/>
      <c r="B73" s="556" t="n"/>
      <c r="C73" s="556" t="n"/>
      <c r="D73" s="556" t="n"/>
      <c r="E73" s="557" t="n"/>
      <c r="F73" s="1179" t="n"/>
      <c r="G73" s="1179" t="n"/>
    </row>
    <row r="74" ht="15" customHeight="1">
      <c r="A74" s="1179" t="n"/>
      <c r="B74" s="1350">
        <f>B64</f>
        <v/>
      </c>
      <c r="C74" s="193" t="n"/>
      <c r="D74" s="193" t="n"/>
      <c r="E74" s="1268" t="n"/>
      <c r="F74" s="1179" t="n"/>
      <c r="G74" s="1179" t="n"/>
    </row>
    <row r="75" ht="15" customHeight="1" thickBot="1">
      <c r="A75" s="1179" t="n"/>
      <c r="B75" s="1355">
        <f>IF(ISBLANK('Datos de Ensayos'!F208), "", "(SEGUNDA)")</f>
        <v/>
      </c>
      <c r="C75" s="190" t="n"/>
      <c r="D75" s="190" t="n"/>
      <c r="E75" s="209" t="n"/>
      <c r="F75" s="1179" t="n"/>
      <c r="G75" s="1179" t="n"/>
    </row>
    <row r="76" ht="15" customHeight="1">
      <c r="A76" s="1179" t="n"/>
      <c r="B76" s="603">
        <f>(COUNT(C18:C61)+COUNT(C66:C72)+1)</f>
        <v/>
      </c>
      <c r="C76" s="604">
        <f>IF(AND(ISNUMBER('Datos de Ensayos'!D213),ISNUMBER('Datos de Ensayos'!E213)),'Datos de Ensayos'!D213,"")</f>
        <v/>
      </c>
      <c r="D76" s="604">
        <f>IF(ISNUMBER(C76),CONCATENATE("±",'Datos de Ensayos'!O213),"")</f>
        <v/>
      </c>
      <c r="E76" s="605">
        <f>IF('Identificación del Instrumento'!$B$17="periódica",'Datos de Ensayos'!F213,'Datos de Ensayos'!I213)</f>
        <v/>
      </c>
      <c r="F76" s="1179" t="n"/>
      <c r="G76" s="1179" t="n"/>
    </row>
    <row r="77" ht="15" customHeight="1">
      <c r="A77" s="1179" t="n"/>
      <c r="B77" s="588">
        <f>B76+1</f>
        <v/>
      </c>
      <c r="C77" s="589">
        <f>IF(AND(ISNUMBER('Datos de Ensayos'!D214),ISNUMBER('Datos de Ensayos'!E214)),'Datos de Ensayos'!D214,"")</f>
        <v/>
      </c>
      <c r="D77" s="589">
        <f>IF(ISNUMBER(C77),CONCATENATE("±",'Datos de Ensayos'!O214),"")</f>
        <v/>
      </c>
      <c r="E77" s="595">
        <f>IF('Identificación del Instrumento'!$B$17="periódica",'Datos de Ensayos'!F214,'Datos de Ensayos'!I214)</f>
        <v/>
      </c>
      <c r="F77" s="1179" t="n"/>
      <c r="G77" s="1179" t="n"/>
    </row>
    <row r="78" ht="15" customHeight="1">
      <c r="A78" s="1179" t="n"/>
      <c r="B78" s="588">
        <f>B77+1</f>
        <v/>
      </c>
      <c r="C78" s="589">
        <f>IF(AND(ISNUMBER('Datos de Ensayos'!D215),ISNUMBER('Datos de Ensayos'!E215)),'Datos de Ensayos'!D215,"")</f>
        <v/>
      </c>
      <c r="D78" s="589">
        <f>IF(ISNUMBER(C78),CONCATENATE("±",'Datos de Ensayos'!O215),"")</f>
        <v/>
      </c>
      <c r="E78" s="595">
        <f>IF('Identificación del Instrumento'!$B$17="periódica",'Datos de Ensayos'!F215,'Datos de Ensayos'!I215)</f>
        <v/>
      </c>
      <c r="F78" s="1179" t="n"/>
      <c r="G78" s="1179" t="n"/>
    </row>
    <row r="79" ht="15" customHeight="1">
      <c r="A79" s="1179" t="n"/>
      <c r="B79" s="599">
        <f>B78+1</f>
        <v/>
      </c>
      <c r="C79" s="601">
        <f>IF(AND(ISNUMBER('Datos de Ensayos'!D216),ISNUMBER('Datos de Ensayos'!E216)),'Datos de Ensayos'!D216,"")</f>
        <v/>
      </c>
      <c r="D79" s="601">
        <f>IF(ISNUMBER(C79),CONCATENATE("±",'Datos de Ensayos'!O216),"")</f>
        <v/>
      </c>
      <c r="E79" s="606">
        <f>IF('Identificación del Instrumento'!$B$17="periódica",'Datos de Ensayos'!F216,'Datos de Ensayos'!I216)</f>
        <v/>
      </c>
      <c r="F79" s="1179" t="n"/>
      <c r="G79" s="1179" t="n"/>
    </row>
    <row r="80" ht="15" customHeight="1">
      <c r="A80" s="1179" t="n"/>
      <c r="B80" s="588">
        <f>B79+1</f>
        <v/>
      </c>
      <c r="C80" s="589">
        <f>IF(AND(ISNUMBER('Datos de Ensayos'!D217),ISNUMBER('Datos de Ensayos'!E217)),'Datos de Ensayos'!D217,"")</f>
        <v/>
      </c>
      <c r="D80" s="589">
        <f>IF(ISNUMBER(C80),CONCATENATE("±",'Datos de Ensayos'!O217),"")</f>
        <v/>
      </c>
      <c r="E80" s="595">
        <f>IF('Identificación del Instrumento'!$B$17="periódica",'Datos de Ensayos'!F217,'Datos de Ensayos'!I217)</f>
        <v/>
      </c>
      <c r="F80" s="1179" t="n"/>
      <c r="G80" s="1179" t="n"/>
    </row>
    <row r="81" ht="15" customHeight="1" thickBot="1">
      <c r="A81" s="1179" t="n"/>
      <c r="B81" s="592">
        <f>B80+1</f>
        <v/>
      </c>
      <c r="C81" s="596">
        <f>IF(AND(ISNUMBER('Datos de Ensayos'!D218),ISNUMBER('Datos de Ensayos'!E218)),'Datos de Ensayos'!D218,"")</f>
        <v/>
      </c>
      <c r="D81" s="597">
        <f>IF(ISNUMBER(C81),CONCATENATE("±",'Datos de Ensayos'!O218),"")</f>
        <v/>
      </c>
      <c r="E81" s="598">
        <f>IF('Identificación del Instrumento'!$B$17="periódica",'Datos de Ensayos'!F218,'Datos de Ensayos'!I218)</f>
        <v/>
      </c>
      <c r="F81" s="1179" t="n"/>
      <c r="G81" s="1179" t="n"/>
    </row>
    <row r="82" ht="15" customHeight="1" thickBot="1">
      <c r="A82" s="1179" t="n"/>
      <c r="B82" s="1152" t="n"/>
      <c r="C82" s="1152" t="n"/>
      <c r="D82" s="558" t="n"/>
      <c r="E82" s="558" t="n"/>
      <c r="F82" s="1179" t="n"/>
      <c r="G82" s="1179" t="n"/>
    </row>
    <row r="83" ht="15" customHeight="1">
      <c r="A83" s="1179" t="n"/>
      <c r="B83" s="1350">
        <f>CONCATENATE(B64)</f>
        <v/>
      </c>
      <c r="C83" s="193" t="n"/>
      <c r="D83" s="193" t="n"/>
      <c r="E83" s="1268" t="n"/>
      <c r="F83" s="1179" t="n"/>
      <c r="G83" s="1179" t="n"/>
    </row>
    <row r="84" ht="15" customHeight="1" thickBot="1">
      <c r="A84" s="1179" t="n"/>
      <c r="B84" s="1355">
        <f>IF(ISBLANK('Datos de Ensayos'!F224), "", "(TERCERA)")</f>
        <v/>
      </c>
      <c r="C84" s="190" t="n"/>
      <c r="D84" s="190" t="n"/>
      <c r="E84" s="209" t="n"/>
      <c r="F84" s="1179" t="n"/>
      <c r="G84" s="1179" t="n"/>
    </row>
    <row r="85" ht="15" customHeight="1">
      <c r="A85" s="1179" t="n"/>
      <c r="B85" s="603">
        <f>(COUNT(C18:C61)+COUNT(C66:C72)+COUNT(C76:C81)+1)</f>
        <v/>
      </c>
      <c r="C85" s="604">
        <f>IF(AND(ISNUMBER('Datos de Ensayos'!D229),ISNUMBER('Datos de Ensayos'!E229)),'Datos de Ensayos'!D229,"")</f>
        <v/>
      </c>
      <c r="D85" s="604">
        <f>IF(ISNUMBER(C85),CONCATENATE("±",'Datos de Ensayos'!O229),"")</f>
        <v/>
      </c>
      <c r="E85" s="605">
        <f>IF('Identificación del Instrumento'!$B$17="periódica",'Datos de Ensayos'!F229,'Datos de Ensayos'!I229)</f>
        <v/>
      </c>
      <c r="F85" s="1179" t="n"/>
      <c r="G85" s="1179" t="n"/>
    </row>
    <row r="86" ht="15" customHeight="1">
      <c r="A86" s="1179" t="n"/>
      <c r="B86" s="588">
        <f>B85+1</f>
        <v/>
      </c>
      <c r="C86" s="589">
        <f>IF(AND(ISNUMBER('Datos de Ensayos'!D230),ISNUMBER('Datos de Ensayos'!E230)),'Datos de Ensayos'!D230,"")</f>
        <v/>
      </c>
      <c r="D86" s="589">
        <f>IF(ISNUMBER(C86),CONCATENATE("±",'Datos de Ensayos'!O230),"")</f>
        <v/>
      </c>
      <c r="E86" s="595">
        <f>IF('Identificación del Instrumento'!$B$17="periódica",'Datos de Ensayos'!F230,'Datos de Ensayos'!I230)</f>
        <v/>
      </c>
      <c r="F86" s="1179" t="n"/>
      <c r="G86" s="1179" t="n"/>
    </row>
    <row r="87" ht="15" customHeight="1">
      <c r="A87" s="1179" t="n"/>
      <c r="B87" s="588">
        <f>B86+1</f>
        <v/>
      </c>
      <c r="C87" s="589">
        <f>IF(AND(ISNUMBER('Datos de Ensayos'!D231),ISNUMBER('Datos de Ensayos'!E231)),'Datos de Ensayos'!D231,"")</f>
        <v/>
      </c>
      <c r="D87" s="589">
        <f>IF(ISNUMBER(C87),CONCATENATE("±",'Datos de Ensayos'!O231),"")</f>
        <v/>
      </c>
      <c r="E87" s="595">
        <f>IF('Identificación del Instrumento'!$B$17="periódica",'Datos de Ensayos'!F231,'Datos de Ensayos'!I231)</f>
        <v/>
      </c>
      <c r="F87" s="1179" t="n"/>
      <c r="G87" s="1179" t="n"/>
    </row>
    <row r="88" ht="15" customHeight="1">
      <c r="A88" s="1179" t="n"/>
      <c r="B88" s="599">
        <f>B87+1</f>
        <v/>
      </c>
      <c r="C88" s="589">
        <f>IF(AND(ISNUMBER('Datos de Ensayos'!D232),ISNUMBER('Datos de Ensayos'!E232)),'Datos de Ensayos'!D232,"")</f>
        <v/>
      </c>
      <c r="D88" s="589">
        <f>IF(ISNUMBER(C88),CONCATENATE("±",'Datos de Ensayos'!O232),"")</f>
        <v/>
      </c>
      <c r="E88" s="595">
        <f>IF('Identificación del Instrumento'!$B$17="periódica",'Datos de Ensayos'!F232,'Datos de Ensayos'!I232)</f>
        <v/>
      </c>
      <c r="F88" s="1179" t="n"/>
      <c r="G88" s="1179" t="n"/>
    </row>
    <row r="89" ht="15" customHeight="1">
      <c r="A89" s="1179" t="n"/>
      <c r="B89" s="588">
        <f>B88+1</f>
        <v/>
      </c>
      <c r="C89" s="589">
        <f>IF(AND(ISNUMBER('Datos de Ensayos'!D233),ISNUMBER('Datos de Ensayos'!E233)),'Datos de Ensayos'!D233,"")</f>
        <v/>
      </c>
      <c r="D89" s="589">
        <f>IF(ISNUMBER(C89),CONCATENATE("±",'Datos de Ensayos'!O233),"")</f>
        <v/>
      </c>
      <c r="E89" s="595">
        <f>IF('Identificación del Instrumento'!$B$17="periódica",'Datos de Ensayos'!F233,'Datos de Ensayos'!I233)</f>
        <v/>
      </c>
      <c r="F89" s="1179" t="n"/>
      <c r="G89" s="1179" t="n"/>
    </row>
    <row r="90" ht="15" customHeight="1" thickBot="1">
      <c r="A90" s="1179" t="n"/>
      <c r="B90" s="600">
        <f>B89+1</f>
        <v/>
      </c>
      <c r="C90" s="597">
        <f>IF(AND(ISNUMBER('Datos de Ensayos'!D234),ISNUMBER('Datos de Ensayos'!E234)),'Datos de Ensayos'!D234,"")</f>
        <v/>
      </c>
      <c r="D90" s="597">
        <f>IF(ISNUMBER(C90),CONCATENATE("±",'Datos de Ensayos'!O234),"")</f>
        <v/>
      </c>
      <c r="E90" s="598">
        <f>IF('Identificación del Instrumento'!$B$17="periódica",'Datos de Ensayos'!F234,'Datos de Ensayos'!I234)</f>
        <v/>
      </c>
      <c r="F90" s="1179" t="n"/>
      <c r="G90" s="1179" t="n"/>
    </row>
    <row r="91" ht="15" customHeight="1" thickBot="1">
      <c r="A91" s="1179" t="n"/>
      <c r="B91" s="1152" t="n"/>
      <c r="C91" s="1152" t="n"/>
      <c r="D91" s="558" t="n"/>
      <c r="E91" s="558" t="n"/>
      <c r="F91" s="1179" t="n"/>
      <c r="G91" s="1179" t="n"/>
    </row>
    <row r="92" ht="15" customHeight="1">
      <c r="A92" s="1179" t="n"/>
      <c r="B92" s="1350">
        <f>CONCATENATE(B64)</f>
        <v/>
      </c>
      <c r="C92" s="193" t="n"/>
      <c r="D92" s="193" t="n"/>
      <c r="E92" s="1268" t="n"/>
      <c r="F92" s="1179" t="n"/>
      <c r="G92" s="1179" t="n"/>
    </row>
    <row r="93" ht="15" customHeight="1" thickBot="1">
      <c r="A93" s="1179" t="n"/>
      <c r="B93" s="1355">
        <f>IF(ISBLANK('Datos de Ensayos'!F240), "", "(CUARTA)")</f>
        <v/>
      </c>
      <c r="C93" s="190" t="n"/>
      <c r="D93" s="190" t="n"/>
      <c r="E93" s="209" t="n"/>
      <c r="F93" s="1179" t="n"/>
      <c r="G93" s="1179" t="n"/>
    </row>
    <row r="94" ht="15" customHeight="1">
      <c r="A94" s="1179" t="n"/>
      <c r="B94" s="588">
        <f>(COUNT(C18:C61)+COUNT(C66:C72)+COUNT(C76:C81)+COUNT(C85:C90)+1)</f>
        <v/>
      </c>
      <c r="C94" s="589">
        <f>IF(AND(ISNUMBER('Datos de Ensayos'!D245),ISNUMBER('Datos de Ensayos'!E245)),'Datos de Ensayos'!D245,"")</f>
        <v/>
      </c>
      <c r="D94" s="589">
        <f>IF(ISNUMBER(C94),CONCATENATE("±",'Datos de Ensayos'!O245),"")</f>
        <v/>
      </c>
      <c r="E94" s="595">
        <f>IF('Identificación del Instrumento'!$B$17="periódica",'Datos de Ensayos'!F245,'Datos de Ensayos'!I245)</f>
        <v/>
      </c>
      <c r="F94" s="1179" t="n"/>
      <c r="G94" s="1179" t="n"/>
    </row>
    <row r="95" ht="15" customHeight="1">
      <c r="A95" s="1179" t="n"/>
      <c r="B95" s="588">
        <f>B94+1</f>
        <v/>
      </c>
      <c r="C95" s="589">
        <f>IF(AND(ISNUMBER('Datos de Ensayos'!D246),ISNUMBER('Datos de Ensayos'!E246)),'Datos de Ensayos'!D246,"")</f>
        <v/>
      </c>
      <c r="D95" s="589">
        <f>IF(ISNUMBER(C95),CONCATENATE("±",'Datos de Ensayos'!O246),"")</f>
        <v/>
      </c>
      <c r="E95" s="595">
        <f>IF('Identificación del Instrumento'!$B$17="periódica",'Datos de Ensayos'!F246,'Datos de Ensayos'!I246)</f>
        <v/>
      </c>
      <c r="F95" s="1179" t="n"/>
      <c r="G95" s="1179" t="n"/>
    </row>
    <row r="96" ht="15" customHeight="1">
      <c r="A96" s="1179" t="n"/>
      <c r="B96" s="588">
        <f>B95+1</f>
        <v/>
      </c>
      <c r="C96" s="589">
        <f>IF(AND(ISNUMBER('Datos de Ensayos'!D247),ISNUMBER('Datos de Ensayos'!E247)),'Datos de Ensayos'!D247,"")</f>
        <v/>
      </c>
      <c r="D96" s="589">
        <f>IF(ISNUMBER(C96),CONCATENATE("±",'Datos de Ensayos'!O247),"")</f>
        <v/>
      </c>
      <c r="E96" s="595">
        <f>IF('Identificación del Instrumento'!$B$17="periódica",'Datos de Ensayos'!F247,'Datos de Ensayos'!I247)</f>
        <v/>
      </c>
      <c r="F96" s="1179" t="n"/>
      <c r="G96" s="1179" t="n"/>
    </row>
    <row r="97" ht="15" customHeight="1">
      <c r="A97" s="1179" t="n"/>
      <c r="B97" s="599">
        <f>B96+1</f>
        <v/>
      </c>
      <c r="C97" s="589">
        <f>IF(AND(ISNUMBER('Datos de Ensayos'!D248),ISNUMBER('Datos de Ensayos'!E248)),'Datos de Ensayos'!D248,"")</f>
        <v/>
      </c>
      <c r="D97" s="589">
        <f>IF(ISNUMBER(C97),CONCATENATE("±",'Datos de Ensayos'!O248),"")</f>
        <v/>
      </c>
      <c r="E97" s="595">
        <f>IF('Identificación del Instrumento'!$B$17="periódica",'Datos de Ensayos'!F248,'Datos de Ensayos'!I248)</f>
        <v/>
      </c>
      <c r="F97" s="1179" t="n"/>
      <c r="G97" s="1179" t="n"/>
    </row>
    <row r="98" ht="15" customHeight="1">
      <c r="A98" s="1179" t="n"/>
      <c r="B98" s="588">
        <f>B97+1</f>
        <v/>
      </c>
      <c r="C98" s="589">
        <f>IF(AND(ISNUMBER('Datos de Ensayos'!D249),ISNUMBER('Datos de Ensayos'!E249)),'Datos de Ensayos'!D249,"")</f>
        <v/>
      </c>
      <c r="D98" s="589">
        <f>IF(ISNUMBER(C98),CONCATENATE("±",'Datos de Ensayos'!O249),"")</f>
        <v/>
      </c>
      <c r="E98" s="595">
        <f>IF('Identificación del Instrumento'!$B$17="periódica",'Datos de Ensayos'!F249,'Datos de Ensayos'!I249)</f>
        <v/>
      </c>
      <c r="F98" s="1179" t="n"/>
      <c r="G98" s="1179" t="n"/>
    </row>
    <row r="99" ht="15" customHeight="1" thickBot="1">
      <c r="A99" s="1179" t="n"/>
      <c r="B99" s="600">
        <f>B98+1</f>
        <v/>
      </c>
      <c r="C99" s="597">
        <f>IF(AND(ISNUMBER('Datos de Ensayos'!D250),ISNUMBER('Datos de Ensayos'!E250)),'Datos de Ensayos'!D250,"")</f>
        <v/>
      </c>
      <c r="D99" s="597">
        <f>IF(ISNUMBER(C99),CONCATENATE("±",'Datos de Ensayos'!O250),"")</f>
        <v/>
      </c>
      <c r="E99" s="598">
        <f>IF('Identificación del Instrumento'!$B$17="periódica",'Datos de Ensayos'!F250,'Datos de Ensayos'!I250)</f>
        <v/>
      </c>
      <c r="F99" s="1179" t="n"/>
      <c r="G99" s="1179" t="n"/>
    </row>
    <row r="100" ht="15" customHeight="1">
      <c r="A100" s="1179" t="n"/>
      <c r="B100" s="1152" t="n"/>
      <c r="C100" s="1152" t="n"/>
      <c r="D100" s="558" t="n"/>
      <c r="E100" s="558" t="n"/>
      <c r="F100" s="1179" t="n"/>
      <c r="G100" s="1179" t="n"/>
    </row>
    <row r="101" ht="15" customHeight="1">
      <c r="A101" s="1179" t="n"/>
      <c r="B101" s="1179" t="n"/>
      <c r="C101" s="1179" t="n"/>
      <c r="D101" s="1179" t="n"/>
      <c r="E101" s="1179" t="n"/>
      <c r="F101" s="1179" t="n"/>
      <c r="G101" s="1179" t="n"/>
    </row>
    <row r="102" ht="15" customHeight="1">
      <c r="A102" s="1152" t="inlineStr">
        <is>
          <t>2.3. Ensayo de movilidad (Punto 14.2.2.1.1; 14.2.2.1.2 ó 14.2.1.1 de la Resolución según corresponda).</t>
        </is>
      </c>
    </row>
    <row r="103" ht="15" customHeight="1">
      <c r="A103" s="1152" t="inlineStr">
        <is>
          <t>2.3.1. Instrumentos con equilibrio automático o semiautomático.</t>
        </is>
      </c>
      <c r="K103" s="1180" t="n"/>
    </row>
    <row r="104" ht="20.25" customHeight="1" thickBot="1">
      <c r="A104" s="1179" t="inlineStr">
        <is>
          <t>2.3.1.1.Instrumento de indicación o impresión continua (Punto 14.2.2.1.1)</t>
        </is>
      </c>
    </row>
    <row r="105" ht="47.1" customHeight="1" thickBot="1">
      <c r="A105" s="1179" t="n"/>
      <c r="B105" s="584" t="inlineStr">
        <is>
          <t>Medición 
Nº</t>
        </is>
      </c>
      <c r="C105" s="585" t="inlineStr">
        <is>
          <t>Carga aplicada    (kg)</t>
        </is>
      </c>
      <c r="D105" s="586" t="inlineStr">
        <is>
          <t>Indicación de carga 
(kg)</t>
        </is>
      </c>
      <c r="E105" s="586" t="inlineStr">
        <is>
          <t>Sobrecarga 
[Error Máximo Tolerado]  (kg)</t>
        </is>
      </c>
      <c r="F105" s="586" t="inlineStr">
        <is>
          <t>Desplazamiento observado 
(kg)</t>
        </is>
      </c>
      <c r="G105" s="587" t="inlineStr">
        <is>
          <t>Desplazamiento mínimo 
[0,7 E.M.T.] (kg)</t>
        </is>
      </c>
    </row>
    <row r="106" ht="15" customHeight="1">
      <c r="A106" s="1179" t="n"/>
      <c r="B106" s="588" t="n">
        <v>1</v>
      </c>
      <c r="C106" s="589">
        <f>IF(AND('Datos de Ensayos'!$G$59="CONTINUA",ISNUMBER('Datos de Ensayos'!$E61)),'Datos de Ensayos'!E61,"")</f>
        <v/>
      </c>
      <c r="D106" s="589">
        <f>IF(AND('Datos de Ensayos'!$G$59="CONTINUA",ISNUMBER('Datos de Ensayos'!$E61)),'Datos de Ensayos'!F61,"")</f>
        <v/>
      </c>
      <c r="E106" s="589">
        <f>IF(AND('Datos de Ensayos'!$G$59="CONTINUA",ISNUMBER('Datos de Ensayos'!$E61)),'Datos de Ensayos'!G61,"")</f>
        <v/>
      </c>
      <c r="F106" s="589">
        <f>IF(AND('Datos de Ensayos'!$G$59="CONTINUA",ISNUMBER('Datos de Ensayos'!$E61)),'Datos de Ensayos'!I61,"")</f>
        <v/>
      </c>
      <c r="G106" s="590">
        <f>+IF(ISNUMBER(E106),E106*0.7,"")</f>
        <v/>
      </c>
    </row>
    <row r="107" ht="15" customHeight="1">
      <c r="A107" s="1179" t="n"/>
      <c r="B107" s="588" t="n">
        <v>2</v>
      </c>
      <c r="C107" s="589">
        <f>IF(AND('Datos de Ensayos'!$G$59="CONTINUA",ISNUMBER('Datos de Ensayos'!$E62)),'Datos de Ensayos'!E62,"")</f>
        <v/>
      </c>
      <c r="D107" s="589">
        <f>IF(AND('Datos de Ensayos'!$G$59="CONTINUA",ISNUMBER('Datos de Ensayos'!$E62)),'Datos de Ensayos'!F62,"")</f>
        <v/>
      </c>
      <c r="E107" s="589">
        <f>IF(AND('Datos de Ensayos'!$G$59="CONTINUA",ISNUMBER('Datos de Ensayos'!$E62)),'Datos de Ensayos'!G62,"")</f>
        <v/>
      </c>
      <c r="F107" s="589">
        <f>IF(AND('Datos de Ensayos'!$G$59="CONTINUA",ISNUMBER('Datos de Ensayos'!$E62)),'Datos de Ensayos'!I62,"")</f>
        <v/>
      </c>
      <c r="G107" s="591">
        <f>+IF(ISNUMBER(E107),E107*0.7,"")</f>
        <v/>
      </c>
    </row>
    <row r="108" ht="15" customHeight="1" thickBot="1">
      <c r="A108" s="1179" t="n"/>
      <c r="B108" s="592" t="n">
        <v>3</v>
      </c>
      <c r="C108" s="593">
        <f>IF(AND('Datos de Ensayos'!$G$59="CONTINUA",ISNUMBER('Datos de Ensayos'!$E63)),'Datos de Ensayos'!E63,"")</f>
        <v/>
      </c>
      <c r="D108" s="593">
        <f>IF(AND('Datos de Ensayos'!$G$59="CONTINUA",ISNUMBER('Datos de Ensayos'!$E63)),'Datos de Ensayos'!F63,"")</f>
        <v/>
      </c>
      <c r="E108" s="593">
        <f>IF(AND('Datos de Ensayos'!$G$59="CONTINUA",ISNUMBER('Datos de Ensayos'!$E63)),'Datos de Ensayos'!G63,"")</f>
        <v/>
      </c>
      <c r="F108" s="593">
        <f>IF(AND('Datos de Ensayos'!$G$59="CONTINUA",ISNUMBER('Datos de Ensayos'!$E63)),'Datos de Ensayos'!I63,"")</f>
        <v/>
      </c>
      <c r="G108" s="594">
        <f>+IF(ISNUMBER(E108),E108*0.7,"")</f>
        <v/>
      </c>
    </row>
    <row r="109" ht="15" customHeight="1" thickBot="1">
      <c r="A109" s="1179" t="inlineStr">
        <is>
          <t>2.3.1.2 Instrumento de indicación o impresión discontinua (Punto 14.2.2.1.2).</t>
        </is>
      </c>
    </row>
    <row r="110" ht="47.1" customHeight="1" thickBot="1">
      <c r="A110" s="1179" t="n"/>
      <c r="B110" s="584" t="inlineStr">
        <is>
          <t>Medición
Nº</t>
        </is>
      </c>
      <c r="C110" s="585" t="inlineStr">
        <is>
          <t>Carga aplicada    (kg)</t>
        </is>
      </c>
      <c r="D110" s="586" t="inlineStr">
        <is>
          <t>Indicación 1
(kg)</t>
        </is>
      </c>
      <c r="E110" s="586" t="inlineStr">
        <is>
          <t>Sobrecarga 
1,4 veces dd
(kg)</t>
        </is>
      </c>
      <c r="F110" s="586" t="inlineStr">
        <is>
          <t>Indicación 2
(kg)</t>
        </is>
      </c>
      <c r="G110" s="587" t="inlineStr">
        <is>
          <t>Diferencia 
(kg)</t>
        </is>
      </c>
      <c r="K110" s="1181">
        <f>IF(ISNUMBER('Datos de Ensayos'!K124:O124),'Datos de Ensayos'!K124:O124,"")</f>
        <v/>
      </c>
    </row>
    <row r="111" ht="15" customHeight="1">
      <c r="A111" s="1179" t="n"/>
      <c r="B111" s="588" t="n">
        <v>1</v>
      </c>
      <c r="C111" s="589">
        <f>IF(AND('Datos de Ensayos'!$G$59="DISCONTINUA",ISNUMBER('Datos de Ensayos'!$E61)),'Datos de Ensayos'!E61,"")</f>
        <v/>
      </c>
      <c r="D111" s="607">
        <f>IF(AND('Datos de Ensayos'!$G$59="DISCONTINUA",ISNUMBER('Datos de Ensayos'!$E61)),'Datos de Ensayos'!F61,"")</f>
        <v/>
      </c>
      <c r="E111" s="607">
        <f>IF(AND('Datos de Ensayos'!$G$59="DISCONTINUA",ISNUMBER('Datos de Ensayos'!$E61)),'Datos de Ensayos'!G61,"")</f>
        <v/>
      </c>
      <c r="F111" s="607">
        <f>IF(AND('Datos de Ensayos'!$G$59="DISCONTINUA",ISNUMBER('Datos de Ensayos'!$E61)),'Datos de Ensayos'!H61,"")</f>
        <v/>
      </c>
      <c r="G111" s="595">
        <f>+IF(ISNUMBER(C111),F111-D111,"")</f>
        <v/>
      </c>
      <c r="K111" s="1178" t="n"/>
    </row>
    <row r="112" ht="15" customHeight="1">
      <c r="A112" s="1179" t="n"/>
      <c r="B112" s="599" t="n">
        <v>2</v>
      </c>
      <c r="C112" s="601">
        <f>IF(AND('Datos de Ensayos'!$G$59="DISCONTINUA",ISNUMBER('Datos de Ensayos'!$E62)),'Datos de Ensayos'!E62,"")</f>
        <v/>
      </c>
      <c r="D112" s="608">
        <f>IF(AND('Datos de Ensayos'!$G$59="DISCONTINUA",ISNUMBER('Datos de Ensayos'!$E62)),'Datos de Ensayos'!F62,"")</f>
        <v/>
      </c>
      <c r="E112" s="608">
        <f>IF(AND('Datos de Ensayos'!$G$59="DISCONTINUA",ISNUMBER('Datos de Ensayos'!$E62)),'Datos de Ensayos'!G62,"")</f>
        <v/>
      </c>
      <c r="F112" s="608">
        <f>IF(AND('Datos de Ensayos'!$G$59="DISCONTINUA",ISNUMBER('Datos de Ensayos'!$E62)),'Datos de Ensayos'!H62,"")</f>
        <v/>
      </c>
      <c r="G112" s="595">
        <f>+IF(ISNUMBER(C112),F112-D112,"")</f>
        <v/>
      </c>
    </row>
    <row r="113" ht="15" customHeight="1" thickBot="1">
      <c r="A113" s="1179" t="n"/>
      <c r="B113" s="600" t="n">
        <v>3</v>
      </c>
      <c r="C113" s="597">
        <f>IF(AND('Datos de Ensayos'!$G$59="DISCONTINUA",ISNUMBER('Datos de Ensayos'!$E63)),'Datos de Ensayos'!E63,"")</f>
        <v/>
      </c>
      <c r="D113" s="609">
        <f>IF(AND('Datos de Ensayos'!$G$59="DISCONTINUA",ISNUMBER('Datos de Ensayos'!$E63)),'Datos de Ensayos'!F63,"")</f>
        <v/>
      </c>
      <c r="E113" s="609">
        <f>IF(AND('Datos de Ensayos'!$G$59="DISCONTINUA",ISNUMBER('Datos de Ensayos'!$E63)),'Datos de Ensayos'!G63,"")</f>
        <v/>
      </c>
      <c r="F113" s="609">
        <f>IF(AND('Datos de Ensayos'!$G$59="DISCONTINUA",ISNUMBER('Datos de Ensayos'!$E63)),'Datos de Ensayos'!H63,"")</f>
        <v/>
      </c>
      <c r="G113" s="610">
        <f>+IF(ISNUMBER(C113),F113-D113,"")</f>
        <v/>
      </c>
    </row>
    <row r="114" ht="15" customHeight="1" thickBot="1">
      <c r="A114" s="1179" t="inlineStr">
        <is>
          <t>2.3.2 Instrumento con equilibrio no automático (Punto 14.2.1.1.).</t>
        </is>
      </c>
    </row>
    <row r="115" ht="47.1" customHeight="1" thickBot="1">
      <c r="A115" s="1179" t="n"/>
      <c r="B115" s="584" t="inlineStr">
        <is>
          <t>Medición
N°</t>
        </is>
      </c>
      <c r="C115" s="585" t="inlineStr">
        <is>
          <t>Carga aplicada (kg)</t>
        </is>
      </c>
      <c r="D115" s="586" t="inlineStr">
        <is>
          <t>Indicación
(kg)</t>
        </is>
      </c>
      <c r="E115" s="586" t="inlineStr">
        <is>
          <t>Sobrecarga 
[0,4 E.M.T.]
(kg)</t>
        </is>
      </c>
      <c r="F115" s="1217" t="inlineStr">
        <is>
          <t>¿Movimiento visible?</t>
        </is>
      </c>
      <c r="G115" s="1179" t="n"/>
    </row>
    <row r="116" ht="15" customHeight="1">
      <c r="A116" s="1179" t="n"/>
      <c r="B116" s="588" t="n">
        <v>1</v>
      </c>
      <c r="C116" s="589">
        <f>IF(AND('Datos de Ensayos'!$G$59="ENA",ISNUMBER('Datos de Ensayos'!$E61)),'Datos de Ensayos'!E61,"")</f>
        <v/>
      </c>
      <c r="D116" s="589">
        <f>IF(AND('Datos de Ensayos'!$G$59="ENA",ISNUMBER('Datos de Ensayos'!$E61)),'Datos de Ensayos'!F61,"")</f>
        <v/>
      </c>
      <c r="E116" s="589">
        <f>IF(AND('Datos de Ensayos'!$G$59="ENA",ISNUMBER('Datos de Ensayos'!$E61)),'Datos de Ensayos'!G61,"")</f>
        <v/>
      </c>
      <c r="F116" s="595">
        <f>IF(AND('Datos de Ensayos'!$G$59="ENA",ISNUMBER('Datos de Ensayos'!$E61)),'Datos de Ensayos'!J61,"")</f>
        <v/>
      </c>
      <c r="G116" s="1179" t="n"/>
    </row>
    <row r="117" ht="15" customHeight="1">
      <c r="A117" s="1179" t="n"/>
      <c r="B117" s="588" t="n">
        <v>2</v>
      </c>
      <c r="C117" s="589">
        <f>IF(AND('Datos de Ensayos'!$G$59="ENA",ISNUMBER('Datos de Ensayos'!$E62)),'Datos de Ensayos'!E62,"")</f>
        <v/>
      </c>
      <c r="D117" s="589">
        <f>IF(AND('Datos de Ensayos'!$G$59="ENA",ISNUMBER('Datos de Ensayos'!$E62)),'Datos de Ensayos'!F62,"")</f>
        <v/>
      </c>
      <c r="E117" s="589">
        <f>IF(AND('Datos de Ensayos'!$G$59="ENA",ISNUMBER('Datos de Ensayos'!$E62)),'Datos de Ensayos'!G62,"")</f>
        <v/>
      </c>
      <c r="F117" s="595">
        <f>IF(AND('Datos de Ensayos'!$G$59="ENA",ISNUMBER('Datos de Ensayos'!$E62)),'Datos de Ensayos'!J62,"")</f>
        <v/>
      </c>
      <c r="G117" s="1179" t="n"/>
    </row>
    <row r="118" ht="15" customHeight="1" thickBot="1">
      <c r="A118" s="1179" t="n"/>
      <c r="B118" s="592" t="n">
        <v>3</v>
      </c>
      <c r="C118" s="593">
        <f>IF(AND('Datos de Ensayos'!$G$59="ENA",ISNUMBER('Datos de Ensayos'!$E63)),'Datos de Ensayos'!E63,"")</f>
        <v/>
      </c>
      <c r="D118" s="593">
        <f>IF(AND('Datos de Ensayos'!$G$59="ENA",ISNUMBER('Datos de Ensayos'!$E63)),'Datos de Ensayos'!F63,"")</f>
        <v/>
      </c>
      <c r="E118" s="593">
        <f>IF(AND('Datos de Ensayos'!$G$59="ENA",ISNUMBER('Datos de Ensayos'!$E63)),'Datos de Ensayos'!G63,"")</f>
        <v/>
      </c>
      <c r="F118" s="610">
        <f>IF(AND('Datos de Ensayos'!$G$59="ENA",ISNUMBER('Datos de Ensayos'!$E63)),'Datos de Ensayos'!J63,"")</f>
        <v/>
      </c>
      <c r="G118" s="1179" t="n"/>
    </row>
    <row r="119" ht="15" customHeight="1">
      <c r="A119" s="1179" t="n"/>
      <c r="B119" s="1152" t="n"/>
      <c r="C119" s="1152" t="n"/>
      <c r="D119" s="1152" t="n"/>
      <c r="E119" s="1152" t="n"/>
      <c r="F119" s="1179" t="n"/>
      <c r="G119" s="1179" t="n"/>
    </row>
    <row r="120" ht="15" customFormat="1" customHeight="1" s="1016">
      <c r="A120" s="1152" t="inlineStr">
        <is>
          <t>2.4. Ensayo de excentricidad.</t>
        </is>
      </c>
    </row>
    <row r="121" hidden="1" ht="15" customHeight="1">
      <c r="A121" s="1179" t="n"/>
      <c r="B121" s="1152" t="n"/>
      <c r="C121" s="1152" t="n"/>
      <c r="D121" s="1152" t="n"/>
      <c r="E121" s="1152" t="n"/>
      <c r="F121" s="1179" t="n"/>
      <c r="G121" s="1179" t="n"/>
    </row>
    <row r="122" ht="122.1" customHeight="1" thickBot="1">
      <c r="A122" s="1152">
        <f>IF(COUNTA('Identificación del Instrumento'!B22)=1,CONCATENATE("2.4.1.",VLOOKUP('Identificación del Instrumento'!$B$22,'Ensayos Efectuados'!$N$125:$U$136,8,FALSE)),"")</f>
        <v/>
      </c>
    </row>
    <row r="123" ht="39" customHeight="1" thickBot="1">
      <c r="A123" s="1179" t="n"/>
      <c r="B123" s="584" t="inlineStr">
        <is>
          <t>Medición
N°</t>
        </is>
      </c>
      <c r="C123" s="585" t="inlineStr">
        <is>
          <t>Carga aplicada (kg)</t>
        </is>
      </c>
      <c r="D123" s="586" t="inlineStr">
        <is>
          <t>Indicación 
(kg)</t>
        </is>
      </c>
      <c r="E123" s="586" t="inlineStr">
        <is>
          <t>Error Verificado
(kg)</t>
        </is>
      </c>
      <c r="F123" s="587" t="inlineStr">
        <is>
          <t>Error máximo tolerado  (kg)</t>
        </is>
      </c>
      <c r="G123" s="1179" t="n"/>
    </row>
    <row r="124" ht="15" customHeight="1" thickBot="1">
      <c r="A124" s="1179" t="n"/>
      <c r="B124" s="588" t="n">
        <v>1</v>
      </c>
      <c r="C124" s="589">
        <f>+'Datos de Ensayos'!E70</f>
        <v/>
      </c>
      <c r="D124" s="607">
        <f>IF(ISNUMBER('Datos de Ensayos'!F70),IF('Identificación del Instrumento'!$B$17="PERIÓDICA",'Datos de Ensayos'!F70,'Datos de Ensayos'!H70),"")</f>
        <v/>
      </c>
      <c r="E124" s="589">
        <f>+'Datos de Ensayos'!J70</f>
        <v/>
      </c>
      <c r="F124" s="612">
        <f>IF(ISNUMBER(C124),CONCATENATE($I$124,'Datos de Ensayos'!I70),"")</f>
        <v/>
      </c>
      <c r="G124" s="1179" t="n"/>
      <c r="I124" s="1178" t="inlineStr">
        <is>
          <t>±</t>
        </is>
      </c>
      <c r="N124" s="1176" t="inlineStr">
        <is>
          <t>TIPO DE INSTRUMENTO</t>
        </is>
      </c>
      <c r="O124" s="388" t="n"/>
      <c r="P124" s="561" t="n"/>
      <c r="Q124" s="562" t="n"/>
      <c r="R124" s="563" t="inlineStr">
        <is>
          <t>PUNTO</t>
        </is>
      </c>
      <c r="S124" s="563" t="n"/>
      <c r="T124" s="1180" t="inlineStr">
        <is>
          <t>RESOLUCIÓN</t>
        </is>
      </c>
      <c r="U124" s="563" t="inlineStr">
        <is>
          <t>LEYENDA</t>
        </is>
      </c>
    </row>
    <row r="125" ht="15" customHeight="1">
      <c r="A125" s="1179" t="n"/>
      <c r="B125" s="588" t="n">
        <v>2</v>
      </c>
      <c r="C125" s="589">
        <f>+'Datos de Ensayos'!E71</f>
        <v/>
      </c>
      <c r="D125" s="607">
        <f>IF(ISNUMBER('Datos de Ensayos'!F71),IF('Identificación del Instrumento'!$B$17="PERIÓDICA",'Datos de Ensayos'!F71,'Datos de Ensayos'!H71),"")</f>
        <v/>
      </c>
      <c r="E125" s="589">
        <f>+'Datos de Ensayos'!J71</f>
        <v/>
      </c>
      <c r="F125" s="612">
        <f>IF(ISNUMBER(C125),CONCATENATE($I$124,'Datos de Ensayos'!I71),"")</f>
        <v/>
      </c>
      <c r="G125" s="1179" t="n"/>
      <c r="N125" s="1175">
        <f>'Identificación del Instrumento'!K40</f>
        <v/>
      </c>
      <c r="O125" s="193" t="n"/>
      <c r="P125" s="193" t="n"/>
      <c r="R125" s="1178" t="inlineStr">
        <is>
          <t>13.4.2.1</t>
        </is>
      </c>
      <c r="S125" s="1178" t="n">
        <v>1</v>
      </c>
      <c r="T125" s="1178" t="inlineStr">
        <is>
          <t>ex S.E.C.y N.E.I. N° 2307/1980</t>
        </is>
      </c>
      <c r="U125" s="1178" t="inlineStr">
        <is>
          <t>Instrumentos cuyo dispostivo receptor de carga pueden recibir cargas rodantes (13.4.2.1 de la Resolución ex S.E.C.y N.E.I 2307/80.........sobre cada uno de los ‘n’ puntos de apoyo del dispositivo receptor de carga, se coloca una carga de prueba sucesivamente repartida sobre una superficie del mismo orden que la fracción 1/n de la superficie del receptor de carga. Dicha carga de prueba debe ser igual a la fracción 1/n de la suma de la capacidad máxima y del efecto máximo aditivo de tara. Cuando dos puntos de apoyo están muy próximos y la carga de prueba no puede entonces ser ubicada en las condiciones precedentes, dicha carga se duplica y se reparte sobre una superficie doble, a ambos lados del eje de los puntos de apoyo).</t>
        </is>
      </c>
    </row>
    <row r="126" ht="15" customHeight="1">
      <c r="A126" s="1179" t="n"/>
      <c r="B126" s="588" t="n">
        <v>3</v>
      </c>
      <c r="C126" s="589">
        <f>+'Datos de Ensayos'!E72</f>
        <v/>
      </c>
      <c r="D126" s="607">
        <f>IF(ISNUMBER('Datos de Ensayos'!F72),IF('Identificación del Instrumento'!$B$17="PERIÓDICA",'Datos de Ensayos'!F72,'Datos de Ensayos'!H72),"")</f>
        <v/>
      </c>
      <c r="E126" s="589">
        <f>+'Datos de Ensayos'!J72</f>
        <v/>
      </c>
      <c r="F126" s="612">
        <f>IF(ISNUMBER(C126),CONCATENATE($I$124,'Datos de Ensayos'!I72),"")</f>
        <v/>
      </c>
      <c r="G126" s="1179" t="n"/>
      <c r="N126" s="1174">
        <f>'Identificación del Instrumento'!K41</f>
        <v/>
      </c>
      <c r="R126" s="1178" t="inlineStr">
        <is>
          <t>13.4.2.1</t>
        </is>
      </c>
      <c r="S126" s="1178" t="n">
        <v>1</v>
      </c>
      <c r="T126" s="1178" t="inlineStr">
        <is>
          <t>ex S.E.C.y N.E.I. N° 2307/1980</t>
        </is>
      </c>
      <c r="U126" s="1178" t="inlineStr">
        <is>
          <t>Instrumentos cuyo dispostivo receptor de carga pueden recibir cargas rodantes (13.4.2.1 de la Resolución ex S.E.C.y N.E.I 2307/80.........sobre cada uno de los ‘n’ puntos de apoyo del dispositivo receptor de carga, se coloca una carga de prueba sucesivamente repartida sobre una superficie del mismo orden que la fracción 1/n de la superficie del receptor de carga. Dicha carga de prueba debe ser igual a la fracción 1/n de la suma de la capacidad máxima y del efecto máximo aditivo de tara. Cuando dos puntos de apoyo están muy próximos y la carga de prueba no puede entonces ser ubicada en las condiciones precedentes, dicha carga se duplica y se reparte sobre una superficie doble, a ambos lados del eje de los puntos de apoyo).</t>
        </is>
      </c>
    </row>
    <row r="127" ht="15" customHeight="1">
      <c r="A127" s="1179" t="n"/>
      <c r="B127" s="588" t="n">
        <v>4</v>
      </c>
      <c r="C127" s="589">
        <f>+'Datos de Ensayos'!E73</f>
        <v/>
      </c>
      <c r="D127" s="607">
        <f>IF(ISNUMBER('Datos de Ensayos'!F73),IF('Identificación del Instrumento'!$B$17="PERIÓDICA",'Datos de Ensayos'!F73,'Datos de Ensayos'!H73),"")</f>
        <v/>
      </c>
      <c r="E127" s="589">
        <f>+'Datos de Ensayos'!J73</f>
        <v/>
      </c>
      <c r="F127" s="612">
        <f>IF(ISNUMBER(C127),CONCATENATE($I$124,'Datos de Ensayos'!I73),"")</f>
        <v/>
      </c>
      <c r="G127" s="1179" t="n"/>
      <c r="N127" s="1174">
        <f>'Identificación del Instrumento'!K42</f>
        <v/>
      </c>
      <c r="R127" s="1178" t="inlineStr">
        <is>
          <t>D.2.3.1.1 (*)</t>
        </is>
      </c>
      <c r="S127" s="1178" t="n">
        <v>2</v>
      </c>
      <c r="T127" s="1178" t="inlineStr">
        <is>
          <t>ex S.E.C.y N.E.I. N° 2307/1980 y S.C.D. y D.C. N° 119/2001</t>
        </is>
      </c>
      <c r="U127" s="1178" t="inlineStr">
        <is>
          <t>Instrumentos para el pesaje de vehículos por ejes o tandem de ejes, de instalación fija, con un único dispositivo receptor de carga. Punto D.2.3.1.1 de la Resolución S.C.D. y D.C. N° 119/2001…."El ensayo se realizará colocando sucesivamente en cada cuarto de la superficie del dispositivo receptor de carga, una carga de prueba igual a la cuarta parte de la capacidad máxima (Máx./4). Cuando ello no resulte practicable, se aplicará sucesivamente sobre cada uno de los puntos de apoyo del dispositivo receptor de carga, una carga de prueba igual a la octava parte de la capacidad máxima (Máx./8)."</t>
        </is>
      </c>
    </row>
    <row r="128" ht="15" customHeight="1">
      <c r="A128" s="1179" t="n"/>
      <c r="B128" s="588" t="n">
        <v>5</v>
      </c>
      <c r="C128" s="589">
        <f>+'Datos de Ensayos'!E74</f>
        <v/>
      </c>
      <c r="D128" s="607">
        <f>IF(ISNUMBER('Datos de Ensayos'!F74),IF('Identificación del Instrumento'!$B$17="PERIÓDICA",'Datos de Ensayos'!F74,'Datos de Ensayos'!H74),"")</f>
        <v/>
      </c>
      <c r="E128" s="589">
        <f>+'Datos de Ensayos'!J74</f>
        <v/>
      </c>
      <c r="F128" s="612">
        <f>IF(ISNUMBER(C128),CONCATENATE($I$124,'Datos de Ensayos'!I74),"")</f>
        <v/>
      </c>
      <c r="G128" s="1179" t="n"/>
      <c r="N128" s="1174">
        <f>'Identificación del Instrumento'!K43</f>
        <v/>
      </c>
      <c r="R128" s="1178" t="inlineStr">
        <is>
          <t>D.2.3.1.2 (*)</t>
        </is>
      </c>
      <c r="S128" s="1178" t="n">
        <v>2</v>
      </c>
      <c r="T128" s="1178" t="inlineStr">
        <is>
          <t>ex S.E.C.y N.E.I. N° 2307/1980 y S.C.D. y D.C. N° 119/2001</t>
        </is>
      </c>
      <c r="U128" s="1178" t="inlineStr">
        <is>
          <t>Instrumentos para el pesaje de vehículos por ejes o tandem de ejes, de instalación fija, provistos de dos dispositivos receptores de cargas, vinculados o no estructuralmente entre sí. Punto D.2.3.1.2 de la Resolución S.C.D. y D.C. N° 119/2001…."El ensayo se realizará colocando sucesivamente en cada cuarto de la superficie de cada dispositivo receptor de carga, una carga de prueba igual a la octava parte de la capacidad máxima (Máx./8). Cuando ello no resulte practicable, se aplicará sucesivamente sobre cada uno de los puntos de apoyo de cada dispositivo receptor de carga, una carga de prueba igual a la dieciseisava parte de la capacidad máxima (Máx./16)."</t>
        </is>
      </c>
    </row>
    <row r="129" ht="15" customHeight="1">
      <c r="A129" s="1179" t="n"/>
      <c r="B129" s="599" t="n">
        <v>6</v>
      </c>
      <c r="C129" s="601">
        <f>+'Datos de Ensayos'!E75</f>
        <v/>
      </c>
      <c r="D129" s="608">
        <f>IF(ISNUMBER('Datos de Ensayos'!F75),IF('Identificación del Instrumento'!$B$17="PERIÓDICA",'Datos de Ensayos'!F75,'Datos de Ensayos'!H75),"")</f>
        <v/>
      </c>
      <c r="E129" s="601">
        <f>+'Datos de Ensayos'!J75</f>
        <v/>
      </c>
      <c r="F129" s="606">
        <f>IF(ISNUMBER(C129),CONCATENATE($I$124,'Datos de Ensayos'!I75),"")</f>
        <v/>
      </c>
      <c r="G129" s="1179" t="n"/>
      <c r="N129" s="1174">
        <f>'Identificación del Instrumento'!K44</f>
        <v/>
      </c>
      <c r="Q129" s="1016" t="n"/>
      <c r="R129" s="1016" t="inlineStr">
        <is>
          <t>D.2.3.1.1 (*)</t>
        </is>
      </c>
      <c r="S129" s="1016" t="n">
        <v>2</v>
      </c>
      <c r="T129" s="1178" t="inlineStr">
        <is>
          <t>ex S.E.C.y N.E.I. N° 2307/1980 y S.C.D. y D.C. N° 119/2001</t>
        </is>
      </c>
      <c r="U129" s="1178" t="inlineStr">
        <is>
          <t>Instrumentos para el pesaje de vehículos por ejes o tandem de ejes, de instalación fija, con un único dispositivo receptor de carga. Punto D.2.3.1.1 de la Resolución S.C.D. y D.C. N° 119/2001…."El ensayo se realizará colocando sucesivamente en cada cuarto de la superficie del dispositivo receptor de carga, una carga de prueba igual a la cuarta parte de la capacidad máxima (Máx./4). Cuando ello no resulte practicable, se aplicará sucesivamente sobre cada uno de los puntos de apoyo del dispositivo receptor de carga, una carga de prueba igual a la octava parte de la capacidad máxima (Máx./8)."</t>
        </is>
      </c>
    </row>
    <row r="130" ht="15" customHeight="1">
      <c r="A130" s="1179" t="n"/>
      <c r="B130" s="588" t="n">
        <v>7</v>
      </c>
      <c r="C130" s="589">
        <f>+'Datos de Ensayos'!E76</f>
        <v/>
      </c>
      <c r="D130" s="607">
        <f>IF(ISNUMBER('Datos de Ensayos'!F76),IF('Identificación del Instrumento'!$B$17="PERIÓDICA",'Datos de Ensayos'!F76,'Datos de Ensayos'!H76),"")</f>
        <v/>
      </c>
      <c r="E130" s="589">
        <f>+'Datos de Ensayos'!J76</f>
        <v/>
      </c>
      <c r="F130" s="612">
        <f>IF(ISNUMBER(C130),CONCATENATE($I$124,'Datos de Ensayos'!I76),"")</f>
        <v/>
      </c>
      <c r="G130" s="1179" t="n"/>
      <c r="N130" s="1174">
        <f>'Identificación del Instrumento'!K45</f>
        <v/>
      </c>
      <c r="R130" s="1178" t="inlineStr">
        <is>
          <t>D.2.3.1.2 (*)</t>
        </is>
      </c>
      <c r="S130" s="1178" t="n">
        <v>2</v>
      </c>
      <c r="T130" s="1178" t="inlineStr">
        <is>
          <t>ex S.E.C.y N.E.I. N° 2307/1980 y S.C.D. y D.C. N° 119/2001</t>
        </is>
      </c>
      <c r="U130" s="1178" t="inlineStr">
        <is>
          <t>Instrumentos para el pesaje de vehículos por ejes o tandem de ejes, de instalación fija, provistos de dos dispositivos receptores de cargas, vinculados o no estructuralmente entre sí. Punto D.2.3.1.2 de la Resolución S.C.D. y D.C. N° 119/2001…."El ensayo se realizará colocando sucesivamente en cada cuarto de la superficie de cada dispositivo receptor de carga, una carga de prueba igual a la octava parte de la capacidad máxima (Máx./8). Cuando ello no resulte practicable, se aplicará sucesivamente sobre cada uno de los puntos de apoyo de cada dispositivo receptor de carga, una carga de prueba igual a la dieciseisava parte de la capacidad máxima (Máx./16)."</t>
        </is>
      </c>
    </row>
    <row r="131" ht="15" customHeight="1">
      <c r="A131" s="1179" t="n"/>
      <c r="B131" s="599" t="n">
        <v>8</v>
      </c>
      <c r="C131" s="601">
        <f>+'Datos de Ensayos'!E77</f>
        <v/>
      </c>
      <c r="D131" s="608">
        <f>IF(ISNUMBER('Datos de Ensayos'!F77),IF('Identificación del Instrumento'!$B$17="PERIÓDICA",'Datos de Ensayos'!F77,'Datos de Ensayos'!H77),"")</f>
        <v/>
      </c>
      <c r="E131" s="601">
        <f>+'Datos de Ensayos'!J77</f>
        <v/>
      </c>
      <c r="F131" s="606">
        <f>IF(ISNUMBER(C131),CONCATENATE($I$124,'Datos de Ensayos'!I77),"")</f>
        <v/>
      </c>
      <c r="G131" s="1179" t="n"/>
      <c r="N131" s="1174">
        <f>'Identificación del Instrumento'!K46</f>
        <v/>
      </c>
      <c r="R131" s="1178" t="inlineStr">
        <is>
          <t>D.2.3.2.1 (*)</t>
        </is>
      </c>
      <c r="S131" s="1178" t="n">
        <v>2</v>
      </c>
      <c r="T131" s="1178" t="inlineStr">
        <is>
          <t>ex S.E.C.y N.E.I. N° 2307/1980 y S.C.D. y D.C. N° 119/2001</t>
        </is>
      </c>
      <c r="U131" s="1178" t="inlineStr">
        <is>
          <t>Instrumentos portátiles para el pesaje de vehículos por ejes o tandem de ejes, con un único dispositivo receptor de carga. Punto D.2.3.2.1 de la Resolución S.C.D. y D.C. N° 119/2001…."El ensayo se realizará colocando sucesivamente en cada cuarto de la superficie del dispositivo receptor de carga, una carga de prueba igual a la cuarta parte de la capacidad máxima (Máx./4)."</t>
        </is>
      </c>
    </row>
    <row r="132" ht="15" customHeight="1">
      <c r="A132" s="1179" t="n"/>
      <c r="B132" s="588" t="n">
        <v>9</v>
      </c>
      <c r="C132" s="589">
        <f>+'Datos de Ensayos'!E78</f>
        <v/>
      </c>
      <c r="D132" s="607">
        <f>IF(ISNUMBER('Datos de Ensayos'!F78),IF('Identificación del Instrumento'!$B$17="PERIÓDICA",'Datos de Ensayos'!F78,'Datos de Ensayos'!H78),"")</f>
        <v/>
      </c>
      <c r="E132" s="589">
        <f>+'Datos de Ensayos'!J78</f>
        <v/>
      </c>
      <c r="F132" s="612">
        <f>IF(ISNUMBER(C132),CONCATENATE($I$124,'Datos de Ensayos'!I78),"")</f>
        <v/>
      </c>
      <c r="G132" s="1179" t="n"/>
      <c r="N132" s="1174">
        <f>'Identificación del Instrumento'!K47</f>
        <v/>
      </c>
      <c r="R132" s="1178" t="inlineStr">
        <is>
          <t>D.2.3.2.2 (*)</t>
        </is>
      </c>
      <c r="S132" s="1178" t="n">
        <v>2</v>
      </c>
      <c r="T132" s="1178" t="inlineStr">
        <is>
          <t>ex S.E.C.y N.E.I. N° 2307/1980 y S.C.D. y D.C. N° 119/2001</t>
        </is>
      </c>
      <c r="U132" s="1178" t="inlineStr">
        <is>
          <t>Instrumentos portátiles para el pesaje de vehículos por ejes o tandem de ejes, provistos de dos dispositivos receptores de carga, vinculados o no estructuralmente entre sí, y que están conectados a un único dispositivo indicador de carga. Punto D.2.3.2.2 de la Resolución S.C.D. y D.C. N° 119/2001…."El ensayo se realizará colocando sucesivamente en el centro de cada cuarto de la superficie de cada dispositivo receptor de carga, una carga de prueba igual a la octava parte de la capacidad máxima (Máx./8)."</t>
        </is>
      </c>
    </row>
    <row r="133" ht="15" customHeight="1">
      <c r="A133" s="1179" t="n"/>
      <c r="B133" s="599" t="n">
        <v>10</v>
      </c>
      <c r="C133" s="601">
        <f>+'Datos de Ensayos'!E79</f>
        <v/>
      </c>
      <c r="D133" s="608">
        <f>IF(ISNUMBER('Datos de Ensayos'!F79),IF('Identificación del Instrumento'!$B$17="PERIÓDICA",'Datos de Ensayos'!F79,'Datos de Ensayos'!H79),"")</f>
        <v/>
      </c>
      <c r="E133" s="601">
        <f>+'Datos de Ensayos'!J79</f>
        <v/>
      </c>
      <c r="F133" s="606">
        <f>IF(ISNUMBER(C133),CONCATENATE($I$124,'Datos de Ensayos'!I79),"")</f>
        <v/>
      </c>
      <c r="G133" s="1179" t="n"/>
      <c r="N133" s="1174">
        <f>'Identificación del Instrumento'!K48</f>
        <v/>
      </c>
      <c r="R133" s="1178" t="inlineStr">
        <is>
          <t>13.4.2.1</t>
        </is>
      </c>
      <c r="S133" s="1178" t="n">
        <v>1</v>
      </c>
      <c r="T133" s="1178" t="inlineStr">
        <is>
          <t>ex S.E.C.y N.E.I. N° 2307/1980</t>
        </is>
      </c>
      <c r="U133" s="1178" t="inlineStr">
        <is>
          <t>Instrumentos cuyo dispostivo receptor de carga pueden recibir cargas rodantes (13.4.2.1 de la Resolución ex S.E.C.y N.E.I 2307/80.........sobre cada uno de los ‘n’ puntos de apoyo del dispositivo receptor de carga, se coloca una carga de prueba sucesivamente repartida sobre una superficie del mismo orden que la fracción 1/n de la superficie del receptor de carga. Dicha carga de prueba debe ser igual a la fracción 1/n de la suma de la capacidad máxima y del efecto máximo aditivo de tara. Cuando dos puntos de apoyo están muy próximos y la carga de prueba no puede entonces ser ubicada en las condiciones precedentes, dicha carga se duplica y se reparte sobre una superficie doble, a ambos lados del eje de los puntos de apoyo).</t>
        </is>
      </c>
    </row>
    <row r="134" ht="15" customHeight="1">
      <c r="A134" s="1179" t="n"/>
      <c r="B134" s="599" t="n">
        <v>11</v>
      </c>
      <c r="C134" s="601">
        <f>+'Datos de Ensayos'!E80</f>
        <v/>
      </c>
      <c r="D134" s="608">
        <f>IF(ISNUMBER('Datos de Ensayos'!F80),IF('Identificación del Instrumento'!$B$17="PERIÓDICA",'Datos de Ensayos'!F80,'Datos de Ensayos'!H80),"")</f>
        <v/>
      </c>
      <c r="E134" s="601">
        <f>+'Datos de Ensayos'!J80</f>
        <v/>
      </c>
      <c r="F134" s="606">
        <f>IF(ISNUMBER(C134),CONCATENATE($I$124,'Datos de Ensayos'!I80),"")</f>
        <v/>
      </c>
      <c r="G134" s="1179" t="n"/>
      <c r="N134" s="1174">
        <f>'Identificación del Instrumento'!K49</f>
        <v/>
      </c>
      <c r="R134" s="1178" t="inlineStr">
        <is>
          <t>13.4.3</t>
        </is>
      </c>
      <c r="S134" s="1178" t="n">
        <v>1</v>
      </c>
      <c r="T134" s="1178" t="inlineStr">
        <is>
          <t>ex S.E.C.y N.E.I. N° 2307/1980</t>
        </is>
      </c>
      <c r="U134" s="1178" t="inlineStr">
        <is>
          <t>Instrumentos cuyo dispositivo receptor de carga no puede recibir una carga rodante (13.4.3 de la Resolución ex S.E.C.y N.E.I 2307/80: "Los ensayos de excentricidad de carga se efectuarán mediante una carga de prueba repartida sucesivamente a lo largo de cada uno de los bordes del dispositivo receptor de carga y sobre una superficie que no sobrepase la cuarta parte de la superficie total del receptor. Dicha carga de prueba debe ser igual a un tercio de la suma de la capacidad máxima  y del efecto máximo aditivo de tara.")</t>
        </is>
      </c>
    </row>
    <row r="135" ht="15" customHeight="1" thickBot="1">
      <c r="A135" s="1179" t="n"/>
      <c r="B135" s="592" t="n">
        <v>12</v>
      </c>
      <c r="C135" s="593">
        <f>+'Datos de Ensayos'!E81</f>
        <v/>
      </c>
      <c r="D135" s="607">
        <f>IF(ISNUMBER('Datos de Ensayos'!F81),IF('Identificación del Instrumento'!$B$17="PERIÓDICA",'Datos de Ensayos'!F81,'Datos de Ensayos'!H81),"")</f>
        <v/>
      </c>
      <c r="E135" s="593">
        <f>+'Datos de Ensayos'!J81</f>
        <v/>
      </c>
      <c r="F135" s="612">
        <f>IF(ISNUMBER(C135),CONCATENATE($I$124,'Datos de Ensayos'!I81),"")</f>
        <v/>
      </c>
      <c r="G135" s="1179" t="n"/>
      <c r="N135" s="1174">
        <f>'Identificación del Instrumento'!K50</f>
        <v/>
      </c>
      <c r="R135" s="1178" t="inlineStr">
        <is>
          <t>13.4.1</t>
        </is>
      </c>
      <c r="S135" s="1178" t="n">
        <v>1</v>
      </c>
      <c r="T135" s="1178" t="inlineStr">
        <is>
          <t>ex S.E.C.y N.E.I. N° 2307/1980</t>
        </is>
      </c>
      <c r="U135" s="1178" t="inlineStr">
        <is>
          <t>Instrumentos con dispositivo receptor de carga especial -depósito, tolva, etc.- (13.4.1 de la Resolución ex S.E.C.y N.E.I 2307/80: "Los ensayos de excentricidad de carga se efectuarán mediante una carga de prueba de pesas patrones repartidas sobre el soporte de pesas sobre cada punto de apoyo del dispositivo receptor de cargas. Dicha carga de prueba debe ser igual a un décimo de la suma de la capacidad máxima  y del efecto máximo aditivo de tara.")</t>
        </is>
      </c>
    </row>
    <row r="136" ht="15" customHeight="1" thickBot="1">
      <c r="A136" s="1179" t="n"/>
      <c r="B136" s="584">
        <f>IF(ISBLANK('Identificación del Instrumento'!B17),"",IF('Identificación del Instrumento'!B17="periódica","","Valores corregidos por error de redondeo"))</f>
        <v/>
      </c>
      <c r="C136" s="388" t="n"/>
      <c r="D136" s="388" t="n"/>
      <c r="E136" s="388" t="n"/>
      <c r="F136" s="389" t="n"/>
      <c r="G136" s="1179" t="n"/>
      <c r="N136" s="1174">
        <f>'Identificación del Instrumento'!K51</f>
        <v/>
      </c>
      <c r="R136" s="1180" t="inlineStr">
        <is>
          <t>N/A</t>
        </is>
      </c>
      <c r="S136" s="1178" t="n">
        <v>1</v>
      </c>
      <c r="T136" s="1178" t="inlineStr">
        <is>
          <t>ex S.E.C.y N.E.I. N° 2307/1980</t>
        </is>
      </c>
      <c r="U136" s="1180" t="inlineStr">
        <is>
          <t>NO SE REALIZA EL ENSAYO DE EXCENTRICIDAD EN ESTE TIPO DE BALANZAS</t>
        </is>
      </c>
    </row>
    <row r="137" ht="15" customHeight="1">
      <c r="A137" s="1179">
        <f>IF(ISBLANK('Datos de Ensayos'!D36),"",'Datos de Ensayos'!D36)</f>
        <v/>
      </c>
      <c r="B137" s="1179" t="n"/>
      <c r="C137" s="1179" t="n"/>
      <c r="D137" s="1179" t="n"/>
      <c r="E137" s="1179" t="n"/>
      <c r="F137" s="1179" t="n"/>
      <c r="G137" s="1179">
        <f>IF(ISBLANK('Datos de Ensayos'!J36),"",'Datos de Ensayos'!J36)</f>
        <v/>
      </c>
    </row>
    <row r="138" ht="15" customHeight="1">
      <c r="A138" s="1179" t="n"/>
      <c r="B138" s="1179">
        <f>IF(ISBLANK('Datos de Ensayos'!E36),"",'Datos de Ensayos'!E36)</f>
        <v/>
      </c>
      <c r="C138" s="1179">
        <f>IF(ISBLANK('Datos de Ensayos'!F36),"",'Datos de Ensayos'!F36)</f>
        <v/>
      </c>
      <c r="D138" s="1179">
        <f>IF(ISBLANK('Datos de Ensayos'!G36),"",'Datos de Ensayos'!G36)</f>
        <v/>
      </c>
      <c r="E138" s="1179">
        <f>IF(ISBLANK('Datos de Ensayos'!H36),"",'Datos de Ensayos'!H36)</f>
        <v/>
      </c>
      <c r="F138" s="1179">
        <f>IF(ISBLANK('Datos de Ensayos'!I36),"",'Datos de Ensayos'!I36)</f>
        <v/>
      </c>
      <c r="G138" s="1179" t="n"/>
    </row>
    <row r="139" ht="15" customHeight="1" thickBot="1">
      <c r="A139" s="1179">
        <f>IF(ISBLANK('Datos de Ensayos'!D37),"",'Datos de Ensayos'!D37)</f>
        <v/>
      </c>
      <c r="B139" s="1179">
        <f>IF(ISBLANK('Datos de Ensayos'!E37),"",'Datos de Ensayos'!E37)</f>
        <v/>
      </c>
      <c r="C139" s="1179">
        <f>IF(ISBLANK('Datos de Ensayos'!F37),"",'Datos de Ensayos'!F37)</f>
        <v/>
      </c>
      <c r="D139" s="1179">
        <f>IF(ISBLANK('Datos de Ensayos'!G37),"",'Datos de Ensayos'!G37)</f>
        <v/>
      </c>
      <c r="E139" s="1179">
        <f>IF(ISBLANK('Datos de Ensayos'!H37),"",'Datos de Ensayos'!H37)</f>
        <v/>
      </c>
      <c r="F139" s="1179">
        <f>IF(ISBLANK('Datos de Ensayos'!I37),"",'Datos de Ensayos'!I37)</f>
        <v/>
      </c>
      <c r="G139" s="1179">
        <f>IF(ISBLANK('Datos de Ensayos'!J37),"",'Datos de Ensayos'!J37)</f>
        <v/>
      </c>
    </row>
    <row r="140" ht="15" customHeight="1">
      <c r="A140" s="1179" t="n"/>
      <c r="B140" s="1356">
        <f>'Datos de Ensayos'!E38</f>
        <v/>
      </c>
      <c r="C140" s="193" t="n"/>
      <c r="D140" s="193" t="n"/>
      <c r="E140" s="193" t="n"/>
      <c r="F140" s="1268" t="n"/>
      <c r="G140" s="1179" t="n"/>
    </row>
    <row r="141" ht="15" customHeight="1">
      <c r="A141" s="1179">
        <f>IF(ISBLANK('Datos de Ensayos'!D39),"",'Datos de Ensayos'!D39)</f>
        <v/>
      </c>
      <c r="B141" s="1213" t="n"/>
      <c r="C141" s="1212">
        <f>'Datos de Ensayos'!F39</f>
        <v/>
      </c>
      <c r="F141" s="1214" t="n"/>
      <c r="G141" s="1179">
        <f>IF(ISBLANK('Datos de Ensayos'!J39),"",'Datos de Ensayos'!J39)</f>
        <v/>
      </c>
    </row>
    <row r="142" ht="15" customHeight="1">
      <c r="A142" s="1179" t="n"/>
      <c r="B142" s="206" t="n"/>
      <c r="F142" s="207" t="n"/>
      <c r="G142" s="1179" t="n"/>
    </row>
    <row r="143" ht="15" customHeight="1" thickBot="1">
      <c r="A143" s="1179" t="n"/>
      <c r="B143" s="1357">
        <f>'Datos de Ensayos'!E41</f>
        <v/>
      </c>
      <c r="C143" s="190" t="n"/>
      <c r="D143" s="190" t="n"/>
      <c r="E143" s="190" t="n"/>
      <c r="F143" s="209" t="n"/>
      <c r="G143" s="1179" t="n"/>
    </row>
    <row r="144" ht="15" customHeight="1">
      <c r="A144" s="1179">
        <f>IF(ISBLANK('Datos de Ensayos'!D42),"",'Datos de Ensayos'!D42)</f>
        <v/>
      </c>
      <c r="B144" s="1179">
        <f>IF(ISBLANK('Datos de Ensayos'!E42),"",'Datos de Ensayos'!E42)</f>
        <v/>
      </c>
      <c r="C144" s="1179">
        <f>IF(ISBLANK('Datos de Ensayos'!F42),"",'Datos de Ensayos'!F42)</f>
        <v/>
      </c>
      <c r="D144" s="1179">
        <f>IF(ISBLANK('Datos de Ensayos'!G42),"",'Datos de Ensayos'!G42)</f>
        <v/>
      </c>
      <c r="E144" s="1179">
        <f>IF(ISBLANK('Datos de Ensayos'!H42),"",'Datos de Ensayos'!H42)</f>
        <v/>
      </c>
      <c r="F144" s="1179">
        <f>IF(ISBLANK('Datos de Ensayos'!I42),"",'Datos de Ensayos'!I42)</f>
        <v/>
      </c>
      <c r="G144" s="1179">
        <f>IF(ISBLANK('Datos de Ensayos'!J42),"",'Datos de Ensayos'!J42)</f>
        <v/>
      </c>
    </row>
    <row r="145" ht="15" customHeight="1">
      <c r="A145" s="1179">
        <f>IF(ISBLANK('Datos de Ensayos'!D43),"",'Datos de Ensayos'!D43)</f>
        <v/>
      </c>
      <c r="B145" s="1179">
        <f>IF(ISBLANK('Datos de Ensayos'!E43),"",'Datos de Ensayos'!E43)</f>
        <v/>
      </c>
      <c r="C145" s="1179">
        <f>IF(ISBLANK('Datos de Ensayos'!F43),"",'Datos de Ensayos'!F43)</f>
        <v/>
      </c>
      <c r="D145" s="1179">
        <f>IF(ISBLANK('Datos de Ensayos'!G43),"",'Datos de Ensayos'!G43)</f>
        <v/>
      </c>
      <c r="E145" s="1179">
        <f>IF(ISBLANK('Datos de Ensayos'!H43),"",'Datos de Ensayos'!H43)</f>
        <v/>
      </c>
      <c r="F145" s="1179">
        <f>IF(ISBLANK('Datos de Ensayos'!I43),"",'Datos de Ensayos'!I43)</f>
        <v/>
      </c>
      <c r="G145" s="1179">
        <f>IF(ISBLANK('Datos de Ensayos'!J43),"",'Datos de Ensayos'!J43)</f>
        <v/>
      </c>
    </row>
    <row r="146" ht="15" customHeight="1">
      <c r="A146" s="1179" t="n"/>
      <c r="B146" s="1179" t="n"/>
      <c r="C146" s="1179" t="n"/>
      <c r="D146" s="1179" t="n"/>
      <c r="E146" s="1179" t="n"/>
      <c r="F146" s="1179" t="n"/>
      <c r="G146" s="1179" t="n"/>
    </row>
    <row r="147" ht="15" customHeight="1">
      <c r="A147" s="1179" t="inlineStr">
        <is>
          <t>2.5.FIDELIDAD (Punto 14.1.2. Precisión media y ordinaria de la Resolución).</t>
        </is>
      </c>
    </row>
    <row r="148" ht="15" customHeight="1" thickBot="1">
      <c r="A148" s="1187">
        <f>"CAMIONES (sentido de "&amp;'Datos de Ensayos'!I87&amp;" con camión "&amp;'Datos de Ensayos'!G87&amp;"):"</f>
        <v/>
      </c>
    </row>
    <row r="149" ht="15" customHeight="1">
      <c r="A149" s="1179" t="n"/>
      <c r="B149" s="1358" t="inlineStr">
        <is>
          <t>Medición                                                   Nº</t>
        </is>
      </c>
      <c r="C149" s="1359" t="inlineStr">
        <is>
          <t xml:space="preserve">INDICACION (kg)    </t>
        </is>
      </c>
      <c r="D149" s="193" t="n"/>
      <c r="E149" s="1268" t="n"/>
      <c r="F149" s="1360" t="inlineStr">
        <is>
          <t>Diferencia entre carga aplicada y cero (kg)</t>
        </is>
      </c>
      <c r="G149" s="1179" t="n"/>
    </row>
    <row r="150" ht="15" customHeight="1" thickBot="1">
      <c r="A150" s="1179" t="n"/>
      <c r="B150" s="206" t="n"/>
      <c r="C150" s="1361">
        <f>IF(COUNT('Identificación del Instrumento'!B17=1),IF('Identificación del Instrumento'!$B$17="periódica","", "Valores corregidos por error de redondeo"),"")</f>
        <v/>
      </c>
      <c r="D150" s="190" t="n"/>
      <c r="E150" s="209" t="n"/>
      <c r="F150" s="207" t="n"/>
      <c r="G150" s="1179" t="n"/>
    </row>
    <row r="151" ht="15" customHeight="1" thickBot="1">
      <c r="A151" s="1179" t="n"/>
      <c r="B151" s="208" t="n"/>
      <c r="C151" s="564" t="inlineStr">
        <is>
          <t>Cero</t>
        </is>
      </c>
      <c r="D151" s="565" t="inlineStr">
        <is>
          <t>Carga aplicada</t>
        </is>
      </c>
      <c r="E151" s="1205" t="inlineStr">
        <is>
          <t>Cero</t>
        </is>
      </c>
      <c r="F151" s="209" t="n"/>
      <c r="G151" s="1179" t="n"/>
    </row>
    <row r="152" ht="15" customHeight="1">
      <c r="A152" s="1179" t="n"/>
      <c r="B152" s="566" t="n">
        <v>1</v>
      </c>
      <c r="C152" s="567">
        <f>IF(ISNUMBER('Datos de Ensayos'!$G$88),'Datos de Ensayos'!G91,"")</f>
        <v/>
      </c>
      <c r="D152" s="548">
        <f>IF(ISNUMBER('Datos de Ensayos'!$G$88),'Datos de Ensayos'!J91,"")</f>
        <v/>
      </c>
      <c r="E152" s="549">
        <f>IF(ISNUMBER('Datos de Ensayos'!$G$88),'Datos de Ensayos'!M91,"")</f>
        <v/>
      </c>
      <c r="F152" s="549">
        <f>IF(ISNUMBER('Datos de Ensayos'!$G$88),'Datos de Ensayos'!N91,"")</f>
        <v/>
      </c>
      <c r="G152" s="1179" t="n"/>
    </row>
    <row r="153" ht="15" customHeight="1">
      <c r="A153" s="1179" t="n"/>
      <c r="B153" s="566" t="n">
        <v>2</v>
      </c>
      <c r="C153" s="567">
        <f>IF(ISNUMBER('Datos de Ensayos'!$G$88),'Datos de Ensayos'!G92,"")</f>
        <v/>
      </c>
      <c r="D153" s="548">
        <f>IF(ISNUMBER('Datos de Ensayos'!$G$88),'Datos de Ensayos'!J92,"")</f>
        <v/>
      </c>
      <c r="E153" s="549">
        <f>IF(ISNUMBER('Datos de Ensayos'!$G$88),'Datos de Ensayos'!M92,"")</f>
        <v/>
      </c>
      <c r="F153" s="549">
        <f>IF(ISNUMBER('Datos de Ensayos'!$G$88),'Datos de Ensayos'!N92,"")</f>
        <v/>
      </c>
      <c r="G153" s="1179" t="n"/>
    </row>
    <row r="154" ht="15" customHeight="1">
      <c r="A154" s="1179" t="n"/>
      <c r="B154" s="568" t="n">
        <v>3</v>
      </c>
      <c r="C154" s="569">
        <f>IF(ISNUMBER('Datos de Ensayos'!$G$88),'Datos de Ensayos'!G93,"")</f>
        <v/>
      </c>
      <c r="D154" s="554">
        <f>IF(ISNUMBER('Datos de Ensayos'!$G$88),'Datos de Ensayos'!J93,"")</f>
        <v/>
      </c>
      <c r="E154" s="555">
        <f>IF(ISNUMBER('Datos de Ensayos'!$G$88),'Datos de Ensayos'!M93,"")</f>
        <v/>
      </c>
      <c r="F154" s="555">
        <f>IF(ISNUMBER('Datos de Ensayos'!$G$88),'Datos de Ensayos'!N93,"")</f>
        <v/>
      </c>
      <c r="G154" s="1179" t="n"/>
    </row>
    <row r="155" ht="15" customHeight="1">
      <c r="A155" s="1179" t="n"/>
      <c r="B155" s="566" t="n">
        <v>4</v>
      </c>
      <c r="C155" s="567">
        <f>IF(ISNUMBER('Datos de Ensayos'!$G$88),'Datos de Ensayos'!G94,"")</f>
        <v/>
      </c>
      <c r="D155" s="548">
        <f>IF(ISNUMBER('Datos de Ensayos'!$G$88),'Datos de Ensayos'!J94,"")</f>
        <v/>
      </c>
      <c r="E155" s="549">
        <f>IF(ISNUMBER('Datos de Ensayos'!$G$88),'Datos de Ensayos'!M94,"")</f>
        <v/>
      </c>
      <c r="F155" s="549">
        <f>IF(ISNUMBER('Datos de Ensayos'!$G$88),'Datos de Ensayos'!N94,"")</f>
        <v/>
      </c>
      <c r="G155" s="1179" t="n"/>
    </row>
    <row r="156" ht="15" customHeight="1" thickBot="1">
      <c r="A156" s="1179" t="n"/>
      <c r="B156" s="1194" t="n">
        <v>5</v>
      </c>
      <c r="C156" s="550">
        <f>IF(ISNUMBER('Datos de Ensayos'!$G$88),'Datos de Ensayos'!G95,"")</f>
        <v/>
      </c>
      <c r="D156" s="551">
        <f>IF(ISNUMBER('Datos de Ensayos'!$G$88),'Datos de Ensayos'!J95,"")</f>
        <v/>
      </c>
      <c r="E156" s="571">
        <f>IF(ISNUMBER('Datos de Ensayos'!$G$88),'Datos de Ensayos'!M95,"")</f>
        <v/>
      </c>
      <c r="F156" s="560">
        <f>IF(ISNUMBER('Datos de Ensayos'!$G$88),'Datos de Ensayos'!N95,"")</f>
        <v/>
      </c>
      <c r="G156" s="1179" t="n"/>
    </row>
    <row r="157" ht="15" customHeight="1">
      <c r="A157" s="1179" t="n"/>
      <c r="B157" s="1196" t="inlineStr">
        <is>
          <t>Diferencia tolerada (kg):</t>
        </is>
      </c>
      <c r="C157" s="193" t="n"/>
      <c r="D157" s="1268" t="n"/>
      <c r="E157" s="573">
        <f>IF(COUNT(F152:F156)=0,"",'Datos de Ensayos'!G89)</f>
        <v/>
      </c>
      <c r="F157" s="1179" t="n"/>
      <c r="G157" s="1179" t="n"/>
    </row>
    <row r="158" ht="15" customHeight="1" thickBot="1">
      <c r="A158" s="1179" t="n"/>
      <c r="B158" s="1197" t="inlineStr">
        <is>
          <t xml:space="preserve">Diferencia máx. encontrada (kg): </t>
        </is>
      </c>
      <c r="D158" s="207" t="n"/>
      <c r="E158" s="574">
        <f>IF(COUNT(F152:F156)=0,"",MAX(F152:F156)-MIN(F152:F156))</f>
        <v/>
      </c>
      <c r="F158" s="1179" t="n"/>
      <c r="G158" s="1179" t="n"/>
    </row>
    <row r="159" ht="15" customHeight="1">
      <c r="A159" s="1179" t="n"/>
      <c r="B159" s="1187" t="n"/>
      <c r="C159" s="1187" t="n"/>
      <c r="D159" s="1187" t="n"/>
      <c r="E159" s="572" t="n"/>
      <c r="F159" s="1179" t="n"/>
      <c r="G159" s="1179" t="n"/>
    </row>
    <row r="160" ht="15" customHeight="1" thickBot="1">
      <c r="A160" s="1187">
        <f>"CAMIONES (sentido de "&amp;'Datos de Ensayos'!I99&amp;" con camión "&amp;'Datos de Ensayos'!G99&amp;"):"</f>
        <v/>
      </c>
    </row>
    <row r="161" ht="15" customHeight="1">
      <c r="A161" s="1179" t="n"/>
      <c r="B161" s="1358" t="inlineStr">
        <is>
          <t>Medición                                                      Nº</t>
        </is>
      </c>
      <c r="C161" s="1359" t="inlineStr">
        <is>
          <t xml:space="preserve">INDICACION (kg)    </t>
        </is>
      </c>
      <c r="D161" s="193" t="n"/>
      <c r="E161" s="1268" t="n"/>
      <c r="F161" s="1360" t="inlineStr">
        <is>
          <t>Diferencia entre carga aplicada y cero (kg)</t>
        </is>
      </c>
      <c r="G161" s="1179" t="n"/>
    </row>
    <row r="162" ht="15" customHeight="1" thickBot="1">
      <c r="A162" s="1179" t="n"/>
      <c r="B162" s="206" t="n"/>
      <c r="C162" s="1361">
        <f>IF('Identificación del Instrumento'!$B$17="periódica","", "Valores corregidos por error de redondeo")</f>
        <v/>
      </c>
      <c r="D162" s="190" t="n"/>
      <c r="E162" s="209" t="n"/>
      <c r="F162" s="207" t="n"/>
      <c r="G162" s="1179" t="n"/>
    </row>
    <row r="163" ht="15" customHeight="1" thickBot="1">
      <c r="A163" s="1179" t="n"/>
      <c r="B163" s="208" t="n"/>
      <c r="C163" s="564" t="inlineStr">
        <is>
          <t>Cero</t>
        </is>
      </c>
      <c r="D163" s="565" t="inlineStr">
        <is>
          <t>Carga aplicada</t>
        </is>
      </c>
      <c r="E163" s="1205" t="inlineStr">
        <is>
          <t>Cero</t>
        </is>
      </c>
      <c r="F163" s="209" t="n"/>
      <c r="G163" s="1179" t="n"/>
    </row>
    <row r="164" ht="15" customHeight="1">
      <c r="A164" s="1179" t="n"/>
      <c r="B164" s="566" t="n">
        <v>1</v>
      </c>
      <c r="C164" s="567">
        <f>IF(ISNUMBER('Datos de Ensayos'!$G$100),'Datos de Ensayos'!G103,"")</f>
        <v/>
      </c>
      <c r="D164" s="548">
        <f>IF(ISNUMBER('Datos de Ensayos'!$G$100),'Datos de Ensayos'!J103,"")</f>
        <v/>
      </c>
      <c r="E164" s="549">
        <f>IF(ISNUMBER('Datos de Ensayos'!$G$100),'Datos de Ensayos'!M103,"")</f>
        <v/>
      </c>
      <c r="F164" s="549">
        <f>IF(ISNUMBER('Datos de Ensayos'!$G$100),'Datos de Ensayos'!N103,"")</f>
        <v/>
      </c>
      <c r="G164" s="1179" t="n"/>
    </row>
    <row r="165" ht="15" customHeight="1">
      <c r="A165" s="1179" t="n"/>
      <c r="B165" s="568" t="n">
        <v>2</v>
      </c>
      <c r="C165" s="569">
        <f>IF(ISNUMBER('Datos de Ensayos'!$G$100),'Datos de Ensayos'!G104,"")</f>
        <v/>
      </c>
      <c r="D165" s="554">
        <f>IF(ISNUMBER('Datos de Ensayos'!$G$100),'Datos de Ensayos'!J104,"")</f>
        <v/>
      </c>
      <c r="E165" s="555">
        <f>IF(ISNUMBER('Datos de Ensayos'!$G$100),'Datos de Ensayos'!M104,"")</f>
        <v/>
      </c>
      <c r="F165" s="555">
        <f>IF(ISNUMBER('Datos de Ensayos'!$G$100),'Datos de Ensayos'!N104,"")</f>
        <v/>
      </c>
      <c r="G165" s="1179" t="n"/>
    </row>
    <row r="166" ht="15" customHeight="1">
      <c r="A166" s="1179" t="n"/>
      <c r="B166" s="568" t="n">
        <v>3</v>
      </c>
      <c r="C166" s="569">
        <f>IF(ISNUMBER('Datos de Ensayos'!$G$100),'Datos de Ensayos'!G105,"")</f>
        <v/>
      </c>
      <c r="D166" s="554">
        <f>IF(ISNUMBER('Datos de Ensayos'!$G$100),'Datos de Ensayos'!J105,"")</f>
        <v/>
      </c>
      <c r="E166" s="555">
        <f>IF(ISNUMBER('Datos de Ensayos'!$G$100),'Datos de Ensayos'!M105,"")</f>
        <v/>
      </c>
      <c r="F166" s="555">
        <f>IF(ISNUMBER('Datos de Ensayos'!$G$100),'Datos de Ensayos'!N105,"")</f>
        <v/>
      </c>
      <c r="G166" s="1179" t="n"/>
    </row>
    <row r="167" ht="15" customHeight="1">
      <c r="A167" s="1179" t="n"/>
      <c r="B167" s="566" t="n">
        <v>4</v>
      </c>
      <c r="C167" s="567">
        <f>IF(ISNUMBER('Datos de Ensayos'!$G$100),'Datos de Ensayos'!G106,"")</f>
        <v/>
      </c>
      <c r="D167" s="548">
        <f>IF(ISNUMBER('Datos de Ensayos'!$G$100),'Datos de Ensayos'!J106,"")</f>
        <v/>
      </c>
      <c r="E167" s="549">
        <f>IF(ISNUMBER('Datos de Ensayos'!$G$100),'Datos de Ensayos'!M106,"")</f>
        <v/>
      </c>
      <c r="F167" s="549">
        <f>IF(ISNUMBER('Datos de Ensayos'!$G$100),'Datos de Ensayos'!N106,"")</f>
        <v/>
      </c>
      <c r="G167" s="1179" t="n"/>
    </row>
    <row r="168" ht="15" customHeight="1" thickBot="1">
      <c r="A168" s="1179" t="n"/>
      <c r="B168" s="1194" t="n">
        <v>5</v>
      </c>
      <c r="C168" s="550">
        <f>IF(ISNUMBER('Datos de Ensayos'!$G$100),'Datos de Ensayos'!G107,"")</f>
        <v/>
      </c>
      <c r="D168" s="559">
        <f>IF(ISNUMBER('Datos de Ensayos'!$G$100),'Datos de Ensayos'!J107,"")</f>
        <v/>
      </c>
      <c r="E168" s="552">
        <f>IF(ISNUMBER('Datos de Ensayos'!$G$100),'Datos de Ensayos'!M107,"")</f>
        <v/>
      </c>
      <c r="F168" s="560">
        <f>IF(ISNUMBER('Datos de Ensayos'!$G$100),'Datos de Ensayos'!N107,"")</f>
        <v/>
      </c>
      <c r="G168" s="1179" t="n"/>
    </row>
    <row r="169" ht="15" customHeight="1">
      <c r="A169" s="1179" t="n"/>
      <c r="B169" s="1179" t="inlineStr">
        <is>
          <t>Diferencia tolerada (kg):</t>
        </is>
      </c>
      <c r="C169" s="1179" t="n"/>
      <c r="D169" s="572" t="n"/>
      <c r="E169" s="573">
        <f>IF(COUNT(F164:F168)=0,"",'Datos de Ensayos'!G101)</f>
        <v/>
      </c>
      <c r="F169" s="1179" t="n"/>
      <c r="G169" s="1179" t="n"/>
    </row>
    <row r="170" ht="15" customHeight="1" thickBot="1">
      <c r="A170" s="1179" t="n"/>
      <c r="B170" s="1179" t="inlineStr">
        <is>
          <t xml:space="preserve">Diferencia máx. encontrada (kg): </t>
        </is>
      </c>
      <c r="C170" s="1179" t="n"/>
      <c r="D170" s="1179" t="n"/>
      <c r="E170" s="574">
        <f>IF(COUNT(F164:F168)=0,"",MAX(F164:F168)-MIN(F164:F168))</f>
        <v/>
      </c>
      <c r="F170" s="1179" t="n"/>
      <c r="G170" s="1179" t="n"/>
    </row>
    <row r="171" ht="15" customHeight="1">
      <c r="A171" s="1179" t="n"/>
      <c r="B171" s="1179" t="n"/>
      <c r="C171" s="1179" t="n"/>
      <c r="D171" s="1179" t="n"/>
      <c r="E171" s="1179" t="n"/>
      <c r="F171" s="1179" t="n"/>
      <c r="G171" s="1179" t="n"/>
    </row>
    <row r="172" ht="15" customHeight="1" thickBot="1">
      <c r="A172" s="1179">
        <f>"CAMIONES (sentido de "&amp;'Datos de Ensayos'!I111&amp;" con camión "&amp;'Datos de Ensayos'!G111&amp;"):"</f>
        <v/>
      </c>
    </row>
    <row r="173" ht="15" customHeight="1">
      <c r="A173" s="1179" t="n"/>
      <c r="B173" s="1358" t="inlineStr">
        <is>
          <t>Medición                                                         Nº</t>
        </is>
      </c>
      <c r="C173" s="1359" t="inlineStr">
        <is>
          <t xml:space="preserve">INDICACION (kg)    </t>
        </is>
      </c>
      <c r="D173" s="193" t="n"/>
      <c r="E173" s="1268" t="n"/>
      <c r="F173" s="1360" t="inlineStr">
        <is>
          <t>Diferencia entre carga aplicada y cero (kg)</t>
        </is>
      </c>
      <c r="G173" s="1179" t="n"/>
    </row>
    <row r="174" ht="15" customHeight="1" thickBot="1">
      <c r="A174" s="1179" t="n"/>
      <c r="B174" s="206" t="n"/>
      <c r="C174" s="1361">
        <f>IF('Identificación del Instrumento'!$B$17="periódica","", "Valores corregidos por error de redondeo")</f>
        <v/>
      </c>
      <c r="D174" s="190" t="n"/>
      <c r="E174" s="209" t="n"/>
      <c r="F174" s="207" t="n"/>
      <c r="G174" s="1179" t="n"/>
    </row>
    <row r="175" ht="15" customHeight="1" thickBot="1">
      <c r="A175" s="1179" t="n"/>
      <c r="B175" s="208" t="n"/>
      <c r="C175" s="564" t="inlineStr">
        <is>
          <t>Cero</t>
        </is>
      </c>
      <c r="D175" s="565" t="inlineStr">
        <is>
          <t>Carga aplicada</t>
        </is>
      </c>
      <c r="E175" s="1205" t="inlineStr">
        <is>
          <t>Cero</t>
        </is>
      </c>
      <c r="F175" s="209" t="n"/>
      <c r="G175" s="1179" t="n"/>
    </row>
    <row r="176" ht="15" customHeight="1">
      <c r="A176" s="1179" t="n"/>
      <c r="B176" s="566" t="n">
        <v>1</v>
      </c>
      <c r="C176" s="567">
        <f>IF(ISNUMBER('Datos de Ensayos'!$G$112),'Datos de Ensayos'!G115,"")</f>
        <v/>
      </c>
      <c r="D176" s="548">
        <f>IF(ISNUMBER('Datos de Ensayos'!$G$112),'Datos de Ensayos'!J115,"")</f>
        <v/>
      </c>
      <c r="E176" s="549">
        <f>IF(ISNUMBER('Datos de Ensayos'!$G$112),'Datos de Ensayos'!M115,"")</f>
        <v/>
      </c>
      <c r="F176" s="549">
        <f>IF(ISNUMBER('Datos de Ensayos'!$G$112),'Datos de Ensayos'!N115,"")</f>
        <v/>
      </c>
      <c r="G176" s="1179" t="n"/>
    </row>
    <row r="177" ht="15" customHeight="1">
      <c r="A177" s="1179" t="n"/>
      <c r="B177" s="568" t="n">
        <v>2</v>
      </c>
      <c r="C177" s="569">
        <f>IF(ISNUMBER('Datos de Ensayos'!$G$112),'Datos de Ensayos'!G116,"")</f>
        <v/>
      </c>
      <c r="D177" s="554">
        <f>IF(ISNUMBER('Datos de Ensayos'!$G$112),'Datos de Ensayos'!J116,"")</f>
        <v/>
      </c>
      <c r="E177" s="555">
        <f>IF(ISNUMBER('Datos de Ensayos'!$G$112),'Datos de Ensayos'!M116,"")</f>
        <v/>
      </c>
      <c r="F177" s="555">
        <f>IF(ISNUMBER('Datos de Ensayos'!$G$112),'Datos de Ensayos'!N116,"")</f>
        <v/>
      </c>
      <c r="G177" s="1179" t="n"/>
    </row>
    <row r="178" ht="15" customHeight="1">
      <c r="A178" s="1179" t="n"/>
      <c r="B178" s="568" t="n">
        <v>3</v>
      </c>
      <c r="C178" s="569">
        <f>IF(ISNUMBER('Datos de Ensayos'!$G$112),'Datos de Ensayos'!G117,"")</f>
        <v/>
      </c>
      <c r="D178" s="554">
        <f>IF(ISNUMBER('Datos de Ensayos'!$G$112),'Datos de Ensayos'!J117,"")</f>
        <v/>
      </c>
      <c r="E178" s="555">
        <f>IF(ISNUMBER('Datos de Ensayos'!$G$112),'Datos de Ensayos'!M117,"")</f>
        <v/>
      </c>
      <c r="F178" s="555">
        <f>IF(ISNUMBER('Datos de Ensayos'!$G$112),'Datos de Ensayos'!N117,"")</f>
        <v/>
      </c>
      <c r="G178" s="1179" t="n"/>
    </row>
    <row r="179" ht="15" customHeight="1">
      <c r="A179" s="1179" t="n"/>
      <c r="B179" s="566" t="n">
        <v>4</v>
      </c>
      <c r="C179" s="567">
        <f>IF(ISNUMBER('Datos de Ensayos'!$G$112),'Datos de Ensayos'!G118,"")</f>
        <v/>
      </c>
      <c r="D179" s="548">
        <f>IF(ISNUMBER('Datos de Ensayos'!$G$112),'Datos de Ensayos'!J118,"")</f>
        <v/>
      </c>
      <c r="E179" s="549">
        <f>IF(ISNUMBER('Datos de Ensayos'!$G$112),'Datos de Ensayos'!M118,"")</f>
        <v/>
      </c>
      <c r="F179" s="549">
        <f>IF(ISNUMBER('Datos de Ensayos'!$G$112),'Datos de Ensayos'!N118,"")</f>
        <v/>
      </c>
      <c r="G179" s="1179" t="n"/>
    </row>
    <row r="180" ht="15" customHeight="1" thickBot="1">
      <c r="A180" s="1179" t="n"/>
      <c r="B180" s="1194" t="n">
        <v>5</v>
      </c>
      <c r="C180" s="550">
        <f>IF(ISNUMBER('Datos de Ensayos'!$G$112),'Datos de Ensayos'!G119,"")</f>
        <v/>
      </c>
      <c r="D180" s="559">
        <f>IF(ISNUMBER('Datos de Ensayos'!$G$112),'Datos de Ensayos'!J119,"")</f>
        <v/>
      </c>
      <c r="E180" s="552">
        <f>IF(ISNUMBER('Datos de Ensayos'!$G$112),'Datos de Ensayos'!M119,"")</f>
        <v/>
      </c>
      <c r="F180" s="560">
        <f>IF(ISNUMBER('Datos de Ensayos'!$G$112),'Datos de Ensayos'!N119,"")</f>
        <v/>
      </c>
      <c r="G180" s="1179" t="n"/>
    </row>
    <row r="181" ht="15" customHeight="1">
      <c r="A181" s="1179" t="n"/>
      <c r="B181" s="1179" t="inlineStr">
        <is>
          <t>Diferencia tolerada (kg):</t>
        </is>
      </c>
      <c r="C181" s="1179" t="n"/>
      <c r="D181" s="572" t="n"/>
      <c r="E181" s="573">
        <f>IF(COUNT(F176:F180)=0,"",'Datos de Ensayos'!G113)</f>
        <v/>
      </c>
      <c r="F181" s="1179" t="n"/>
      <c r="G181" s="1179" t="n"/>
    </row>
    <row r="182" ht="15" customHeight="1" thickBot="1">
      <c r="A182" s="1179" t="n"/>
      <c r="B182" s="1179" t="inlineStr">
        <is>
          <t xml:space="preserve">Diferencia máx. encontrada (kg): </t>
        </is>
      </c>
      <c r="C182" s="1179" t="n"/>
      <c r="D182" s="1179" t="n"/>
      <c r="E182" s="574">
        <f>IF(COUNT(F176:F180)=0,"",MAX(F176:F180)-MIN(F176:F180))</f>
        <v/>
      </c>
      <c r="F182" s="1179" t="n"/>
      <c r="G182" s="1179" t="n"/>
    </row>
    <row r="183" ht="15" customHeight="1">
      <c r="A183" s="1179" t="n"/>
      <c r="B183" s="1179" t="n"/>
      <c r="C183" s="1179" t="n"/>
      <c r="D183" s="1179" t="n"/>
      <c r="E183" s="1179" t="n"/>
      <c r="F183" s="1179" t="n"/>
      <c r="G183" s="1179" t="n"/>
    </row>
    <row r="184" ht="15" customHeight="1" thickBot="1">
      <c r="A184" s="1179">
        <f>"CAMIONES (sentido de "&amp;'Datos de Ensayos'!I123&amp;" con camión "&amp;'Datos de Ensayos'!G123&amp;"):"</f>
        <v/>
      </c>
    </row>
    <row r="185" ht="15" customHeight="1">
      <c r="A185" s="1179" t="n"/>
      <c r="B185" s="1358" t="inlineStr">
        <is>
          <t>Medición                                                            Nº</t>
        </is>
      </c>
      <c r="C185" s="1359" t="inlineStr">
        <is>
          <t xml:space="preserve">INDICACION (kg)    </t>
        </is>
      </c>
      <c r="D185" s="193" t="n"/>
      <c r="E185" s="1268" t="n"/>
      <c r="F185" s="1360" t="inlineStr">
        <is>
          <t>Diferencia entre carga aplicada y cero (kg)</t>
        </is>
      </c>
      <c r="G185" s="1179" t="n"/>
    </row>
    <row r="186" ht="15" customHeight="1" thickBot="1">
      <c r="A186" s="1179" t="n"/>
      <c r="B186" s="206" t="n"/>
      <c r="C186" s="1361">
        <f>IF('Identificación del Instrumento'!$B$17="periódica","", "Valores corregidos por error de redondeo")</f>
        <v/>
      </c>
      <c r="D186" s="190" t="n"/>
      <c r="E186" s="209" t="n"/>
      <c r="F186" s="207" t="n"/>
      <c r="G186" s="1179" t="n"/>
    </row>
    <row r="187" ht="15" customHeight="1" thickBot="1">
      <c r="A187" s="1179" t="n"/>
      <c r="B187" s="208" t="n"/>
      <c r="C187" s="564" t="inlineStr">
        <is>
          <t>Cero</t>
        </is>
      </c>
      <c r="D187" s="565" t="inlineStr">
        <is>
          <t>Carga aplicada</t>
        </is>
      </c>
      <c r="E187" s="1205" t="inlineStr">
        <is>
          <t>Cero</t>
        </is>
      </c>
      <c r="F187" s="209" t="n"/>
      <c r="G187" s="1179" t="n"/>
    </row>
    <row r="188" ht="15" customHeight="1">
      <c r="A188" s="1179" t="n"/>
      <c r="B188" s="566" t="n">
        <v>1</v>
      </c>
      <c r="C188" s="567">
        <f>IF(ISNUMBER('Datos de Ensayos'!$G$124),'Datos de Ensayos'!G127,"")</f>
        <v/>
      </c>
      <c r="D188" s="548">
        <f>IF(ISNUMBER('Datos de Ensayos'!$G$124),'Datos de Ensayos'!J127,"")</f>
        <v/>
      </c>
      <c r="E188" s="549">
        <f>IF(ISNUMBER('Datos de Ensayos'!$G$124),'Datos de Ensayos'!M127,"")</f>
        <v/>
      </c>
      <c r="F188" s="549">
        <f>IF(ISNUMBER('Datos de Ensayos'!$G$124),'Datos de Ensayos'!N127,"")</f>
        <v/>
      </c>
      <c r="G188" s="1179" t="n"/>
    </row>
    <row r="189" ht="15" customHeight="1">
      <c r="A189" s="1179" t="n"/>
      <c r="B189" s="568" t="n">
        <v>2</v>
      </c>
      <c r="C189" s="569">
        <f>IF(ISNUMBER('Datos de Ensayos'!$G$124),'Datos de Ensayos'!G128,"")</f>
        <v/>
      </c>
      <c r="D189" s="554">
        <f>IF(ISNUMBER('Datos de Ensayos'!$G$124),'Datos de Ensayos'!J128,"")</f>
        <v/>
      </c>
      <c r="E189" s="555">
        <f>IF(ISNUMBER('Datos de Ensayos'!$G$124),'Datos de Ensayos'!M128,"")</f>
        <v/>
      </c>
      <c r="F189" s="555">
        <f>IF(ISNUMBER('Datos de Ensayos'!$G$124),'Datos de Ensayos'!N128,"")</f>
        <v/>
      </c>
      <c r="G189" s="1179" t="n"/>
    </row>
    <row r="190" ht="15" customHeight="1">
      <c r="A190" s="1179" t="n"/>
      <c r="B190" s="568" t="n">
        <v>3</v>
      </c>
      <c r="C190" s="569">
        <f>IF(ISNUMBER('Datos de Ensayos'!$G$124),'Datos de Ensayos'!G129,"")</f>
        <v/>
      </c>
      <c r="D190" s="554">
        <f>IF(ISNUMBER('Datos de Ensayos'!$G$124),'Datos de Ensayos'!J129,"")</f>
        <v/>
      </c>
      <c r="E190" s="555">
        <f>IF(ISNUMBER('Datos de Ensayos'!$G$124),'Datos de Ensayos'!M129,"")</f>
        <v/>
      </c>
      <c r="F190" s="555">
        <f>IF(ISNUMBER('Datos de Ensayos'!$G$124),'Datos de Ensayos'!N129,"")</f>
        <v/>
      </c>
      <c r="G190" s="1179" t="n"/>
    </row>
    <row r="191" ht="15" customHeight="1">
      <c r="A191" s="1179" t="n"/>
      <c r="B191" s="566" t="n">
        <v>4</v>
      </c>
      <c r="C191" s="567">
        <f>IF(ISNUMBER('Datos de Ensayos'!$G$124),'Datos de Ensayos'!G130,"")</f>
        <v/>
      </c>
      <c r="D191" s="548">
        <f>IF(ISNUMBER('Datos de Ensayos'!$G$124),'Datos de Ensayos'!J130,"")</f>
        <v/>
      </c>
      <c r="E191" s="549">
        <f>IF(ISNUMBER('Datos de Ensayos'!$G$124),'Datos de Ensayos'!M130,"")</f>
        <v/>
      </c>
      <c r="F191" s="549">
        <f>IF(ISNUMBER('Datos de Ensayos'!$G$124),'Datos de Ensayos'!N130,"")</f>
        <v/>
      </c>
      <c r="G191" s="1179" t="n"/>
    </row>
    <row r="192" ht="15" customHeight="1" thickBot="1">
      <c r="A192" s="1179" t="n"/>
      <c r="B192" s="1194" t="n">
        <v>5</v>
      </c>
      <c r="C192" s="550">
        <f>IF(ISNUMBER('Datos de Ensayos'!$G$124),'Datos de Ensayos'!G131,"")</f>
        <v/>
      </c>
      <c r="D192" s="559">
        <f>IF(ISNUMBER('Datos de Ensayos'!$G$124),'Datos de Ensayos'!J131,"")</f>
        <v/>
      </c>
      <c r="E192" s="552">
        <f>IF(ISNUMBER('Datos de Ensayos'!$G$124),'Datos de Ensayos'!M131,"")</f>
        <v/>
      </c>
      <c r="F192" s="560">
        <f>IF(ISNUMBER('Datos de Ensayos'!$G$124),'Datos de Ensayos'!N131,"")</f>
        <v/>
      </c>
      <c r="G192" s="1179" t="n"/>
    </row>
    <row r="193" ht="15" customHeight="1">
      <c r="A193" s="1179" t="n"/>
      <c r="B193" s="1179" t="inlineStr">
        <is>
          <t>Diferencia tolerada (kg):</t>
        </is>
      </c>
      <c r="C193" s="1179" t="n"/>
      <c r="D193" s="572" t="n"/>
      <c r="E193" s="573">
        <f>IF(COUNT(F188:F192)=0,"",'Datos de Ensayos'!G125)</f>
        <v/>
      </c>
      <c r="F193" s="1179" t="n"/>
      <c r="G193" s="1179" t="n"/>
    </row>
    <row r="194" ht="15" customHeight="1" thickBot="1">
      <c r="A194" s="1179" t="n"/>
      <c r="B194" s="1179" t="inlineStr">
        <is>
          <t xml:space="preserve">Diferencia máx. encontrada (kg): </t>
        </is>
      </c>
      <c r="C194" s="1179" t="n"/>
      <c r="D194" s="1179" t="n"/>
      <c r="E194" s="574">
        <f>IF(COUNT(F188:F192)=0,"",MAX(F188:F192)-MIN(F188:F192))</f>
        <v/>
      </c>
      <c r="F194" s="1179" t="n"/>
      <c r="G194" s="1179" t="n"/>
    </row>
    <row r="195" ht="15" customHeight="1">
      <c r="A195" s="1179" t="n"/>
      <c r="B195" s="1179" t="n"/>
      <c r="C195" s="1179" t="n"/>
      <c r="D195" s="1179" t="n"/>
      <c r="E195" s="1179" t="n"/>
      <c r="F195" s="1179" t="n"/>
      <c r="G195" s="1179" t="n"/>
    </row>
    <row r="196" ht="15" customHeight="1">
      <c r="A196" s="1179" t="n"/>
      <c r="B196" s="1179" t="n"/>
      <c r="C196" s="1179" t="n"/>
      <c r="D196" s="1179" t="n"/>
      <c r="E196" s="1179" t="n"/>
      <c r="F196" s="1179" t="n"/>
      <c r="G196" s="1179" t="n"/>
    </row>
    <row r="197" ht="15" customHeight="1">
      <c r="A197" s="1210" t="n"/>
      <c r="B197" s="1225" t="n"/>
      <c r="C197" s="1225" t="n"/>
      <c r="D197" s="1190" t="n"/>
      <c r="E197" s="627" t="n"/>
      <c r="F197" s="627" t="n"/>
      <c r="G197" s="627" t="n"/>
    </row>
    <row r="198" ht="15" customFormat="1" customHeight="1" s="576">
      <c r="A198" s="1208">
        <f>'Acta Verificación '!A57</f>
        <v/>
      </c>
      <c r="B198" s="1241" t="n"/>
      <c r="C198" s="1241" t="n"/>
      <c r="D198" s="1179" t="n"/>
      <c r="E198" s="1200">
        <f>'Acta Verificación '!F57</f>
        <v/>
      </c>
    </row>
    <row r="199" ht="15" customFormat="1" customHeight="1" s="576">
      <c r="A199" s="1209">
        <f>+'Identificación del Instrumento'!C14</f>
        <v/>
      </c>
      <c r="D199" s="1179" t="n"/>
      <c r="E199" s="1200">
        <f>+'Identificación del Instrumento'!E61</f>
        <v/>
      </c>
    </row>
    <row r="200" ht="15" customFormat="1" customHeight="1" s="576">
      <c r="A200" s="1200" t="n"/>
      <c r="D200" s="1179" t="n"/>
      <c r="E200" s="1211" t="n"/>
    </row>
  </sheetData>
  <mergeCells count="84">
    <mergeCell ref="B11:D11"/>
    <mergeCell ref="B65:E65"/>
    <mergeCell ref="B74:E74"/>
    <mergeCell ref="A109:G109"/>
    <mergeCell ref="B157:D157"/>
    <mergeCell ref="N132:P132"/>
    <mergeCell ref="A9:G9"/>
    <mergeCell ref="B158:D158"/>
    <mergeCell ref="A103:G103"/>
    <mergeCell ref="B93:E93"/>
    <mergeCell ref="N133:P133"/>
    <mergeCell ref="N126:P126"/>
    <mergeCell ref="N135:P135"/>
    <mergeCell ref="B143:F143"/>
    <mergeCell ref="A8:G8"/>
    <mergeCell ref="A184:G184"/>
    <mergeCell ref="A198:C198"/>
    <mergeCell ref="B64:E64"/>
    <mergeCell ref="B173:B175"/>
    <mergeCell ref="K110:O110"/>
    <mergeCell ref="B10:D10"/>
    <mergeCell ref="A102:G102"/>
    <mergeCell ref="A5:C5"/>
    <mergeCell ref="F141:F142"/>
    <mergeCell ref="A148:G148"/>
    <mergeCell ref="A200:C200"/>
    <mergeCell ref="K111:O111"/>
    <mergeCell ref="C161:E161"/>
    <mergeCell ref="B149:B151"/>
    <mergeCell ref="F185:F187"/>
    <mergeCell ref="A120:G120"/>
    <mergeCell ref="A197:C197"/>
    <mergeCell ref="A104:G104"/>
    <mergeCell ref="N125:P125"/>
    <mergeCell ref="B84:E84"/>
    <mergeCell ref="A14:G14"/>
    <mergeCell ref="C173:E173"/>
    <mergeCell ref="N136:P136"/>
    <mergeCell ref="N127:P127"/>
    <mergeCell ref="F161:F163"/>
    <mergeCell ref="A147:G147"/>
    <mergeCell ref="N128:P128"/>
    <mergeCell ref="B136:F136"/>
    <mergeCell ref="C150:E150"/>
    <mergeCell ref="B185:B187"/>
    <mergeCell ref="A199:C199"/>
    <mergeCell ref="E199:G199"/>
    <mergeCell ref="C186:E186"/>
    <mergeCell ref="A6:G6"/>
    <mergeCell ref="A172:G172"/>
    <mergeCell ref="A16:G16"/>
    <mergeCell ref="F173:F175"/>
    <mergeCell ref="N129:P129"/>
    <mergeCell ref="C185:E185"/>
    <mergeCell ref="B141:B142"/>
    <mergeCell ref="K103:O103"/>
    <mergeCell ref="N131:P131"/>
    <mergeCell ref="N124:O124"/>
    <mergeCell ref="A2:G2"/>
    <mergeCell ref="E4:G4"/>
    <mergeCell ref="C162:E162"/>
    <mergeCell ref="A160:G160"/>
    <mergeCell ref="N130:P130"/>
    <mergeCell ref="F149:F151"/>
    <mergeCell ref="B83:E83"/>
    <mergeCell ref="A4:D4"/>
    <mergeCell ref="B92:E92"/>
    <mergeCell ref="A122:G122"/>
    <mergeCell ref="B140:F140"/>
    <mergeCell ref="B12:F12"/>
    <mergeCell ref="E10:F10"/>
    <mergeCell ref="B75:E75"/>
    <mergeCell ref="A114:G114"/>
    <mergeCell ref="C141:E142"/>
    <mergeCell ref="A15:G15"/>
    <mergeCell ref="C174:E174"/>
    <mergeCell ref="C149:E149"/>
    <mergeCell ref="E11:F11"/>
    <mergeCell ref="E198:G198"/>
    <mergeCell ref="B161:B163"/>
    <mergeCell ref="A7:G7"/>
    <mergeCell ref="N134:P134"/>
    <mergeCell ref="E5:G5"/>
    <mergeCell ref="E200:G200"/>
  </mergeCells>
  <conditionalFormatting sqref="A144">
    <cfRule type="expression" priority="5" dxfId="0" stopIfTrue="1">
      <formula>$A$144&lt;&gt;""</formula>
    </cfRule>
  </conditionalFormatting>
  <conditionalFormatting sqref="A145">
    <cfRule type="expression" priority="7" dxfId="0" stopIfTrue="1">
      <formula>$A$145&lt;&gt;""</formula>
    </cfRule>
  </conditionalFormatting>
  <conditionalFormatting sqref="A137:G137 A138:A139 G138:G139">
    <cfRule type="expression" priority="14" dxfId="0" stopIfTrue="1">
      <formula>A137&lt;&gt;""</formula>
    </cfRule>
  </conditionalFormatting>
  <conditionalFormatting sqref="B144">
    <cfRule type="expression" priority="1" dxfId="3" stopIfTrue="1">
      <formula>$B$144&lt;&gt;""</formula>
    </cfRule>
  </conditionalFormatting>
  <conditionalFormatting sqref="B145">
    <cfRule type="expression" priority="8" dxfId="0" stopIfTrue="1">
      <formula>$B$145&lt;&gt;""</formula>
    </cfRule>
  </conditionalFormatting>
  <conditionalFormatting sqref="B138:F139">
    <cfRule type="expression" priority="15" dxfId="9" stopIfTrue="1">
      <formula>B138&lt;&gt;""</formula>
    </cfRule>
  </conditionalFormatting>
  <conditionalFormatting sqref="C144">
    <cfRule type="expression" priority="2" dxfId="3" stopIfTrue="1">
      <formula>$C$144&lt;&gt;""</formula>
    </cfRule>
  </conditionalFormatting>
  <conditionalFormatting sqref="C145">
    <cfRule type="expression" priority="9" dxfId="0" stopIfTrue="1">
      <formula>$C$145&lt;&gt;""</formula>
    </cfRule>
  </conditionalFormatting>
  <conditionalFormatting sqref="D144">
    <cfRule type="expression" priority="3" dxfId="3" stopIfTrue="1">
      <formula>$D$144&lt;&gt;""</formula>
    </cfRule>
  </conditionalFormatting>
  <conditionalFormatting sqref="D145">
    <cfRule type="expression" priority="10" dxfId="0" stopIfTrue="1">
      <formula>$D$145&lt;&gt;""</formula>
    </cfRule>
  </conditionalFormatting>
  <conditionalFormatting sqref="E145">
    <cfRule type="expression" priority="11" dxfId="0" stopIfTrue="1">
      <formula>$E$145&lt;&gt;""</formula>
    </cfRule>
  </conditionalFormatting>
  <conditionalFormatting sqref="E144:F144">
    <cfRule type="expression" priority="4" dxfId="3" stopIfTrue="1">
      <formula>$E$144&lt;&gt;""</formula>
    </cfRule>
  </conditionalFormatting>
  <conditionalFormatting sqref="F145">
    <cfRule type="expression" priority="12" dxfId="0" stopIfTrue="1">
      <formula>$F$145&lt;&gt;""</formula>
    </cfRule>
  </conditionalFormatting>
  <conditionalFormatting sqref="G144">
    <cfRule type="expression" priority="6" dxfId="0" stopIfTrue="1">
      <formula>$G$144&lt;&gt;""</formula>
    </cfRule>
  </conditionalFormatting>
  <conditionalFormatting sqref="G145">
    <cfRule type="expression" priority="13" dxfId="0" stopIfTrue="1">
      <formula>$G$145&lt;&gt;""</formula>
    </cfRule>
  </conditionalFormatting>
  <pageMargins left="0.984251968503937" right="0.3937007874015748" top="0.4330708661417323" bottom="0.3937007874015748" header="0" footer="0.1968503937007874"/>
  <pageSetup orientation="portrait" paperSize="9" scale="86" horizontalDpi="300" verticalDpi="300"/>
  <headerFooter alignWithMargins="0">
    <oddHeader/>
    <oddFooter>&amp;R&amp;"Arial,Negrita"&amp;9 Página &amp;P de &amp;N</oddFooter>
    <evenHeader/>
    <evenFooter/>
    <firstHeader/>
    <firstFooter/>
  </headerFooter>
  <rowBreaks count="1" manualBreakCount="1">
    <brk id="119" min="0" max="6"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Fernando Kornblit</dc:creator>
  <dcterms:created xsi:type="dcterms:W3CDTF">2002-11-22T14:21:35Z</dcterms:created>
  <dcterms:modified xsi:type="dcterms:W3CDTF">2025-10-19T13:32:27Z</dcterms:modified>
  <cp:lastModifiedBy>Pablo Javier Siklosi Avila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0x010100271919A22B30B241870AA6C9D9773171</vt:lpwstr>
  </property>
</Properties>
</file>