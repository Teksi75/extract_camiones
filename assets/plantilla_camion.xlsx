
<file path=[Content_Types].xml><?xml version="1.0" encoding="utf-8"?>
<Types xmlns="http://schemas.openxmlformats.org/package/2006/content-types">
  <Default Extension="bin" ContentType="application/vnd.openxmlformats-officedocument.spreadsheetml.printerSettings"/>
  <Default Extension="jpeg" ContentType="image/jpeg"/>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comments3.xml" ContentType="application/vnd.openxmlformats-officedocument.spreadsheetml.comment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codeName="ThisWorkbook"/>
  <mc:AlternateContent xmlns:mc="http://schemas.openxmlformats.org/markup-compatibility/2006">
    <mc:Choice Requires="x15">
      <x15ac:absPath xmlns:x15ac="http://schemas.microsoft.com/office/spreadsheetml/2010/11/ac" url="https://intigobar-my.sharepoint.com/personal/psiklosi_inti_gob_ar/Documents/extract_camiones/assets/"/>
    </mc:Choice>
  </mc:AlternateContent>
  <xr:revisionPtr revIDLastSave="310" documentId="11_A652BFD88C009AA27A2DEFB33DEEFBFD99302097" xr6:coauthVersionLast="47" xr6:coauthVersionMax="47" xr10:uidLastSave="{C3B3917E-09D4-4B3E-BDB9-ADE8070295BA}"/>
  <bookViews>
    <workbookView xWindow="-120" yWindow="-120" windowWidth="29040" windowHeight="15720" tabRatio="718" activeTab="1" xr2:uid="{00000000-000D-0000-FFFF-FFFF00000000}"/>
  </bookViews>
  <sheets>
    <sheet name="datos vpe" sheetId="13" r:id="rId1"/>
    <sheet name="Identificación del Instrumento" sheetId="2" r:id="rId2"/>
    <sheet name="Datos de Ensayos" sheetId="3" r:id="rId3"/>
    <sheet name="Acta Verificación " sheetId="4" r:id="rId4"/>
    <sheet name="Acta Precintos" sheetId="5" r:id="rId5"/>
    <sheet name="Informe" sheetId="6" r:id="rId6"/>
    <sheet name="Reporte" sheetId="7" r:id="rId7"/>
    <sheet name="certificado OC" sheetId="8" r:id="rId8"/>
    <sheet name="Acta Suspensión" sheetId="9" r:id="rId9"/>
    <sheet name="Informe Suspensión" sheetId="10" state="hidden" r:id="rId10"/>
    <sheet name="Ensayos Efectuados" sheetId="11" state="hidden" r:id="rId11"/>
  </sheets>
  <definedNames>
    <definedName name="_xlnm.Print_Area" localSheetId="4">'Acta Precintos'!$A$1:$H$76</definedName>
    <definedName name="_xlnm.Print_Area" localSheetId="8">'Acta Suspensión'!$A$1:$H$67</definedName>
    <definedName name="_xlnm.Print_Area" localSheetId="3">'Acta Verificación '!$A$1:$H$64</definedName>
    <definedName name="_xlnm.Print_Area" localSheetId="7">'certificado OC'!$A$1:$I$41</definedName>
    <definedName name="_xlnm.Print_Area" localSheetId="2">'Datos de Ensayos'!$D$1:$L$57</definedName>
    <definedName name="_xlnm.Print_Area" localSheetId="10">'Ensayos Efectuados'!$A$1:$G$200</definedName>
    <definedName name="_xlnm.Print_Area" localSheetId="1">'Identificación del Instrumento'!$A$1:$G$62</definedName>
    <definedName name="_xlnm.Print_Area" localSheetId="5">Informe!$A$1:$H$35</definedName>
    <definedName name="_xlnm.Print_Area" localSheetId="9">'Informe Suspensión'!$A$4:$H$34</definedName>
    <definedName name="_xlnm.Print_Titles" localSheetId="10">'Ensayos Efectuados'!$4:$4</definedName>
  </definedNames>
  <calcPr calcId="191028"/>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3" i="2" l="1"/>
  <c r="E3" i="2"/>
  <c r="D3" i="2"/>
  <c r="D151" i="3"/>
  <c r="D152" i="3"/>
  <c r="D153" i="3"/>
  <c r="F32" i="2"/>
  <c r="B32" i="2"/>
  <c r="F31" i="2"/>
  <c r="B31" i="2"/>
  <c r="F28" i="2"/>
  <c r="B28" i="2"/>
  <c r="A11" i="6" s="1"/>
  <c r="F27" i="2"/>
  <c r="I14" i="3" s="1"/>
  <c r="B27" i="2"/>
  <c r="A14" i="6" s="1"/>
  <c r="F26" i="2"/>
  <c r="A10" i="6" s="1"/>
  <c r="H2" i="7" s="1"/>
  <c r="B26" i="2"/>
  <c r="F25" i="2"/>
  <c r="B25" i="2"/>
  <c r="E12" i="3"/>
  <c r="F24" i="2"/>
  <c r="B24" i="2"/>
  <c r="D23" i="2"/>
  <c r="B23" i="2"/>
  <c r="A7" i="6" s="1"/>
  <c r="B20" i="2"/>
  <c r="B19" i="2"/>
  <c r="J23" i="4" s="1"/>
  <c r="J2" i="4" s="1"/>
  <c r="B15" i="2"/>
  <c r="E8" i="3" s="1"/>
  <c r="I15" i="6" s="1"/>
  <c r="C14" i="2"/>
  <c r="A199" i="11" s="1"/>
  <c r="B5" i="2"/>
  <c r="D4" i="2"/>
  <c r="B4" i="2"/>
  <c r="A7" i="10" s="1"/>
  <c r="H105" i="3"/>
  <c r="H104" i="3"/>
  <c r="H106" i="3"/>
  <c r="H107" i="3"/>
  <c r="A12" i="6"/>
  <c r="A31" i="8" s="1"/>
  <c r="G15" i="5"/>
  <c r="D15" i="5"/>
  <c r="E199" i="11"/>
  <c r="A57" i="4"/>
  <c r="A198" i="11"/>
  <c r="C186" i="11"/>
  <c r="A184" i="11"/>
  <c r="C174" i="11"/>
  <c r="A172" i="11"/>
  <c r="C162" i="11"/>
  <c r="A160" i="11"/>
  <c r="C150" i="11"/>
  <c r="A148" i="11"/>
  <c r="G145" i="11"/>
  <c r="F145" i="11"/>
  <c r="E145" i="11"/>
  <c r="D145" i="11"/>
  <c r="C145" i="11"/>
  <c r="B145" i="11"/>
  <c r="A145" i="11"/>
  <c r="G144" i="11"/>
  <c r="F144" i="11"/>
  <c r="E144" i="11"/>
  <c r="D144" i="11"/>
  <c r="C144" i="11"/>
  <c r="B144" i="11"/>
  <c r="A144" i="11"/>
  <c r="G141" i="11"/>
  <c r="C141" i="11"/>
  <c r="A141" i="11"/>
  <c r="G139" i="11"/>
  <c r="F139" i="11"/>
  <c r="E139" i="11"/>
  <c r="D139" i="11"/>
  <c r="C139" i="11"/>
  <c r="B139" i="11"/>
  <c r="A139" i="11"/>
  <c r="F138" i="11"/>
  <c r="E138" i="11"/>
  <c r="D138" i="11"/>
  <c r="C138" i="11"/>
  <c r="B138" i="11"/>
  <c r="G137" i="11"/>
  <c r="A137" i="11"/>
  <c r="N136" i="11"/>
  <c r="B136" i="11"/>
  <c r="N135" i="11"/>
  <c r="D135" i="11"/>
  <c r="N134" i="11"/>
  <c r="D134" i="11"/>
  <c r="N133" i="11"/>
  <c r="N132" i="11"/>
  <c r="N131" i="11"/>
  <c r="N130" i="11"/>
  <c r="N129" i="11"/>
  <c r="N128" i="11"/>
  <c r="N127" i="11"/>
  <c r="N126" i="11"/>
  <c r="N125" i="11"/>
  <c r="A122" i="11"/>
  <c r="F118" i="11"/>
  <c r="E118" i="11"/>
  <c r="D118" i="11"/>
  <c r="C118" i="11"/>
  <c r="F117" i="11"/>
  <c r="E117" i="11"/>
  <c r="D117" i="11"/>
  <c r="C117" i="11"/>
  <c r="F116" i="11"/>
  <c r="E116" i="11"/>
  <c r="D116" i="11"/>
  <c r="C116" i="11"/>
  <c r="F113" i="11"/>
  <c r="D113" i="11"/>
  <c r="C113" i="11"/>
  <c r="F112" i="11"/>
  <c r="D112" i="11"/>
  <c r="C112" i="11"/>
  <c r="F111" i="11"/>
  <c r="D111" i="11"/>
  <c r="C111" i="11"/>
  <c r="K110" i="11"/>
  <c r="F108" i="11"/>
  <c r="E108" i="11"/>
  <c r="G108" i="11" s="1"/>
  <c r="D108" i="11"/>
  <c r="C108" i="11"/>
  <c r="F107" i="11"/>
  <c r="E107" i="11"/>
  <c r="G107" i="11"/>
  <c r="D107" i="11"/>
  <c r="C107" i="11"/>
  <c r="F106" i="11"/>
  <c r="E106" i="11"/>
  <c r="G106" i="11" s="1"/>
  <c r="D106" i="11"/>
  <c r="C106" i="11"/>
  <c r="B93" i="11"/>
  <c r="B92" i="11"/>
  <c r="B84" i="11"/>
  <c r="B83" i="11"/>
  <c r="D81" i="11"/>
  <c r="C81" i="11"/>
  <c r="D80" i="11"/>
  <c r="C80" i="11"/>
  <c r="B75" i="11"/>
  <c r="B74" i="11"/>
  <c r="C72" i="11"/>
  <c r="D72" i="11"/>
  <c r="C71" i="11"/>
  <c r="D71" i="11"/>
  <c r="C70" i="11"/>
  <c r="B65" i="11"/>
  <c r="C61" i="11"/>
  <c r="D61" i="11"/>
  <c r="C60" i="11"/>
  <c r="D60" i="11"/>
  <c r="C59" i="11"/>
  <c r="D59" i="11"/>
  <c r="C58" i="11"/>
  <c r="D58" i="11"/>
  <c r="C57" i="11"/>
  <c r="D57" i="11"/>
  <c r="D56" i="11"/>
  <c r="C56" i="11"/>
  <c r="C55" i="11"/>
  <c r="D55" i="11"/>
  <c r="C54" i="11"/>
  <c r="D54" i="11"/>
  <c r="C53" i="11"/>
  <c r="D53" i="11"/>
  <c r="C52" i="11"/>
  <c r="D52" i="11"/>
  <c r="C51" i="11"/>
  <c r="D51" i="11"/>
  <c r="C50" i="11"/>
  <c r="D50" i="11"/>
  <c r="C49" i="11"/>
  <c r="D49" i="11"/>
  <c r="D48" i="11"/>
  <c r="C48" i="11"/>
  <c r="C47" i="11"/>
  <c r="D47" i="11"/>
  <c r="C46" i="11"/>
  <c r="D46" i="11"/>
  <c r="C45" i="11"/>
  <c r="D45" i="11"/>
  <c r="D44" i="11"/>
  <c r="C44" i="11"/>
  <c r="C43" i="11"/>
  <c r="D43" i="11"/>
  <c r="C42" i="11"/>
  <c r="D42" i="11"/>
  <c r="C41" i="11"/>
  <c r="D41" i="11"/>
  <c r="D40" i="11"/>
  <c r="C40" i="11"/>
  <c r="C39" i="11"/>
  <c r="D39" i="11"/>
  <c r="C38" i="11"/>
  <c r="D38" i="11"/>
  <c r="C37" i="11"/>
  <c r="D37" i="11"/>
  <c r="C36" i="11"/>
  <c r="D36" i="11"/>
  <c r="C35" i="11"/>
  <c r="D35" i="11"/>
  <c r="C34" i="11"/>
  <c r="D34" i="11"/>
  <c r="C33" i="11"/>
  <c r="D33" i="11"/>
  <c r="C32" i="11"/>
  <c r="D32" i="11"/>
  <c r="C31" i="11"/>
  <c r="D31" i="11"/>
  <c r="C20" i="11"/>
  <c r="C19" i="11"/>
  <c r="B19" i="11"/>
  <c r="B20" i="11"/>
  <c r="B21" i="11"/>
  <c r="B22" i="11"/>
  <c r="B23" i="11"/>
  <c r="B24" i="11"/>
  <c r="B25" i="11"/>
  <c r="B26" i="11"/>
  <c r="B27" i="11"/>
  <c r="B28" i="11"/>
  <c r="B29" i="11"/>
  <c r="B30" i="11"/>
  <c r="B31" i="11"/>
  <c r="B32" i="11"/>
  <c r="B33" i="11"/>
  <c r="B34" i="11"/>
  <c r="B35" i="11"/>
  <c r="B36" i="11"/>
  <c r="B37" i="11"/>
  <c r="B38" i="11"/>
  <c r="B39" i="11"/>
  <c r="B40" i="11"/>
  <c r="B41" i="11"/>
  <c r="B42" i="11"/>
  <c r="B43" i="11"/>
  <c r="B44" i="11"/>
  <c r="B45" i="11"/>
  <c r="B46" i="11"/>
  <c r="B47" i="11"/>
  <c r="B48" i="11"/>
  <c r="B49" i="11"/>
  <c r="B50" i="11"/>
  <c r="B51" i="11"/>
  <c r="B52" i="11"/>
  <c r="B53" i="11"/>
  <c r="B54" i="11"/>
  <c r="B55" i="11"/>
  <c r="B56" i="11"/>
  <c r="B57" i="11"/>
  <c r="B58" i="11"/>
  <c r="B59" i="11"/>
  <c r="B60" i="11"/>
  <c r="B61" i="11"/>
  <c r="D18" i="11"/>
  <c r="C18" i="11"/>
  <c r="E11" i="11"/>
  <c r="E10" i="11"/>
  <c r="A8" i="11"/>
  <c r="E5" i="11"/>
  <c r="A5" i="11"/>
  <c r="A84" i="10"/>
  <c r="D25" i="10"/>
  <c r="A25" i="10"/>
  <c r="A24" i="10"/>
  <c r="C1" i="10"/>
  <c r="F60" i="9"/>
  <c r="F59" i="9"/>
  <c r="K33" i="9"/>
  <c r="J21" i="9"/>
  <c r="K31" i="9"/>
  <c r="K20" i="9"/>
  <c r="K30" i="9"/>
  <c r="P29" i="9"/>
  <c r="N29" i="9"/>
  <c r="AC28" i="9"/>
  <c r="L28" i="9"/>
  <c r="K28" i="9"/>
  <c r="AC27" i="9"/>
  <c r="AC26" i="9"/>
  <c r="AC25" i="9"/>
  <c r="AC24" i="9"/>
  <c r="J24" i="9"/>
  <c r="AC23" i="9"/>
  <c r="J23" i="9"/>
  <c r="AC22" i="9"/>
  <c r="AC21" i="9"/>
  <c r="AC20" i="9"/>
  <c r="T20" i="9"/>
  <c r="AC19" i="9"/>
  <c r="T19" i="9"/>
  <c r="K19" i="9"/>
  <c r="AC18" i="9"/>
  <c r="T18" i="9"/>
  <c r="T21" i="9"/>
  <c r="AC17" i="9"/>
  <c r="AC16" i="9"/>
  <c r="J16" i="10"/>
  <c r="A23" i="10"/>
  <c r="AC15" i="9"/>
  <c r="C25" i="8"/>
  <c r="C24" i="8"/>
  <c r="C22" i="8"/>
  <c r="H1" i="8"/>
  <c r="A2" i="7"/>
  <c r="A85" i="6"/>
  <c r="E82" i="6"/>
  <c r="C82" i="6"/>
  <c r="B82" i="6"/>
  <c r="E80" i="6"/>
  <c r="C80" i="6"/>
  <c r="B80" i="6"/>
  <c r="A30" i="6"/>
  <c r="D29" i="6"/>
  <c r="A29" i="6"/>
  <c r="A28" i="6"/>
  <c r="G26" i="6"/>
  <c r="F26" i="6"/>
  <c r="D26" i="6"/>
  <c r="G25" i="6"/>
  <c r="F25" i="6"/>
  <c r="D25" i="6"/>
  <c r="A24" i="6"/>
  <c r="I22" i="6"/>
  <c r="G22" i="6"/>
  <c r="N39" i="4"/>
  <c r="A22" i="6"/>
  <c r="B22" i="6"/>
  <c r="G21" i="6"/>
  <c r="N42" i="4"/>
  <c r="N41" i="4"/>
  <c r="D20" i="6"/>
  <c r="A13" i="6"/>
  <c r="A32" i="8" s="1"/>
  <c r="A4" i="6"/>
  <c r="C1" i="6"/>
  <c r="F70" i="5"/>
  <c r="A69" i="5"/>
  <c r="S47" i="5"/>
  <c r="S46" i="5"/>
  <c r="S45" i="5"/>
  <c r="S44" i="5"/>
  <c r="S43" i="5"/>
  <c r="S42" i="5"/>
  <c r="S41" i="5"/>
  <c r="S40" i="5"/>
  <c r="S39" i="5"/>
  <c r="S38" i="5"/>
  <c r="S37" i="5"/>
  <c r="S36" i="5"/>
  <c r="S35" i="5"/>
  <c r="S34" i="5"/>
  <c r="S33" i="5"/>
  <c r="S32" i="5"/>
  <c r="S31" i="5"/>
  <c r="S30" i="5"/>
  <c r="S29" i="5"/>
  <c r="S28" i="5"/>
  <c r="S27" i="5"/>
  <c r="S26" i="5"/>
  <c r="S25" i="5"/>
  <c r="S49" i="5"/>
  <c r="A15" i="6"/>
  <c r="A15" i="10"/>
  <c r="S24" i="5"/>
  <c r="Q24" i="5"/>
  <c r="B22" i="5"/>
  <c r="G18" i="5"/>
  <c r="D18" i="5"/>
  <c r="G17" i="5"/>
  <c r="D17" i="5"/>
  <c r="G16" i="5"/>
  <c r="B14" i="5"/>
  <c r="A59" i="4"/>
  <c r="N43" i="4"/>
  <c r="N40" i="4"/>
  <c r="N38" i="4"/>
  <c r="N44" i="4"/>
  <c r="K32" i="4"/>
  <c r="K31" i="4"/>
  <c r="P30" i="4"/>
  <c r="N30" i="4"/>
  <c r="L30" i="4"/>
  <c r="J6" i="4"/>
  <c r="K30" i="4"/>
  <c r="L29" i="4"/>
  <c r="K29" i="4"/>
  <c r="J28" i="4"/>
  <c r="J27" i="9"/>
  <c r="J27" i="4"/>
  <c r="J26" i="9"/>
  <c r="J26" i="4"/>
  <c r="J25" i="9"/>
  <c r="J25" i="4"/>
  <c r="J24" i="4"/>
  <c r="K34" i="4"/>
  <c r="T22" i="4"/>
  <c r="T20" i="4"/>
  <c r="T18" i="4"/>
  <c r="T19" i="4"/>
  <c r="A14" i="4"/>
  <c r="O250" i="3"/>
  <c r="N250" i="3"/>
  <c r="K250" i="3"/>
  <c r="J250" i="3"/>
  <c r="G250" i="3"/>
  <c r="F250" i="3"/>
  <c r="D250" i="3"/>
  <c r="C99" i="11"/>
  <c r="D99" i="11"/>
  <c r="O249" i="3"/>
  <c r="N249" i="3"/>
  <c r="K249" i="3"/>
  <c r="J249" i="3"/>
  <c r="F249" i="3"/>
  <c r="G249" i="3"/>
  <c r="D249" i="3"/>
  <c r="O248" i="3"/>
  <c r="N248" i="3"/>
  <c r="K248" i="3"/>
  <c r="J248" i="3"/>
  <c r="G248" i="3"/>
  <c r="H248" i="3" s="1"/>
  <c r="I248" i="3" s="1"/>
  <c r="E97" i="11" s="1"/>
  <c r="F248" i="3"/>
  <c r="D248" i="3"/>
  <c r="C97" i="11"/>
  <c r="D97" i="11"/>
  <c r="O247" i="3"/>
  <c r="N247" i="3"/>
  <c r="K247" i="3"/>
  <c r="J247" i="3"/>
  <c r="G247" i="3"/>
  <c r="F247" i="3"/>
  <c r="D247" i="3"/>
  <c r="C96" i="11"/>
  <c r="D96" i="11"/>
  <c r="O246" i="3"/>
  <c r="N246" i="3"/>
  <c r="K246" i="3"/>
  <c r="J246" i="3"/>
  <c r="G246" i="3"/>
  <c r="F246" i="3"/>
  <c r="D246" i="3"/>
  <c r="C95" i="11"/>
  <c r="D95" i="11"/>
  <c r="O245" i="3"/>
  <c r="N245" i="3"/>
  <c r="K245" i="3"/>
  <c r="J245" i="3"/>
  <c r="F245" i="3"/>
  <c r="G245" i="3"/>
  <c r="H245" i="3" s="1"/>
  <c r="I245" i="3" s="1"/>
  <c r="E94" i="11" s="1"/>
  <c r="D245" i="3"/>
  <c r="K244" i="3"/>
  <c r="G244" i="3"/>
  <c r="E244" i="3"/>
  <c r="D244" i="3"/>
  <c r="O234" i="3"/>
  <c r="N234" i="3"/>
  <c r="K234" i="3"/>
  <c r="J234" i="3"/>
  <c r="G234" i="3"/>
  <c r="F234" i="3"/>
  <c r="O233" i="3"/>
  <c r="N233" i="3"/>
  <c r="K233" i="3"/>
  <c r="J233" i="3"/>
  <c r="F233" i="3"/>
  <c r="G233" i="3"/>
  <c r="H233" i="3" s="1"/>
  <c r="I233" i="3" s="1"/>
  <c r="E89" i="11" s="1"/>
  <c r="O232" i="3"/>
  <c r="N232" i="3"/>
  <c r="K232" i="3"/>
  <c r="J232" i="3"/>
  <c r="G232" i="3"/>
  <c r="F232" i="3"/>
  <c r="O231" i="3"/>
  <c r="N231" i="3"/>
  <c r="K231" i="3"/>
  <c r="J231" i="3"/>
  <c r="F231" i="3"/>
  <c r="G231" i="3"/>
  <c r="H231" i="3" s="1"/>
  <c r="I231" i="3" s="1"/>
  <c r="E87" i="11" s="1"/>
  <c r="O230" i="3"/>
  <c r="N230" i="3"/>
  <c r="K230" i="3"/>
  <c r="J230" i="3"/>
  <c r="G230" i="3"/>
  <c r="F230" i="3"/>
  <c r="O229" i="3"/>
  <c r="N229" i="3"/>
  <c r="K229" i="3"/>
  <c r="J229" i="3"/>
  <c r="F229" i="3"/>
  <c r="G229" i="3"/>
  <c r="H229" i="3" s="1"/>
  <c r="I229" i="3" s="1"/>
  <c r="E85" i="11" s="1"/>
  <c r="D229" i="3"/>
  <c r="H228" i="3"/>
  <c r="G228" i="3"/>
  <c r="E228" i="3"/>
  <c r="D228" i="3"/>
  <c r="F228" i="3"/>
  <c r="O218" i="3"/>
  <c r="N218" i="3"/>
  <c r="K218" i="3"/>
  <c r="J218" i="3"/>
  <c r="F218" i="3"/>
  <c r="O217" i="3"/>
  <c r="N217" i="3"/>
  <c r="K217" i="3"/>
  <c r="J217" i="3"/>
  <c r="F217" i="3"/>
  <c r="P217" i="3"/>
  <c r="O216" i="3"/>
  <c r="N216" i="3"/>
  <c r="K216" i="3"/>
  <c r="J216" i="3"/>
  <c r="F216" i="3"/>
  <c r="P216" i="3"/>
  <c r="P215" i="3"/>
  <c r="O215" i="3"/>
  <c r="N215" i="3"/>
  <c r="K215" i="3"/>
  <c r="J215" i="3"/>
  <c r="F215" i="3"/>
  <c r="P214" i="3"/>
  <c r="O214" i="3"/>
  <c r="N214" i="3"/>
  <c r="K214" i="3"/>
  <c r="J214" i="3"/>
  <c r="F214" i="3"/>
  <c r="P213" i="3"/>
  <c r="O213" i="3"/>
  <c r="N213" i="3"/>
  <c r="K213" i="3"/>
  <c r="J213" i="3"/>
  <c r="F213" i="3"/>
  <c r="P212" i="3"/>
  <c r="K212" i="3"/>
  <c r="G212" i="3"/>
  <c r="E212" i="3"/>
  <c r="D212" i="3"/>
  <c r="F212" i="3"/>
  <c r="O203" i="3"/>
  <c r="N203" i="3"/>
  <c r="L203" i="3"/>
  <c r="K203" i="3"/>
  <c r="J203" i="3"/>
  <c r="G203" i="3"/>
  <c r="F203" i="3"/>
  <c r="P203" i="3"/>
  <c r="P202" i="3"/>
  <c r="O202" i="3"/>
  <c r="N202" i="3"/>
  <c r="L202" i="3"/>
  <c r="K202" i="3"/>
  <c r="J202" i="3"/>
  <c r="F202" i="3"/>
  <c r="G202" i="3"/>
  <c r="L201" i="3"/>
  <c r="F201" i="3"/>
  <c r="L200" i="3"/>
  <c r="L199" i="3"/>
  <c r="L198" i="3"/>
  <c r="L197" i="3"/>
  <c r="E196" i="3"/>
  <c r="D196" i="3"/>
  <c r="D197" i="3"/>
  <c r="K187" i="3"/>
  <c r="U186" i="3"/>
  <c r="T186" i="3"/>
  <c r="M218" i="3"/>
  <c r="R186" i="3"/>
  <c r="Q186" i="3"/>
  <c r="P186" i="3"/>
  <c r="H186" i="3"/>
  <c r="F186" i="3"/>
  <c r="L186" i="3" s="1"/>
  <c r="E61" i="11" s="1"/>
  <c r="U185" i="3"/>
  <c r="T185" i="3"/>
  <c r="R185" i="3"/>
  <c r="Q185" i="3"/>
  <c r="P185" i="3"/>
  <c r="H185" i="3"/>
  <c r="F185" i="3"/>
  <c r="L185" i="3" s="1"/>
  <c r="E60" i="11" s="1"/>
  <c r="U184" i="3"/>
  <c r="T184" i="3"/>
  <c r="M248" i="3"/>
  <c r="M244" i="3"/>
  <c r="R184" i="3"/>
  <c r="Q184" i="3"/>
  <c r="P184" i="3"/>
  <c r="H184" i="3"/>
  <c r="M184" i="3" s="1"/>
  <c r="U183" i="3"/>
  <c r="T183" i="3"/>
  <c r="R183" i="3"/>
  <c r="Q183" i="3"/>
  <c r="P183" i="3"/>
  <c r="H183" i="3"/>
  <c r="F183" i="3"/>
  <c r="U182" i="3"/>
  <c r="T182" i="3"/>
  <c r="R182" i="3"/>
  <c r="Q182" i="3"/>
  <c r="P182" i="3"/>
  <c r="H182" i="3"/>
  <c r="M182" i="3"/>
  <c r="F182" i="3"/>
  <c r="U181" i="3"/>
  <c r="T181" i="3"/>
  <c r="R181" i="3"/>
  <c r="Q181" i="3"/>
  <c r="P181" i="3"/>
  <c r="I181" i="3"/>
  <c r="H181" i="3"/>
  <c r="M181" i="3" s="1"/>
  <c r="F181" i="3"/>
  <c r="L181" i="3" s="1"/>
  <c r="E56" i="11" s="1"/>
  <c r="U180" i="3"/>
  <c r="T180" i="3"/>
  <c r="R180" i="3"/>
  <c r="Q180" i="3"/>
  <c r="P180" i="3"/>
  <c r="H180" i="3"/>
  <c r="M180" i="3" s="1"/>
  <c r="F180" i="3"/>
  <c r="U179" i="3"/>
  <c r="T179" i="3"/>
  <c r="R179" i="3"/>
  <c r="Q179" i="3"/>
  <c r="P179" i="3"/>
  <c r="H179" i="3"/>
  <c r="M179" i="3"/>
  <c r="F179" i="3"/>
  <c r="L179" i="3"/>
  <c r="E54" i="11"/>
  <c r="U178" i="3"/>
  <c r="T178" i="3"/>
  <c r="R178" i="3"/>
  <c r="Q178" i="3"/>
  <c r="P178" i="3"/>
  <c r="H178" i="3"/>
  <c r="M178" i="3" s="1"/>
  <c r="F178" i="3"/>
  <c r="U177" i="3"/>
  <c r="T177" i="3"/>
  <c r="R177" i="3"/>
  <c r="Q177" i="3"/>
  <c r="P177" i="3"/>
  <c r="H177" i="3"/>
  <c r="M177" i="3"/>
  <c r="F177" i="3"/>
  <c r="U176" i="3"/>
  <c r="T176" i="3"/>
  <c r="R176" i="3"/>
  <c r="Q176" i="3"/>
  <c r="P176" i="3"/>
  <c r="H176" i="3"/>
  <c r="F176" i="3"/>
  <c r="U175" i="3"/>
  <c r="T175" i="3"/>
  <c r="R175" i="3"/>
  <c r="Q175" i="3"/>
  <c r="P175" i="3"/>
  <c r="H175" i="3"/>
  <c r="F175" i="3"/>
  <c r="L175" i="3" s="1"/>
  <c r="E50" i="11" s="1"/>
  <c r="U174" i="3"/>
  <c r="T174" i="3"/>
  <c r="R174" i="3"/>
  <c r="Q174" i="3"/>
  <c r="P174" i="3"/>
  <c r="H174" i="3"/>
  <c r="M174" i="3"/>
  <c r="F174" i="3"/>
  <c r="L174" i="3" s="1"/>
  <c r="E49" i="11" s="1"/>
  <c r="U173" i="3"/>
  <c r="T173" i="3"/>
  <c r="R173" i="3"/>
  <c r="Q173" i="3"/>
  <c r="P173" i="3"/>
  <c r="I173" i="3"/>
  <c r="H173" i="3"/>
  <c r="F173" i="3"/>
  <c r="U172" i="3"/>
  <c r="T172" i="3"/>
  <c r="R172" i="3"/>
  <c r="Q172" i="3"/>
  <c r="P172" i="3"/>
  <c r="H172" i="3"/>
  <c r="F172" i="3"/>
  <c r="L172" i="3" s="1"/>
  <c r="E47" i="11" s="1"/>
  <c r="U171" i="3"/>
  <c r="T171" i="3"/>
  <c r="R171" i="3"/>
  <c r="Q171" i="3"/>
  <c r="P171" i="3"/>
  <c r="H171" i="3"/>
  <c r="M171" i="3" s="1"/>
  <c r="F171" i="3"/>
  <c r="L171" i="3" s="1"/>
  <c r="E46" i="11" s="1"/>
  <c r="U170" i="3"/>
  <c r="T170" i="3"/>
  <c r="R170" i="3"/>
  <c r="Q170" i="3"/>
  <c r="P170" i="3"/>
  <c r="H170" i="3"/>
  <c r="F170" i="3"/>
  <c r="U169" i="3"/>
  <c r="T169" i="3"/>
  <c r="R169" i="3"/>
  <c r="Q169" i="3"/>
  <c r="P169" i="3"/>
  <c r="H169" i="3"/>
  <c r="M169" i="3" s="1"/>
  <c r="F169" i="3"/>
  <c r="L169" i="3" s="1"/>
  <c r="E44" i="11" s="1"/>
  <c r="U168" i="3"/>
  <c r="T168" i="3"/>
  <c r="R168" i="3"/>
  <c r="Q168" i="3"/>
  <c r="P168" i="3"/>
  <c r="H168" i="3"/>
  <c r="F168" i="3"/>
  <c r="L168" i="3"/>
  <c r="E43" i="11" s="1"/>
  <c r="U167" i="3"/>
  <c r="T167" i="3"/>
  <c r="R167" i="3"/>
  <c r="Q167" i="3"/>
  <c r="P167" i="3"/>
  <c r="H167" i="3"/>
  <c r="F167" i="3"/>
  <c r="U166" i="3"/>
  <c r="T166" i="3"/>
  <c r="R166" i="3"/>
  <c r="Q166" i="3"/>
  <c r="P166" i="3"/>
  <c r="H166" i="3"/>
  <c r="M166" i="3"/>
  <c r="F166" i="3"/>
  <c r="L166" i="3" s="1"/>
  <c r="E41" i="11" s="1"/>
  <c r="U165" i="3"/>
  <c r="T165" i="3"/>
  <c r="R165" i="3"/>
  <c r="Q165" i="3"/>
  <c r="P165" i="3"/>
  <c r="J165" i="3"/>
  <c r="H165" i="3"/>
  <c r="F165" i="3"/>
  <c r="U164" i="3"/>
  <c r="T164" i="3"/>
  <c r="R164" i="3"/>
  <c r="Q164" i="3"/>
  <c r="P164" i="3"/>
  <c r="H164" i="3"/>
  <c r="M164" i="3" s="1"/>
  <c r="F164" i="3"/>
  <c r="L164" i="3"/>
  <c r="E39" i="11" s="1"/>
  <c r="U163" i="3"/>
  <c r="T163" i="3"/>
  <c r="R163" i="3"/>
  <c r="Q163" i="3"/>
  <c r="P163" i="3"/>
  <c r="H163" i="3"/>
  <c r="M163" i="3" s="1"/>
  <c r="F163" i="3"/>
  <c r="L163" i="3"/>
  <c r="E38" i="11" s="1"/>
  <c r="U162" i="3"/>
  <c r="T162" i="3"/>
  <c r="R162" i="3"/>
  <c r="Q162" i="3"/>
  <c r="P162" i="3"/>
  <c r="H162" i="3"/>
  <c r="M162" i="3" s="1"/>
  <c r="F162" i="3"/>
  <c r="L162" i="3" s="1"/>
  <c r="E37" i="11" s="1"/>
  <c r="U161" i="3"/>
  <c r="T161" i="3"/>
  <c r="R161" i="3"/>
  <c r="Q161" i="3"/>
  <c r="P161" i="3"/>
  <c r="H161" i="3"/>
  <c r="F161" i="3"/>
  <c r="L161" i="3"/>
  <c r="E36" i="11" s="1"/>
  <c r="U160" i="3"/>
  <c r="T160" i="3"/>
  <c r="R160" i="3"/>
  <c r="Q160" i="3"/>
  <c r="P160" i="3"/>
  <c r="H160" i="3"/>
  <c r="F160" i="3"/>
  <c r="H159" i="3"/>
  <c r="M159" i="3"/>
  <c r="F159" i="3"/>
  <c r="L159" i="3"/>
  <c r="E34" i="11" s="1"/>
  <c r="H158" i="3"/>
  <c r="F158" i="3"/>
  <c r="L158" i="3" s="1"/>
  <c r="E33" i="11" s="1"/>
  <c r="J157" i="3"/>
  <c r="H157" i="3"/>
  <c r="F157" i="3"/>
  <c r="L157" i="3" s="1"/>
  <c r="E32" i="11" s="1"/>
  <c r="R153" i="3"/>
  <c r="R152" i="3"/>
  <c r="R151" i="3"/>
  <c r="R150" i="3"/>
  <c r="R149" i="3"/>
  <c r="R148" i="3"/>
  <c r="R147" i="3"/>
  <c r="R146" i="3"/>
  <c r="C21" i="11"/>
  <c r="R145" i="3"/>
  <c r="R144" i="3"/>
  <c r="R143" i="3"/>
  <c r="K143" i="3"/>
  <c r="H141" i="3"/>
  <c r="F141" i="3"/>
  <c r="H139" i="3"/>
  <c r="H137" i="3"/>
  <c r="G124" i="3"/>
  <c r="H103" i="3"/>
  <c r="G100" i="3"/>
  <c r="L83" i="3"/>
  <c r="K81" i="3"/>
  <c r="I81" i="3"/>
  <c r="H81" i="3"/>
  <c r="M81" i="3" s="1"/>
  <c r="E81" i="3"/>
  <c r="G81" i="3"/>
  <c r="C135" i="11"/>
  <c r="F135" i="11"/>
  <c r="K80" i="3"/>
  <c r="I80" i="3"/>
  <c r="H80" i="3"/>
  <c r="M80" i="3"/>
  <c r="E80" i="3"/>
  <c r="C134" i="11"/>
  <c r="F134" i="11"/>
  <c r="E79" i="3"/>
  <c r="E78" i="3"/>
  <c r="C132" i="11"/>
  <c r="E77" i="3"/>
  <c r="C131" i="11"/>
  <c r="E76" i="3"/>
  <c r="E75" i="3"/>
  <c r="E74" i="3"/>
  <c r="C128" i="11"/>
  <c r="E73" i="3"/>
  <c r="C127" i="11"/>
  <c r="E72" i="3"/>
  <c r="E71" i="3"/>
  <c r="E70" i="3"/>
  <c r="C124" i="11"/>
  <c r="H60" i="3"/>
  <c r="G60" i="3"/>
  <c r="E60" i="3"/>
  <c r="B59" i="3"/>
  <c r="E41" i="3"/>
  <c r="B143" i="11"/>
  <c r="I39" i="3"/>
  <c r="E39" i="3"/>
  <c r="E38" i="3"/>
  <c r="B140" i="11"/>
  <c r="D20" i="3"/>
  <c r="I18" i="3"/>
  <c r="F51" i="3"/>
  <c r="J17" i="3"/>
  <c r="E17" i="3"/>
  <c r="E16" i="3"/>
  <c r="I15" i="3"/>
  <c r="L14" i="3"/>
  <c r="M14" i="3"/>
  <c r="E15" i="3"/>
  <c r="E13" i="3"/>
  <c r="I12" i="3"/>
  <c r="I11" i="3"/>
  <c r="I9" i="3"/>
  <c r="E9" i="3"/>
  <c r="E60" i="2"/>
  <c r="A60" i="2"/>
  <c r="K56" i="2"/>
  <c r="K55" i="2"/>
  <c r="B34" i="2"/>
  <c r="A12" i="8" s="1"/>
  <c r="I30" i="2"/>
  <c r="D30" i="2"/>
  <c r="F29" i="2" s="1"/>
  <c r="C30" i="2"/>
  <c r="J22" i="2"/>
  <c r="F20" i="2"/>
  <c r="E20" i="2" s="1"/>
  <c r="A20" i="2"/>
  <c r="E16" i="2"/>
  <c r="A16" i="2"/>
  <c r="A5" i="2"/>
  <c r="G113" i="11"/>
  <c r="G112" i="11"/>
  <c r="M232" i="3"/>
  <c r="A58" i="4"/>
  <c r="B33" i="6"/>
  <c r="B27" i="8" s="1"/>
  <c r="A8" i="6"/>
  <c r="E2" i="7" s="1"/>
  <c r="E11" i="3"/>
  <c r="A9" i="6"/>
  <c r="A11" i="10" s="1"/>
  <c r="E50" i="3"/>
  <c r="E136" i="3"/>
  <c r="E48" i="3"/>
  <c r="E47" i="3"/>
  <c r="C66" i="11"/>
  <c r="D198" i="3"/>
  <c r="F197" i="3"/>
  <c r="G78" i="3"/>
  <c r="E49" i="3"/>
  <c r="V173" i="3"/>
  <c r="V181" i="3"/>
  <c r="K181" i="3"/>
  <c r="A19" i="6"/>
  <c r="C18" i="10"/>
  <c r="C17" i="6"/>
  <c r="H215" i="3"/>
  <c r="H213" i="3"/>
  <c r="I185" i="3"/>
  <c r="J184" i="3"/>
  <c r="J183" i="3"/>
  <c r="I180" i="3"/>
  <c r="J179" i="3"/>
  <c r="I176" i="3"/>
  <c r="J175" i="3"/>
  <c r="I172" i="3"/>
  <c r="J171" i="3"/>
  <c r="I168" i="3"/>
  <c r="J167" i="3"/>
  <c r="H214" i="3"/>
  <c r="I186" i="3"/>
  <c r="J182" i="3"/>
  <c r="J181" i="3"/>
  <c r="J180" i="3"/>
  <c r="I179" i="3"/>
  <c r="J174" i="3"/>
  <c r="J173" i="3"/>
  <c r="K173" i="3"/>
  <c r="J172" i="3"/>
  <c r="I171" i="3"/>
  <c r="J166" i="3"/>
  <c r="I163" i="3"/>
  <c r="J162" i="3"/>
  <c r="J158" i="3"/>
  <c r="I157" i="3"/>
  <c r="K157" i="3"/>
  <c r="I145" i="3"/>
  <c r="K145" i="3"/>
  <c r="J144" i="3"/>
  <c r="J143" i="3"/>
  <c r="H234" i="3"/>
  <c r="H230" i="3"/>
  <c r="H217" i="3"/>
  <c r="I217" i="3"/>
  <c r="E80" i="11" s="1"/>
  <c r="H216" i="3"/>
  <c r="I216" i="3" s="1"/>
  <c r="E79" i="11" s="1"/>
  <c r="H202" i="3"/>
  <c r="M186" i="3"/>
  <c r="L184" i="3"/>
  <c r="E59" i="11" s="1"/>
  <c r="I182" i="3"/>
  <c r="I183" i="3"/>
  <c r="J178" i="3"/>
  <c r="J177" i="3"/>
  <c r="J176" i="3"/>
  <c r="I175" i="3"/>
  <c r="M173" i="3"/>
  <c r="J170" i="3"/>
  <c r="J169" i="3"/>
  <c r="J168" i="3"/>
  <c r="I167" i="3"/>
  <c r="I165" i="3"/>
  <c r="J164" i="3"/>
  <c r="I161" i="3"/>
  <c r="J160" i="3"/>
  <c r="I159" i="3"/>
  <c r="J156" i="3"/>
  <c r="M160" i="3"/>
  <c r="I156" i="3"/>
  <c r="I144" i="3"/>
  <c r="I178" i="3"/>
  <c r="I170" i="3"/>
  <c r="I166" i="3"/>
  <c r="I164" i="3"/>
  <c r="L178" i="3"/>
  <c r="E53" i="11" s="1"/>
  <c r="L170" i="3"/>
  <c r="E45" i="11" s="1"/>
  <c r="M158" i="3"/>
  <c r="I143" i="3"/>
  <c r="J186" i="3"/>
  <c r="L182" i="3"/>
  <c r="E57" i="11" s="1"/>
  <c r="I174" i="3"/>
  <c r="L165" i="3"/>
  <c r="E40" i="11" s="1"/>
  <c r="I162" i="3"/>
  <c r="I160" i="3"/>
  <c r="J159" i="3"/>
  <c r="J145" i="3"/>
  <c r="C126" i="11"/>
  <c r="C130" i="11"/>
  <c r="J80" i="3"/>
  <c r="E134" i="11" s="1"/>
  <c r="J163" i="3"/>
  <c r="L167" i="3"/>
  <c r="E42" i="11"/>
  <c r="M170" i="3"/>
  <c r="I184" i="3"/>
  <c r="J185" i="3"/>
  <c r="A59" i="9"/>
  <c r="N8" i="9"/>
  <c r="N7" i="9"/>
  <c r="K29" i="9"/>
  <c r="A4" i="11"/>
  <c r="C125" i="11"/>
  <c r="C129" i="11"/>
  <c r="C133" i="11"/>
  <c r="G79" i="3"/>
  <c r="G80" i="3"/>
  <c r="J146" i="3"/>
  <c r="I158" i="3"/>
  <c r="K158" i="3"/>
  <c r="J161" i="3"/>
  <c r="M167" i="3"/>
  <c r="I169" i="3"/>
  <c r="M175" i="3"/>
  <c r="I177" i="3"/>
  <c r="M183" i="3"/>
  <c r="H247" i="3"/>
  <c r="I247" i="3" s="1"/>
  <c r="E96" i="11" s="1"/>
  <c r="G18" i="3"/>
  <c r="G63" i="3" s="1"/>
  <c r="E113" i="11" s="1"/>
  <c r="L173" i="3"/>
  <c r="E48" i="11"/>
  <c r="L176" i="3"/>
  <c r="E51" i="11" s="1"/>
  <c r="L177" i="3"/>
  <c r="E52" i="11" s="1"/>
  <c r="L180" i="3"/>
  <c r="E55" i="11" s="1"/>
  <c r="O212" i="3"/>
  <c r="J212" i="3"/>
  <c r="H212" i="3"/>
  <c r="N212" i="3"/>
  <c r="H246" i="3"/>
  <c r="I246" i="3" s="1"/>
  <c r="E95" i="11" s="1"/>
  <c r="C98" i="11"/>
  <c r="D98" i="11"/>
  <c r="C85" i="11"/>
  <c r="D85" i="11"/>
  <c r="D230" i="3"/>
  <c r="B35" i="6"/>
  <c r="B34" i="10"/>
  <c r="J81" i="3"/>
  <c r="E135" i="11" s="1"/>
  <c r="I146" i="3"/>
  <c r="K146" i="3"/>
  <c r="D147" i="3"/>
  <c r="I147" i="3"/>
  <c r="M157" i="3"/>
  <c r="L160" i="3"/>
  <c r="E35" i="11" s="1"/>
  <c r="M161" i="3"/>
  <c r="M165" i="3"/>
  <c r="M168" i="3"/>
  <c r="M172" i="3"/>
  <c r="M176" i="3"/>
  <c r="L183" i="3"/>
  <c r="E58" i="11" s="1"/>
  <c r="P218" i="3"/>
  <c r="G218" i="3"/>
  <c r="H218" i="3"/>
  <c r="I218" i="3" s="1"/>
  <c r="E81" i="11" s="1"/>
  <c r="H232" i="3"/>
  <c r="I232" i="3" s="1"/>
  <c r="E88" i="11" s="1"/>
  <c r="H249" i="3"/>
  <c r="I249" i="3"/>
  <c r="E98" i="11"/>
  <c r="J5" i="4"/>
  <c r="M196" i="3"/>
  <c r="M197" i="3"/>
  <c r="M198" i="3"/>
  <c r="M199" i="3"/>
  <c r="M200" i="3"/>
  <c r="I202" i="3"/>
  <c r="E71" i="11" s="1"/>
  <c r="M217" i="3"/>
  <c r="I228" i="3"/>
  <c r="H250" i="3"/>
  <c r="I250" i="3"/>
  <c r="E99" i="11" s="1"/>
  <c r="M215" i="3"/>
  <c r="M213" i="3"/>
  <c r="M214" i="3"/>
  <c r="M212" i="3"/>
  <c r="M202" i="3"/>
  <c r="F196" i="3"/>
  <c r="H203" i="3"/>
  <c r="M216" i="3"/>
  <c r="O228" i="3"/>
  <c r="J228" i="3"/>
  <c r="K228" i="3"/>
  <c r="M230" i="3"/>
  <c r="M234" i="3"/>
  <c r="O244" i="3"/>
  <c r="J244" i="3"/>
  <c r="F244" i="3"/>
  <c r="N244" i="3"/>
  <c r="H244" i="3"/>
  <c r="I244" i="3" s="1"/>
  <c r="M249" i="3"/>
  <c r="M247" i="3"/>
  <c r="M245" i="3"/>
  <c r="M233" i="3"/>
  <c r="M231" i="3"/>
  <c r="M229" i="3"/>
  <c r="M250" i="3"/>
  <c r="M246" i="3"/>
  <c r="M228" i="3"/>
  <c r="M185" i="3"/>
  <c r="M201" i="3"/>
  <c r="I203" i="3"/>
  <c r="E72" i="11"/>
  <c r="M203" i="3"/>
  <c r="I212" i="3"/>
  <c r="D213" i="3"/>
  <c r="N228" i="3"/>
  <c r="C94" i="11"/>
  <c r="D94" i="11"/>
  <c r="F57" i="4"/>
  <c r="G111" i="11"/>
  <c r="B32" i="10"/>
  <c r="C76" i="11"/>
  <c r="D76" i="11"/>
  <c r="D214" i="3"/>
  <c r="I213" i="3"/>
  <c r="E76" i="11" s="1"/>
  <c r="C86" i="11"/>
  <c r="D86" i="11"/>
  <c r="D231" i="3"/>
  <c r="I230" i="3"/>
  <c r="E86" i="11"/>
  <c r="E198" i="11"/>
  <c r="F69" i="5"/>
  <c r="H79" i="3"/>
  <c r="H78" i="3"/>
  <c r="M78" i="3" s="1"/>
  <c r="K62" i="3"/>
  <c r="V169" i="3"/>
  <c r="K169" i="3"/>
  <c r="K160" i="3"/>
  <c r="V160" i="3"/>
  <c r="V166" i="3"/>
  <c r="K166" i="3"/>
  <c r="V183" i="3"/>
  <c r="K183" i="3"/>
  <c r="K185" i="3"/>
  <c r="V185" i="3"/>
  <c r="C67" i="11"/>
  <c r="D199" i="3"/>
  <c r="F198" i="3"/>
  <c r="C22" i="11"/>
  <c r="D148" i="3"/>
  <c r="C23" i="11"/>
  <c r="J147" i="3"/>
  <c r="K162" i="3"/>
  <c r="V162" i="3"/>
  <c r="V170" i="3"/>
  <c r="K170" i="3"/>
  <c r="K159" i="3"/>
  <c r="V165" i="3"/>
  <c r="K165" i="3"/>
  <c r="V182" i="3"/>
  <c r="K182" i="3"/>
  <c r="V172" i="3"/>
  <c r="K172" i="3"/>
  <c r="V180" i="3"/>
  <c r="K180" i="3"/>
  <c r="V177" i="3"/>
  <c r="K177" i="3"/>
  <c r="V178" i="3"/>
  <c r="K178" i="3"/>
  <c r="V167" i="3"/>
  <c r="K167" i="3"/>
  <c r="V171" i="3"/>
  <c r="K171" i="3"/>
  <c r="V184" i="3"/>
  <c r="K184" i="3"/>
  <c r="V174" i="3"/>
  <c r="K174" i="3"/>
  <c r="V164" i="3"/>
  <c r="K164" i="3"/>
  <c r="V161" i="3"/>
  <c r="K161" i="3"/>
  <c r="K175" i="3"/>
  <c r="V175" i="3"/>
  <c r="V163" i="3"/>
  <c r="K163" i="3"/>
  <c r="K179" i="3"/>
  <c r="V179" i="3"/>
  <c r="V186" i="3"/>
  <c r="K186" i="3"/>
  <c r="V168" i="3"/>
  <c r="K168" i="3"/>
  <c r="V176" i="3"/>
  <c r="K176" i="3"/>
  <c r="C68" i="11"/>
  <c r="D200" i="3"/>
  <c r="F199" i="3"/>
  <c r="C87" i="11"/>
  <c r="D87" i="11"/>
  <c r="D232" i="3"/>
  <c r="J148" i="3"/>
  <c r="D133" i="11"/>
  <c r="M79" i="3"/>
  <c r="J79" i="3"/>
  <c r="E133" i="11" s="1"/>
  <c r="C77" i="11"/>
  <c r="D77" i="11"/>
  <c r="D215" i="3"/>
  <c r="I214" i="3"/>
  <c r="E77" i="11"/>
  <c r="D132" i="11"/>
  <c r="J78" i="3"/>
  <c r="E132" i="11" s="1"/>
  <c r="I78" i="3"/>
  <c r="F132" i="11"/>
  <c r="I79" i="3"/>
  <c r="F133" i="11"/>
  <c r="K78" i="3"/>
  <c r="C78" i="11"/>
  <c r="D78" i="11"/>
  <c r="D216" i="3"/>
  <c r="I215" i="3"/>
  <c r="E78" i="11" s="1"/>
  <c r="C88" i="11"/>
  <c r="D88" i="11"/>
  <c r="D233" i="3"/>
  <c r="K79" i="3"/>
  <c r="C69" i="11"/>
  <c r="F200" i="3"/>
  <c r="C89" i="11"/>
  <c r="D89" i="11"/>
  <c r="D234" i="3"/>
  <c r="C79" i="11"/>
  <c r="D79" i="11"/>
  <c r="C90" i="11"/>
  <c r="D90" i="11"/>
  <c r="I234" i="3"/>
  <c r="E90" i="11"/>
  <c r="C26" i="11"/>
  <c r="I151" i="3"/>
  <c r="J151" i="3"/>
  <c r="C27" i="11"/>
  <c r="J152" i="3"/>
  <c r="I152" i="3"/>
  <c r="K144" i="3"/>
  <c r="K152" i="3"/>
  <c r="K147" i="3"/>
  <c r="K151" i="3"/>
  <c r="K156" i="3"/>
  <c r="C28" i="11"/>
  <c r="I153" i="3"/>
  <c r="J153" i="3"/>
  <c r="D154" i="3"/>
  <c r="D149" i="3"/>
  <c r="I148" i="3"/>
  <c r="K148" i="3"/>
  <c r="D16" i="5"/>
  <c r="J3" i="4"/>
  <c r="N5" i="9"/>
  <c r="A16" i="8"/>
  <c r="F156" i="3"/>
  <c r="L156" i="3"/>
  <c r="E31" i="11"/>
  <c r="A18" i="8"/>
  <c r="A17" i="8"/>
  <c r="E6" i="3"/>
  <c r="I5" i="6" s="1"/>
  <c r="A5" i="6"/>
  <c r="L2" i="7" s="1"/>
  <c r="A16" i="4"/>
  <c r="A20" i="5" s="1"/>
  <c r="A16" i="9"/>
  <c r="B36" i="8"/>
  <c r="I154" i="3"/>
  <c r="J154" i="3"/>
  <c r="C29" i="11"/>
  <c r="D29" i="11"/>
  <c r="D155" i="3"/>
  <c r="K153" i="3"/>
  <c r="C24" i="11"/>
  <c r="I149" i="3"/>
  <c r="D150" i="3"/>
  <c r="J149" i="3"/>
  <c r="M156" i="3"/>
  <c r="K154" i="3"/>
  <c r="I155" i="3"/>
  <c r="C30" i="11"/>
  <c r="D30" i="11"/>
  <c r="J155" i="3"/>
  <c r="C25" i="11"/>
  <c r="I150" i="3"/>
  <c r="J150" i="3"/>
  <c r="K149" i="3"/>
  <c r="B94" i="11"/>
  <c r="B95" i="11"/>
  <c r="B96" i="11"/>
  <c r="B97" i="11"/>
  <c r="B98" i="11"/>
  <c r="B99" i="11"/>
  <c r="B66" i="11"/>
  <c r="B67" i="11"/>
  <c r="B68" i="11"/>
  <c r="B69" i="11"/>
  <c r="B70" i="11"/>
  <c r="B71" i="11"/>
  <c r="B72" i="11"/>
  <c r="B85" i="11"/>
  <c r="B86" i="11"/>
  <c r="B87" i="11"/>
  <c r="B88" i="11"/>
  <c r="B89" i="11"/>
  <c r="B90" i="11"/>
  <c r="K155" i="3"/>
  <c r="B76" i="11"/>
  <c r="B77" i="11"/>
  <c r="B78" i="11"/>
  <c r="B79" i="11"/>
  <c r="B80" i="11"/>
  <c r="B81" i="11"/>
  <c r="K150" i="3"/>
  <c r="H187" i="3"/>
  <c r="J3" i="2" l="1"/>
  <c r="D30" i="6" s="1"/>
  <c r="H2" i="8" s="1"/>
  <c r="J2" i="2"/>
  <c r="K6" i="3" s="1"/>
  <c r="D28" i="6"/>
  <c r="B13" i="5"/>
  <c r="E4" i="11"/>
  <c r="A19" i="8"/>
  <c r="G2" i="7"/>
  <c r="A14" i="8"/>
  <c r="A10" i="10"/>
  <c r="A30" i="8"/>
  <c r="A13" i="10"/>
  <c r="E137" i="3"/>
  <c r="C23" i="8"/>
  <c r="J4" i="4"/>
  <c r="N6" i="9"/>
  <c r="A33" i="9" s="1"/>
  <c r="A12" i="10"/>
  <c r="G61" i="3"/>
  <c r="E111" i="11" s="1"/>
  <c r="E18" i="3"/>
  <c r="E84" i="3"/>
  <c r="I19" i="2"/>
  <c r="K33" i="4"/>
  <c r="J29" i="4" s="1"/>
  <c r="C19" i="5"/>
  <c r="K32" i="9"/>
  <c r="J28" i="9" s="1"/>
  <c r="A50" i="8"/>
  <c r="K63" i="3"/>
  <c r="F2" i="7"/>
  <c r="I13" i="3"/>
  <c r="A8" i="10"/>
  <c r="E10" i="3"/>
  <c r="N3" i="9"/>
  <c r="G62" i="3"/>
  <c r="E112" i="11" s="1"/>
  <c r="E14" i="3"/>
  <c r="K61" i="3"/>
  <c r="E7" i="3"/>
  <c r="B34" i="6"/>
  <c r="B33" i="10" s="1"/>
  <c r="J1" i="4"/>
  <c r="A16" i="6"/>
  <c r="J22" i="9"/>
  <c r="N4" i="9" s="1"/>
  <c r="A61" i="2"/>
  <c r="A60" i="9"/>
  <c r="A70" i="5"/>
  <c r="B2" i="7"/>
  <c r="B29" i="8" l="1"/>
  <c r="D24" i="10"/>
  <c r="A44" i="9"/>
  <c r="A41" i="9"/>
  <c r="A18" i="9"/>
  <c r="A18" i="4"/>
  <c r="A40" i="4"/>
  <c r="A44" i="4"/>
  <c r="I2" i="7"/>
  <c r="A26" i="8"/>
  <c r="A17" i="10"/>
  <c r="L107" i="3"/>
  <c r="M107" i="3" s="1"/>
  <c r="E168" i="11" s="1"/>
  <c r="F116" i="3"/>
  <c r="G116" i="3" s="1"/>
  <c r="F105" i="3"/>
  <c r="G105" i="3" s="1"/>
  <c r="I91" i="3"/>
  <c r="J91" i="3" s="1"/>
  <c r="D152" i="11" s="1"/>
  <c r="I129" i="3"/>
  <c r="J129" i="3" s="1"/>
  <c r="D190" i="11" s="1"/>
  <c r="L118" i="3"/>
  <c r="M118" i="3" s="1"/>
  <c r="E179" i="11" s="1"/>
  <c r="I95" i="3"/>
  <c r="J95" i="3" s="1"/>
  <c r="D156" i="11" s="1"/>
  <c r="H146" i="3"/>
  <c r="I94" i="3"/>
  <c r="J94" i="3" s="1"/>
  <c r="D155" i="11" s="1"/>
  <c r="H154" i="3"/>
  <c r="G200" i="3"/>
  <c r="I93" i="3"/>
  <c r="J93" i="3" s="1"/>
  <c r="D154" i="11" s="1"/>
  <c r="G198" i="3"/>
  <c r="L105" i="3"/>
  <c r="M105" i="3" s="1"/>
  <c r="E166" i="11" s="1"/>
  <c r="F145" i="3"/>
  <c r="H149" i="3"/>
  <c r="M149" i="3" s="1"/>
  <c r="H155" i="3"/>
  <c r="F150" i="3"/>
  <c r="H144" i="3"/>
  <c r="L94" i="3"/>
  <c r="M94" i="3" s="1"/>
  <c r="E155" i="11" s="1"/>
  <c r="H150" i="3"/>
  <c r="H147" i="3"/>
  <c r="L116" i="3"/>
  <c r="M116" i="3" s="1"/>
  <c r="E177" i="11" s="1"/>
  <c r="F118" i="3"/>
  <c r="G118" i="3" s="1"/>
  <c r="H152" i="3"/>
  <c r="H148" i="3"/>
  <c r="F95" i="3"/>
  <c r="G95" i="3" s="1"/>
  <c r="F115" i="3"/>
  <c r="G115" i="3" s="1"/>
  <c r="I103" i="3"/>
  <c r="J103" i="3" s="1"/>
  <c r="D164" i="11" s="1"/>
  <c r="F128" i="3"/>
  <c r="G128" i="3" s="1"/>
  <c r="F104" i="3"/>
  <c r="G104" i="3" s="1"/>
  <c r="I128" i="3"/>
  <c r="J128" i="3" s="1"/>
  <c r="D189" i="11" s="1"/>
  <c r="I119" i="3"/>
  <c r="J119" i="3" s="1"/>
  <c r="D180" i="11" s="1"/>
  <c r="L106" i="3"/>
  <c r="M106" i="3" s="1"/>
  <c r="E167" i="11" s="1"/>
  <c r="F91" i="3"/>
  <c r="G91" i="3" s="1"/>
  <c r="F93" i="3"/>
  <c r="G93" i="3" s="1"/>
  <c r="I115" i="3"/>
  <c r="J115" i="3" s="1"/>
  <c r="D176" i="11" s="1"/>
  <c r="I127" i="3"/>
  <c r="J127" i="3" s="1"/>
  <c r="D188" i="11" s="1"/>
  <c r="I117" i="3"/>
  <c r="J117" i="3" s="1"/>
  <c r="D178" i="11" s="1"/>
  <c r="F119" i="3"/>
  <c r="G119" i="3" s="1"/>
  <c r="F107" i="3"/>
  <c r="G107" i="3" s="1"/>
  <c r="L119" i="3"/>
  <c r="M119" i="3" s="1"/>
  <c r="E180" i="11" s="1"/>
  <c r="L131" i="3"/>
  <c r="M131" i="3" s="1"/>
  <c r="E192" i="11" s="1"/>
  <c r="H153" i="3"/>
  <c r="L117" i="3"/>
  <c r="M117" i="3" s="1"/>
  <c r="E178" i="11" s="1"/>
  <c r="L92" i="3"/>
  <c r="M92" i="3" s="1"/>
  <c r="E153" i="11" s="1"/>
  <c r="H145" i="3"/>
  <c r="F92" i="3"/>
  <c r="G92" i="3" s="1"/>
  <c r="G197" i="3"/>
  <c r="L104" i="3"/>
  <c r="M104" i="3" s="1"/>
  <c r="E165" i="11" s="1"/>
  <c r="F143" i="3"/>
  <c r="L143" i="3" s="1"/>
  <c r="F147" i="3"/>
  <c r="L147" i="3" s="1"/>
  <c r="L103" i="3"/>
  <c r="M103" i="3" s="1"/>
  <c r="E164" i="11" s="1"/>
  <c r="F130" i="3"/>
  <c r="G130" i="3" s="1"/>
  <c r="F155" i="3"/>
  <c r="F94" i="3"/>
  <c r="G94" i="3" s="1"/>
  <c r="G199" i="3"/>
  <c r="L130" i="3"/>
  <c r="M130" i="3" s="1"/>
  <c r="E191" i="11" s="1"/>
  <c r="F151" i="3"/>
  <c r="L95" i="3"/>
  <c r="M95" i="3" s="1"/>
  <c r="E156" i="11" s="1"/>
  <c r="F146" i="3"/>
  <c r="F149" i="3"/>
  <c r="F154" i="3"/>
  <c r="L154" i="3" s="1"/>
  <c r="E29" i="11" s="1"/>
  <c r="I118" i="3"/>
  <c r="J118" i="3" s="1"/>
  <c r="D179" i="11" s="1"/>
  <c r="I105" i="3"/>
  <c r="J105" i="3" s="1"/>
  <c r="D166" i="11" s="1"/>
  <c r="I106" i="3"/>
  <c r="J106" i="3" s="1"/>
  <c r="D167" i="11" s="1"/>
  <c r="H151" i="3"/>
  <c r="F144" i="3"/>
  <c r="L91" i="3"/>
  <c r="M91" i="3" s="1"/>
  <c r="E152" i="11" s="1"/>
  <c r="L115" i="3"/>
  <c r="M115" i="3" s="1"/>
  <c r="E176" i="11" s="1"/>
  <c r="F117" i="3"/>
  <c r="G117" i="3" s="1"/>
  <c r="I107" i="3"/>
  <c r="J107" i="3" s="1"/>
  <c r="D168" i="11" s="1"/>
  <c r="F153" i="3"/>
  <c r="I92" i="3"/>
  <c r="J92" i="3" s="1"/>
  <c r="D153" i="11" s="1"/>
  <c r="F127" i="3"/>
  <c r="G127" i="3" s="1"/>
  <c r="H143" i="3"/>
  <c r="M143" i="3" s="1"/>
  <c r="F106" i="3"/>
  <c r="G106" i="3" s="1"/>
  <c r="I116" i="3"/>
  <c r="J116" i="3" s="1"/>
  <c r="D177" i="11" s="1"/>
  <c r="I104" i="3"/>
  <c r="J104" i="3" s="1"/>
  <c r="D165" i="11" s="1"/>
  <c r="F129" i="3"/>
  <c r="G129" i="3" s="1"/>
  <c r="F103" i="3"/>
  <c r="G103" i="3" s="1"/>
  <c r="F148" i="3"/>
  <c r="L129" i="3"/>
  <c r="M129" i="3" s="1"/>
  <c r="E190" i="11" s="1"/>
  <c r="L127" i="3"/>
  <c r="M127" i="3" s="1"/>
  <c r="E188" i="11" s="1"/>
  <c r="I130" i="3"/>
  <c r="J130" i="3" s="1"/>
  <c r="D191" i="11" s="1"/>
  <c r="L128" i="3"/>
  <c r="M128" i="3" s="1"/>
  <c r="E189" i="11" s="1"/>
  <c r="L93" i="3"/>
  <c r="M93" i="3" s="1"/>
  <c r="E154" i="11" s="1"/>
  <c r="I131" i="3"/>
  <c r="J131" i="3" s="1"/>
  <c r="D192" i="11" s="1"/>
  <c r="F152" i="3"/>
  <c r="F131" i="3"/>
  <c r="G131" i="3" s="1"/>
  <c r="F24" i="6"/>
  <c r="D24" i="6"/>
  <c r="I10" i="6"/>
  <c r="I14" i="6"/>
  <c r="J198" i="3"/>
  <c r="J201" i="3"/>
  <c r="P152" i="3"/>
  <c r="G71" i="3"/>
  <c r="H71" i="3" s="1"/>
  <c r="H136" i="3"/>
  <c r="P149" i="3"/>
  <c r="G70" i="3"/>
  <c r="H70" i="3" s="1"/>
  <c r="G77" i="3"/>
  <c r="H77" i="3" s="1"/>
  <c r="G73" i="3"/>
  <c r="H73" i="3" s="1"/>
  <c r="J199" i="3"/>
  <c r="G76" i="3"/>
  <c r="H76" i="3" s="1"/>
  <c r="G74" i="3"/>
  <c r="H74" i="3" s="1"/>
  <c r="J197" i="3"/>
  <c r="P151" i="3"/>
  <c r="J200" i="3"/>
  <c r="E51" i="3"/>
  <c r="P150" i="3"/>
  <c r="P148" i="3"/>
  <c r="P147" i="3"/>
  <c r="J196" i="3"/>
  <c r="G72" i="3"/>
  <c r="H72" i="3" s="1"/>
  <c r="P144" i="3"/>
  <c r="A6" i="6"/>
  <c r="P146" i="3"/>
  <c r="P153" i="3"/>
  <c r="G75" i="3"/>
  <c r="H75" i="3" s="1"/>
  <c r="P145" i="3"/>
  <c r="P143" i="3"/>
  <c r="C156" i="11" l="1"/>
  <c r="N95" i="3"/>
  <c r="F156" i="11" s="1"/>
  <c r="M152" i="3"/>
  <c r="N92" i="3"/>
  <c r="F153" i="11" s="1"/>
  <c r="C153" i="11"/>
  <c r="C154" i="11"/>
  <c r="N93" i="3"/>
  <c r="F154" i="11" s="1"/>
  <c r="N118" i="3"/>
  <c r="F179" i="11" s="1"/>
  <c r="C179" i="11"/>
  <c r="N115" i="3"/>
  <c r="C176" i="11"/>
  <c r="I49" i="3"/>
  <c r="F50" i="3"/>
  <c r="F49" i="3"/>
  <c r="I51" i="3"/>
  <c r="I50" i="3"/>
  <c r="F48" i="3"/>
  <c r="M148" i="3"/>
  <c r="N117" i="3"/>
  <c r="F178" i="11" s="1"/>
  <c r="C178" i="11"/>
  <c r="L151" i="3"/>
  <c r="M145" i="3"/>
  <c r="N91" i="3"/>
  <c r="C152" i="11"/>
  <c r="H200" i="3"/>
  <c r="I200" i="3"/>
  <c r="N119" i="3"/>
  <c r="F180" i="11" s="1"/>
  <c r="C180" i="11"/>
  <c r="H201" i="3"/>
  <c r="I201" i="3"/>
  <c r="I196" i="3"/>
  <c r="H196" i="3"/>
  <c r="N105" i="3"/>
  <c r="F166" i="11" s="1"/>
  <c r="C166" i="11"/>
  <c r="H198" i="3"/>
  <c r="I198" i="3"/>
  <c r="J74" i="3"/>
  <c r="D128" i="11"/>
  <c r="M74" i="3"/>
  <c r="L148" i="3"/>
  <c r="M147" i="3"/>
  <c r="M154" i="3"/>
  <c r="L145" i="3"/>
  <c r="L149" i="3"/>
  <c r="L153" i="3"/>
  <c r="J75" i="3"/>
  <c r="M75" i="3"/>
  <c r="D129" i="11"/>
  <c r="M76" i="3"/>
  <c r="J76" i="3"/>
  <c r="D130" i="11"/>
  <c r="C164" i="11"/>
  <c r="N103" i="3"/>
  <c r="H199" i="3"/>
  <c r="I199" i="3"/>
  <c r="M150" i="3"/>
  <c r="N127" i="3"/>
  <c r="C188" i="11"/>
  <c r="A15" i="8"/>
  <c r="D2" i="7"/>
  <c r="C190" i="11"/>
  <c r="N129" i="3"/>
  <c r="F190" i="11" s="1"/>
  <c r="L144" i="3"/>
  <c r="C155" i="11"/>
  <c r="N94" i="3"/>
  <c r="F155" i="11" s="1"/>
  <c r="M153" i="3"/>
  <c r="M146" i="3"/>
  <c r="M72" i="3"/>
  <c r="J72" i="3"/>
  <c r="D126" i="11"/>
  <c r="J73" i="3"/>
  <c r="D127" i="11"/>
  <c r="M73" i="3"/>
  <c r="M151" i="3"/>
  <c r="L155" i="3"/>
  <c r="E30" i="11" s="1"/>
  <c r="N104" i="3"/>
  <c r="F165" i="11" s="1"/>
  <c r="C165" i="11"/>
  <c r="M144" i="3"/>
  <c r="E22" i="11"/>
  <c r="J71" i="3"/>
  <c r="M71" i="3"/>
  <c r="D125" i="11"/>
  <c r="C177" i="11"/>
  <c r="N116" i="3"/>
  <c r="F177" i="11" s="1"/>
  <c r="L146" i="3"/>
  <c r="D131" i="11"/>
  <c r="J77" i="3"/>
  <c r="M77" i="3"/>
  <c r="C192" i="11"/>
  <c r="N131" i="3"/>
  <c r="F192" i="11" s="1"/>
  <c r="N130" i="3"/>
  <c r="F191" i="11" s="1"/>
  <c r="C191" i="11"/>
  <c r="C189" i="11"/>
  <c r="N128" i="3"/>
  <c r="F189" i="11" s="1"/>
  <c r="L150" i="3"/>
  <c r="V143" i="3"/>
  <c r="E18" i="11"/>
  <c r="I197" i="3"/>
  <c r="H197" i="3"/>
  <c r="H83" i="3"/>
  <c r="D124" i="11"/>
  <c r="H84" i="3"/>
  <c r="M70" i="3"/>
  <c r="J70" i="3"/>
  <c r="L152" i="3"/>
  <c r="C167" i="11"/>
  <c r="N106" i="3"/>
  <c r="F167" i="11" s="1"/>
  <c r="N107" i="3"/>
  <c r="F168" i="11" s="1"/>
  <c r="C168" i="11"/>
  <c r="M155" i="3"/>
  <c r="E125" i="11" l="1"/>
  <c r="E129" i="11"/>
  <c r="E67" i="11"/>
  <c r="F188" i="11"/>
  <c r="N132" i="3"/>
  <c r="K132" i="3"/>
  <c r="E68" i="11"/>
  <c r="E20" i="11"/>
  <c r="E69" i="11"/>
  <c r="E24" i="11"/>
  <c r="N96" i="3"/>
  <c r="K96" i="3"/>
  <c r="F152" i="11"/>
  <c r="E130" i="11"/>
  <c r="K76" i="3"/>
  <c r="E128" i="11"/>
  <c r="E126" i="11"/>
  <c r="K72" i="3"/>
  <c r="V146" i="3"/>
  <c r="E21" i="11"/>
  <c r="K108" i="3"/>
  <c r="F164" i="11"/>
  <c r="N108" i="3"/>
  <c r="K77" i="3"/>
  <c r="E131" i="11"/>
  <c r="U151" i="3"/>
  <c r="D26" i="11" s="1"/>
  <c r="U145" i="3"/>
  <c r="D20" i="11" s="1"/>
  <c r="I75" i="3"/>
  <c r="F129" i="11" s="1"/>
  <c r="N62" i="3"/>
  <c r="I76" i="3"/>
  <c r="F130" i="11" s="1"/>
  <c r="I77" i="3"/>
  <c r="F131" i="11" s="1"/>
  <c r="G125" i="3"/>
  <c r="U153" i="3"/>
  <c r="D28" i="11" s="1"/>
  <c r="U148" i="3"/>
  <c r="D23" i="11" s="1"/>
  <c r="U149" i="3"/>
  <c r="D24" i="11" s="1"/>
  <c r="I73" i="3"/>
  <c r="F127" i="11" s="1"/>
  <c r="O201" i="3"/>
  <c r="D70" i="11" s="1"/>
  <c r="U146" i="3"/>
  <c r="D21" i="11" s="1"/>
  <c r="O199" i="3"/>
  <c r="D68" i="11" s="1"/>
  <c r="N61" i="3"/>
  <c r="U152" i="3"/>
  <c r="D27" i="11" s="1"/>
  <c r="I70" i="3"/>
  <c r="F124" i="11" s="1"/>
  <c r="O200" i="3"/>
  <c r="D69" i="11" s="1"/>
  <c r="N63" i="3"/>
  <c r="U150" i="3"/>
  <c r="D25" i="11" s="1"/>
  <c r="O198" i="3"/>
  <c r="D67" i="11" s="1"/>
  <c r="G89" i="3"/>
  <c r="I74" i="3"/>
  <c r="F128" i="11" s="1"/>
  <c r="I72" i="3"/>
  <c r="F126" i="11" s="1"/>
  <c r="O197" i="3"/>
  <c r="D66" i="11" s="1"/>
  <c r="G113" i="3"/>
  <c r="O196" i="3"/>
  <c r="U147" i="3"/>
  <c r="I71" i="3"/>
  <c r="F125" i="11" s="1"/>
  <c r="G101" i="3"/>
  <c r="U144" i="3"/>
  <c r="D19" i="11" s="1"/>
  <c r="E25" i="11"/>
  <c r="V150" i="3"/>
  <c r="E19" i="11"/>
  <c r="V144" i="3"/>
  <c r="E23" i="11"/>
  <c r="P196" i="3"/>
  <c r="V151" i="3"/>
  <c r="E26" i="11"/>
  <c r="E127" i="11"/>
  <c r="E28" i="11"/>
  <c r="V153" i="3"/>
  <c r="E66" i="11"/>
  <c r="P197" i="3"/>
  <c r="E27" i="11"/>
  <c r="V152" i="3"/>
  <c r="K70" i="3"/>
  <c r="E124" i="11"/>
  <c r="E70" i="11"/>
  <c r="P201" i="3"/>
  <c r="F176" i="11"/>
  <c r="N120" i="3"/>
  <c r="K120" i="3"/>
  <c r="K74" i="3" l="1"/>
  <c r="D109" i="3"/>
  <c r="N109" i="3"/>
  <c r="P199" i="3"/>
  <c r="E158" i="11"/>
  <c r="E157" i="11"/>
  <c r="Q150" i="3"/>
  <c r="T150" i="3" s="1"/>
  <c r="K196" i="3"/>
  <c r="N196" i="3" s="1"/>
  <c r="Q148" i="3"/>
  <c r="T148" i="3" s="1"/>
  <c r="Q147" i="3"/>
  <c r="T147" i="3" s="1"/>
  <c r="Q153" i="3"/>
  <c r="T153" i="3" s="1"/>
  <c r="K197" i="3"/>
  <c r="N197" i="3" s="1"/>
  <c r="K199" i="3"/>
  <c r="N199" i="3" s="1"/>
  <c r="Q151" i="3"/>
  <c r="T151" i="3" s="1"/>
  <c r="Q145" i="3"/>
  <c r="T145" i="3" s="1"/>
  <c r="Q152" i="3"/>
  <c r="T152" i="3" s="1"/>
  <c r="Q149" i="3"/>
  <c r="T149" i="3" s="1"/>
  <c r="Q146" i="3"/>
  <c r="T146" i="3" s="1"/>
  <c r="K200" i="3"/>
  <c r="N200" i="3" s="1"/>
  <c r="Q143" i="3"/>
  <c r="T143" i="3" s="1"/>
  <c r="K198" i="3"/>
  <c r="N198" i="3" s="1"/>
  <c r="K201" i="3"/>
  <c r="N201" i="3" s="1"/>
  <c r="Q144" i="3"/>
  <c r="T144" i="3" s="1"/>
  <c r="E181" i="11"/>
  <c r="E182" i="11"/>
  <c r="N97" i="3"/>
  <c r="D97" i="3"/>
  <c r="P198" i="3"/>
  <c r="E193" i="11"/>
  <c r="E194" i="11"/>
  <c r="K73" i="3"/>
  <c r="D22" i="11"/>
  <c r="V147" i="3"/>
  <c r="N133" i="3"/>
  <c r="D133" i="3"/>
  <c r="V149" i="3"/>
  <c r="E170" i="11"/>
  <c r="E169" i="11"/>
  <c r="D121" i="3"/>
  <c r="N121" i="3"/>
  <c r="P200" i="3"/>
  <c r="K75" i="3"/>
  <c r="V148" i="3"/>
  <c r="P204" i="3" s="1"/>
  <c r="K71" i="3"/>
  <c r="V145" i="3"/>
  <c r="P235" i="3" s="1"/>
  <c r="N135" i="3" l="1"/>
  <c r="P219" i="3"/>
  <c r="P251" i="3"/>
  <c r="K82" i="3"/>
  <c r="D23" i="6" l="1"/>
  <c r="F23" i="6"/>
  <c r="D82" i="3"/>
  <c r="F22" i="6"/>
  <c r="D22" i="6"/>
  <c r="A27" i="6" l="1"/>
  <c r="A31" i="4"/>
  <c r="A14" i="9"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Mariela</author>
    <author>Usuario</author>
    <author>Pablo Siklosi Avila</author>
  </authors>
  <commentList>
    <comment ref="C14" authorId="0" shapeId="0" xr:uid="{00000000-0006-0000-0100-000001000000}">
      <text>
        <r>
          <rPr>
            <sz val="10"/>
            <rFont val="Arial"/>
            <family val="2"/>
          </rPr>
          <t>datos de la constacia de CUIT</t>
        </r>
      </text>
    </comment>
    <comment ref="C18" authorId="0" shapeId="0" xr:uid="{00000000-0006-0000-0100-000002000000}">
      <text>
        <r>
          <rPr>
            <sz val="10"/>
            <rFont val="Arial"/>
            <family val="2"/>
          </rPr>
          <t>(*) ubicación del instrumento!!</t>
        </r>
      </text>
    </comment>
    <comment ref="B31" authorId="1" shapeId="0" xr:uid="{00000000-0006-0000-0100-000003000000}">
      <text>
        <r>
          <rPr>
            <sz val="10"/>
            <rFont val="Arial"/>
            <family val="2"/>
          </rPr>
          <t>Usuario:
Número de disposción de AM que se baja del SOL.</t>
        </r>
      </text>
    </comment>
    <comment ref="F31" authorId="1" shapeId="0" xr:uid="{00000000-0006-0000-0100-000004000000}">
      <text>
        <r>
          <rPr>
            <sz val="10"/>
            <rFont val="Arial"/>
            <family val="2"/>
          </rPr>
          <t>Usuario:
Número de disposición de AM que se baja del SOL</t>
        </r>
      </text>
    </comment>
    <comment ref="B32" authorId="1" shapeId="0" xr:uid="{00000000-0006-0000-0100-000005000000}">
      <text>
        <r>
          <rPr>
            <sz val="10"/>
            <rFont val="Arial"/>
            <family val="2"/>
          </rPr>
          <t>Usuario:
Fecha de la disposición de AM que de baja del SOL.</t>
        </r>
      </text>
    </comment>
    <comment ref="F32" authorId="1" shapeId="0" xr:uid="{00000000-0006-0000-0100-000006000000}">
      <text>
        <r>
          <rPr>
            <sz val="10"/>
            <rFont val="Arial"/>
            <family val="2"/>
          </rPr>
          <t>Usuario:
Fecha de la disposición de AM que se baja del SOL.</t>
        </r>
      </text>
    </comment>
    <comment ref="B33" authorId="2" shapeId="0" xr:uid="{00000000-0006-0000-0100-000007000000}">
      <text>
        <r>
          <rPr>
            <sz val="10"/>
            <rFont val="Arial"/>
            <family val="2"/>
          </rPr>
          <t>El listado está en la columna I completar los datos cuando sea necesario</t>
        </r>
      </text>
    </comment>
    <comment ref="I33" authorId="2" shapeId="0" xr:uid="{00000000-0006-0000-0100-000008000000}">
      <text>
        <r>
          <rPr>
            <sz val="10"/>
            <rFont val="Arial"/>
            <family val="2"/>
          </rPr>
          <t>Razón social del solicitante de la OT</t>
        </r>
      </text>
    </comment>
    <comment ref="J33" authorId="2" shapeId="0" xr:uid="{00000000-0006-0000-0100-000009000000}">
      <text>
        <r>
          <rPr>
            <sz val="10"/>
            <rFont val="Arial"/>
            <family val="2"/>
          </rPr>
          <t>CUIT corespondiente al solicitante de OT</t>
        </r>
      </text>
    </comment>
    <comment ref="C44" authorId="2" shapeId="0" xr:uid="{00000000-0006-0000-0100-00000A000000}">
      <text>
        <r>
          <rPr>
            <sz val="10"/>
            <rFont val="Arial"/>
            <family val="2"/>
          </rPr>
          <t>Este dato no tiene impacto en las actas</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Mariela</author>
    <author>JJones</author>
  </authors>
  <commentList>
    <comment ref="D39" authorId="0" shapeId="0" xr:uid="{00000000-0006-0000-0200-000001000000}">
      <text>
        <r>
          <rPr>
            <sz val="10"/>
            <rFont val="Arial"/>
            <family val="2"/>
          </rPr>
          <t>Colocar:
INGRESO o
EGRESO</t>
        </r>
      </text>
    </comment>
    <comment ref="J39" authorId="0" shapeId="0" xr:uid="{00000000-0006-0000-0200-000002000000}">
      <text>
        <r>
          <rPr>
            <sz val="10"/>
            <rFont val="Arial"/>
            <family val="2"/>
          </rPr>
          <t>Idem: INGRESO o EGRESO</t>
        </r>
      </text>
    </comment>
    <comment ref="E68" authorId="1" shapeId="0" xr:uid="{00000000-0006-0000-0200-000003000000}">
      <text>
        <r>
          <rPr>
            <sz val="10"/>
            <rFont val="Arial"/>
            <family val="2"/>
          </rPr>
          <t>Carga Aplicada:
En caso que la carga utilizada para este ensayo difiera del cociente entre Máx./Cant. Apoyos, ingrese el valor manualmente.</t>
        </r>
      </text>
    </comment>
    <comment ref="G69" authorId="1" shapeId="0" xr:uid="{00000000-0006-0000-0200-000004000000}">
      <text>
        <r>
          <rPr>
            <sz val="10"/>
            <rFont val="Arial"/>
            <family val="2"/>
          </rPr>
          <t>Sobrecarga:
Ingrese el valor de carga (en múltiplos de 1/10 d) que provoca el cambio de indicación. El ingreso de estos valores es optativo para VPE y mandatorio para VPR</t>
        </r>
      </text>
    </comment>
    <comment ref="D196" authorId="0" shapeId="0" xr:uid="{00000000-0006-0000-0200-000005000000}">
      <text>
        <r>
          <rPr>
            <sz val="10"/>
            <rFont val="Arial"/>
            <family val="2"/>
          </rPr>
          <t>Mariela:
se muestra el el valor nominal de la carga sustituta, teniendo en cuenta el error de indicación que arrastramos</t>
        </r>
      </text>
    </comment>
    <comment ref="F208" authorId="0" shapeId="0" xr:uid="{00000000-0006-0000-0200-000006000000}">
      <text>
        <r>
          <rPr>
            <sz val="10"/>
            <rFont val="Arial"/>
            <family val="2"/>
          </rPr>
          <t>Mariela:
idem: se toma la indicación luego de ajustar para que salte con la misma sobrecarga que en la etapa anterior.</t>
        </r>
      </text>
    </comment>
    <comment ref="F209" authorId="0" shapeId="0" xr:uid="{00000000-0006-0000-0200-000007000000}">
      <text>
        <r>
          <rPr>
            <sz val="10"/>
            <rFont val="Arial"/>
            <family val="2"/>
          </rPr>
          <t>Mariela:
Idem: se toma el último valor de la columna F de la etapa anterior</t>
        </r>
      </text>
    </comment>
    <comment ref="H209" authorId="0" shapeId="0" xr:uid="{00000000-0006-0000-0200-000008000000}">
      <text>
        <r>
          <rPr>
            <sz val="10"/>
            <rFont val="Arial"/>
            <family val="2"/>
          </rPr>
          <t>Mariela:
Idem: sobrecarga con la cual salta la indicación al  finalizar la etapa anterior</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Mariela</author>
  </authors>
  <commentList>
    <comment ref="L10" authorId="0" shapeId="0" xr:uid="{00000000-0006-0000-0800-000001000000}">
      <text>
        <r>
          <rPr>
            <sz val="10"/>
            <rFont val="Arial"/>
            <family val="2"/>
          </rPr>
          <t>Seleccionar el ensayo que no pasa (según tipo de balanza). O seleccionar "Otro" para otro motivo de suspensión.</t>
        </r>
      </text>
    </comment>
    <comment ref="J18" authorId="0" shapeId="0" xr:uid="{00000000-0006-0000-0800-000002000000}">
      <text>
        <r>
          <rPr>
            <sz val="10"/>
            <rFont val="Arial"/>
            <family val="2"/>
          </rPr>
          <t xml:space="preserve">colocar: HORA SIN MINUTOS (ej 15 ó 16)
</t>
        </r>
      </text>
    </comment>
  </commentList>
</comments>
</file>

<file path=xl/sharedStrings.xml><?xml version="1.0" encoding="utf-8"?>
<sst xmlns="http://schemas.openxmlformats.org/spreadsheetml/2006/main" count="1096" uniqueCount="747">
  <si>
    <t>Mendoza</t>
  </si>
  <si>
    <t>Balanza para pesar camiones</t>
  </si>
  <si>
    <t>Origen Receptor</t>
  </si>
  <si>
    <t>III</t>
  </si>
  <si>
    <t>electrónica</t>
  </si>
  <si>
    <t>IDENTIFICACIÓN DEL INSTRUMENTO VERIFICADO</t>
  </si>
  <si>
    <t>Buenos Aires</t>
  </si>
  <si>
    <t>dia (n°)</t>
  </si>
  <si>
    <t>mes (texto)</t>
  </si>
  <si>
    <t>año (n°)</t>
  </si>
  <si>
    <t xml:space="preserve">Fecha verificación: </t>
  </si>
  <si>
    <t>Catamarca</t>
  </si>
  <si>
    <t xml:space="preserve">Fecha: </t>
  </si>
  <si>
    <t xml:space="preserve">Fecha vencimiento: </t>
  </si>
  <si>
    <t xml:space="preserve">Número  de O.T.:  </t>
  </si>
  <si>
    <t>Localidad:</t>
  </si>
  <si>
    <t>Chaco</t>
  </si>
  <si>
    <t>Provincia:</t>
  </si>
  <si>
    <t>Chubut</t>
  </si>
  <si>
    <t>Ciudad Autónoma de Buenos Aires</t>
  </si>
  <si>
    <t>En el día de la fecha constituido el técnico autorizado que firma al pie de la presente, en la razón social que mas abajo se cita, procede a efectuar el control del instrumento de medición cuyas características se detallan, obteniéndose los resultados que corren agregados en planilla adjunta a la presente.</t>
  </si>
  <si>
    <t>Córdoba</t>
  </si>
  <si>
    <t>VERIFICACION PRIMITIVA</t>
  </si>
  <si>
    <t>Corrientes</t>
  </si>
  <si>
    <t>VERIFICACIÓN PERIÓDICA</t>
  </si>
  <si>
    <t>Entre Ríos</t>
  </si>
  <si>
    <t>APROBACIÓN DE MODELO DE EFECTO LIMITADO</t>
  </si>
  <si>
    <t>Formosa</t>
  </si>
  <si>
    <t>PRIMITIVA DE ÚNICA UNIDAD</t>
  </si>
  <si>
    <t>Jujuy</t>
  </si>
  <si>
    <t/>
  </si>
  <si>
    <t>La Pampa</t>
  </si>
  <si>
    <t>La Rioja</t>
  </si>
  <si>
    <t>Razón social (Propietario):</t>
  </si>
  <si>
    <t>PRIMITIVA DE INSTRUMENTO REPARADO A NUEVO</t>
  </si>
  <si>
    <t xml:space="preserve">Domicilio (Fiscal): </t>
  </si>
  <si>
    <t>Misiones</t>
  </si>
  <si>
    <t>Neuquén</t>
  </si>
  <si>
    <t>Tipo de Verificación:</t>
  </si>
  <si>
    <t>Tolerancia:</t>
  </si>
  <si>
    <t>Río Negro</t>
  </si>
  <si>
    <t xml:space="preserve">Lugar propio de instalación del instrumento (*): </t>
  </si>
  <si>
    <t>Zona de pesaje</t>
  </si>
  <si>
    <t>Salta</t>
  </si>
  <si>
    <t>Domicilio (*):</t>
  </si>
  <si>
    <t>San Juan</t>
  </si>
  <si>
    <t>San Luis</t>
  </si>
  <si>
    <t>(* si no coincide con la dirección fiscal)</t>
  </si>
  <si>
    <t>Santa Cruz</t>
  </si>
  <si>
    <t xml:space="preserve">Instrumento verificado: </t>
  </si>
  <si>
    <t>Santa Fe</t>
  </si>
  <si>
    <t>Fabricante receptor:</t>
  </si>
  <si>
    <t>Indicador:</t>
  </si>
  <si>
    <t>Tipo:</t>
  </si>
  <si>
    <t>Santiago del Estero</t>
  </si>
  <si>
    <t xml:space="preserve">Marca:           Receptor:  </t>
  </si>
  <si>
    <t>Tierra de Fuego, Antártida e Islas del Atlántico Sur</t>
  </si>
  <si>
    <t>Modelo:          Receptor:</t>
  </si>
  <si>
    <t>Tucumán</t>
  </si>
  <si>
    <t>Nº serie:         Receptor:</t>
  </si>
  <si>
    <t xml:space="preserve">Cód. ap. mod. Receptor: </t>
  </si>
  <si>
    <t>SI</t>
  </si>
  <si>
    <t>AUTOVERIFICACIÓN</t>
  </si>
  <si>
    <t>VPR Nº:</t>
  </si>
  <si>
    <t>Características metrológicas:                                        máx=</t>
  </si>
  <si>
    <t>kg          mín=</t>
  </si>
  <si>
    <t xml:space="preserve">kg </t>
  </si>
  <si>
    <t>IIII</t>
  </si>
  <si>
    <t>mecánica</t>
  </si>
  <si>
    <t>NO</t>
  </si>
  <si>
    <t>VPE Nº:</t>
  </si>
  <si>
    <t>e=</t>
  </si>
  <si>
    <t>kg        clase=</t>
  </si>
  <si>
    <t>híbrida</t>
  </si>
  <si>
    <t>DECLARACIÓN DE CONFORMIDAD</t>
  </si>
  <si>
    <t>N° de Aprobación de Modelo:</t>
  </si>
  <si>
    <t>VERIFICACIÓN PRIMITIVA APROBACIÓN MODELO ÚNICO</t>
  </si>
  <si>
    <t>Fecha de Aprobación de Modelo:</t>
  </si>
  <si>
    <t>Identidad del solicitante: (Razón social que solicita la OT y VPE)</t>
  </si>
  <si>
    <t>Acarayé S.A.</t>
  </si>
  <si>
    <t>Balancero 0</t>
  </si>
  <si>
    <t>CUIT del solicitante: (Razón social que solicita la OT y VPE)</t>
  </si>
  <si>
    <t>Balancero 1</t>
  </si>
  <si>
    <t>Situación legal del instrumento:</t>
  </si>
  <si>
    <t>EP Martinelli S.A.S.</t>
  </si>
  <si>
    <t>DECLARACIÓN CONFORMIDAD - AUTOVERIFICACIÓN</t>
  </si>
  <si>
    <t>Posee declaración de conformidad / certificado de autoverificación:</t>
  </si>
  <si>
    <t>30-70790202-3</t>
  </si>
  <si>
    <t>DECL. DE CONFORMIDAD / VER. PERIÓDICA</t>
  </si>
  <si>
    <t xml:space="preserve">Posee certificado de verif. primitiva / aprob. de modelo de una única unidad: </t>
  </si>
  <si>
    <t>VERIF. PRIM. INSTRUM. REPARADO A NUEVO</t>
  </si>
  <si>
    <t xml:space="preserve">Posee certificado de verificación periódica: </t>
  </si>
  <si>
    <t>Básculas Latorre S.A</t>
  </si>
  <si>
    <t>30-50083873-2</t>
  </si>
  <si>
    <t>VER. PRIM. AP. MOD. ÚNICO / VER. PERIÓDICA</t>
  </si>
  <si>
    <t>Se adjunta copia de alguno de los certificados:</t>
  </si>
  <si>
    <t>Básculas Casado S.R.L..</t>
  </si>
  <si>
    <t>30-71107332-5</t>
  </si>
  <si>
    <t>VERIFICACIÓN PRIMITIVA</t>
  </si>
  <si>
    <t>De cual (número/s):</t>
  </si>
  <si>
    <t>S.P.I S.R.L..</t>
  </si>
  <si>
    <t>30-71487341-1</t>
  </si>
  <si>
    <t>Laureano Reinaldy</t>
  </si>
  <si>
    <t>Balanza para pesar vagones</t>
  </si>
  <si>
    <t>Observaciones:</t>
  </si>
  <si>
    <t>Moretti Servicios S.R.L..</t>
  </si>
  <si>
    <t>30-71193913-6</t>
  </si>
  <si>
    <t>Balanza para pesar vehículos por ejes (Receptor único)</t>
  </si>
  <si>
    <t>La validez del Certificado de Verificación Periódica es de un año a partir de la fecha arriba indicada.</t>
  </si>
  <si>
    <t>Básculas GaMa S.R.L..</t>
  </si>
  <si>
    <t>30-68050265-6</t>
  </si>
  <si>
    <t>Balanza para pesar vehículos por ejes (Dos receptores de carga)</t>
  </si>
  <si>
    <t>Fulcrum S.R.L.</t>
  </si>
  <si>
    <t>30-67500945-3</t>
  </si>
  <si>
    <t>Balanza para pesar vehículos por ejes o conjunto de ejes (Receptor único)</t>
  </si>
  <si>
    <t>Fernandez Omar Alcides</t>
  </si>
  <si>
    <t>Balanza para pesar vehículos por ejes o conjunto de ejes (Dos receptores de carga)</t>
  </si>
  <si>
    <t>El Balancero S.R.L..</t>
  </si>
  <si>
    <t>30-59997436-5</t>
  </si>
  <si>
    <t>Balanza portátil para pesar vehículos por ejes (Receptor único)</t>
  </si>
  <si>
    <t>Balanza portátil para pesar vehículos por ejes (Dos receptores de carga)</t>
  </si>
  <si>
    <t>Latorre Pesaje S.R.L.</t>
  </si>
  <si>
    <t>30-70780171-5</t>
  </si>
  <si>
    <t>Balanza para pesar camiones y vagones</t>
  </si>
  <si>
    <t xml:space="preserve">Descripción del instrumental de control empleado durante la verificación: </t>
  </si>
  <si>
    <t>Básculas Magnino S.R.L.</t>
  </si>
  <si>
    <t>30-70901540-7</t>
  </si>
  <si>
    <t>Balanza de plataforma</t>
  </si>
  <si>
    <t>Raul Raimonda y Cia S.R.L.</t>
  </si>
  <si>
    <t>30-6739971-8</t>
  </si>
  <si>
    <t>Balanza tipo tolva</t>
  </si>
  <si>
    <t>Pagano y Kopaitich S.R.L..</t>
  </si>
  <si>
    <t>30-67398951-5</t>
  </si>
  <si>
    <t>Balanza de carga directamente suspendida (de gancho)</t>
  </si>
  <si>
    <t>Cardinal Scales S.A.S.</t>
  </si>
  <si>
    <t>30-71630188-1</t>
  </si>
  <si>
    <t>Sahilices Hnos S.R.L.</t>
  </si>
  <si>
    <t>30-68552297-3</t>
  </si>
  <si>
    <t>Balancero 7</t>
  </si>
  <si>
    <t>30-68552297-4</t>
  </si>
  <si>
    <t>30-68552297-5</t>
  </si>
  <si>
    <t>Balancero 2</t>
  </si>
  <si>
    <t>30-68552297-6</t>
  </si>
  <si>
    <t>--------------------------------------------------------</t>
  </si>
  <si>
    <t>-------------------------------------------------------</t>
  </si>
  <si>
    <t>por ejes unico receptor - 1=si - 0=no</t>
  </si>
  <si>
    <t>Programa de Metrología Legal - INTI</t>
  </si>
  <si>
    <t>por ejes dos receptores - 1=si - 0=no</t>
  </si>
  <si>
    <t>Perito Oscar Alfredo GUILLÉN                                 Programa de Metrología Legal I.N.T.I.                           oguillen@inti.gob.ar - TE 011-1533107309</t>
  </si>
  <si>
    <t>METROLOGÍA LEGAL. VERIFICACIÓN DE BALANZAS</t>
  </si>
  <si>
    <t>Atencion: Llenar sólo las celdas grises. 
Para borrar el contenido de una celda usar la tecla "delete" o "supr", nunca la barra espaciadora.</t>
  </si>
  <si>
    <t>VERIFICADOR</t>
  </si>
  <si>
    <t>Documento</t>
  </si>
  <si>
    <t>Carnet</t>
  </si>
  <si>
    <t>Resolución N°</t>
  </si>
  <si>
    <t>Datos de contacto</t>
  </si>
  <si>
    <t>Realizó</t>
  </si>
  <si>
    <t>Tco. Pablo Javier Siklosi A.</t>
  </si>
  <si>
    <t>JO</t>
  </si>
  <si>
    <t>Téc. Grottola Ruben</t>
  </si>
  <si>
    <t>D.N.I. N° 29.332.227</t>
  </si>
  <si>
    <t>346/09</t>
  </si>
  <si>
    <t>grottola@inti.gob.ar 1133556773</t>
  </si>
  <si>
    <t>Carga de datos</t>
  </si>
  <si>
    <t>Coloque sus datos en columnas AC hasta AF</t>
  </si>
  <si>
    <t>GUIL</t>
  </si>
  <si>
    <t>P.E. Oscar Alfredo GUILLÉN</t>
  </si>
  <si>
    <t>D.N.I. N° 13.684.023</t>
  </si>
  <si>
    <t>493/04</t>
  </si>
  <si>
    <t>oguillen@inti.gob.ar - TE 011-1533107309</t>
  </si>
  <si>
    <t>AV</t>
  </si>
  <si>
    <t>Tco. Juan Carlos Avagnina</t>
  </si>
  <si>
    <t>D.N.I. N° 24.988.160</t>
  </si>
  <si>
    <t>42</t>
  </si>
  <si>
    <t>283/04</t>
  </si>
  <si>
    <t>avagnina@inti.gob.ar - TE 011-1566509752</t>
  </si>
  <si>
    <t>Informe Número:</t>
  </si>
  <si>
    <t>Fecha de verificación:</t>
  </si>
  <si>
    <t>SA</t>
  </si>
  <si>
    <t>Tco. Cristian David SAKS</t>
  </si>
  <si>
    <t>D.N.I. N° 31.134.998</t>
  </si>
  <si>
    <t>saks@inti.gob.ar - TE 011-1557294873</t>
  </si>
  <si>
    <t>Razón Social:</t>
  </si>
  <si>
    <t>PA</t>
  </si>
  <si>
    <t>Tco. Marcelo Alejandro PAGOT</t>
  </si>
  <si>
    <t>D.N.I. N° 27.188.890</t>
  </si>
  <si>
    <t>mpagot@inti.gob.ar - TE 011-1557281013</t>
  </si>
  <si>
    <t>Lugar de instalación:</t>
  </si>
  <si>
    <t>BA</t>
  </si>
  <si>
    <t>Tco. Marcelo Eduardo BAULIES</t>
  </si>
  <si>
    <t>D.N.I. N° 25.921.560</t>
  </si>
  <si>
    <t>268/05</t>
  </si>
  <si>
    <t>mbaulies@inti.gob.ar - TE 0351-158141793</t>
  </si>
  <si>
    <t>LA</t>
  </si>
  <si>
    <t>Ing. Enrique Daniel LAFON</t>
  </si>
  <si>
    <t>D.N.I. N° 25.884.809</t>
  </si>
  <si>
    <t>elafon@inti.gob.ar - TE 011-1557272544</t>
  </si>
  <si>
    <t>Ubicación instrumento:</t>
  </si>
  <si>
    <t>FI</t>
  </si>
  <si>
    <t>José Gabriel Figueroa</t>
  </si>
  <si>
    <t>D.N.I. N° 24.982.875</t>
  </si>
  <si>
    <t>56</t>
  </si>
  <si>
    <t>jfiguero@inti.gob.ar</t>
  </si>
  <si>
    <t>Fabricante:</t>
  </si>
  <si>
    <t>DE</t>
  </si>
  <si>
    <t>Tco. Gabriel Hernán DENOT</t>
  </si>
  <si>
    <t>D.N.I. N° 28.878.910</t>
  </si>
  <si>
    <t>51</t>
  </si>
  <si>
    <t>gdenot@inti.gob.ar - TE 011-1557284370</t>
  </si>
  <si>
    <t>Modelo:</t>
  </si>
  <si>
    <t>CO</t>
  </si>
  <si>
    <t>Tco. Pablo Daniel CORNET</t>
  </si>
  <si>
    <t>D.N.I. N° 29.551.535</t>
  </si>
  <si>
    <t>122</t>
  </si>
  <si>
    <t>493/06</t>
  </si>
  <si>
    <t>pcornet@inti.gob.ar - TE 011-1557279865</t>
  </si>
  <si>
    <t>Nº de serie:</t>
  </si>
  <si>
    <t>RO</t>
  </si>
  <si>
    <t>Ing. Mariela ROVERI</t>
  </si>
  <si>
    <t>D.N.I. N° 25.381.092</t>
  </si>
  <si>
    <t>160</t>
  </si>
  <si>
    <t>maroveri@inti.gob.ar - TE 011-1560378645</t>
  </si>
  <si>
    <t>Código de aprobación:</t>
  </si>
  <si>
    <t>Tco. German Victor ALEKNAVISIUS</t>
  </si>
  <si>
    <t>D.N.I. N° 22.205.335</t>
  </si>
  <si>
    <t>agerman@inti.gob.ar TE: 0341 152 132372</t>
  </si>
  <si>
    <t>Tco. Leonardo Leonel PIEDRABUENA</t>
  </si>
  <si>
    <t>D.N.I. N° 31.339.312</t>
  </si>
  <si>
    <t>280</t>
  </si>
  <si>
    <t>lpiedrabuena@inti.gob.ar TE: 0341 153695196</t>
  </si>
  <si>
    <t>Instrumento Verificado:</t>
  </si>
  <si>
    <t>Tco. Gonzalo Ignacio Arroyo</t>
  </si>
  <si>
    <t>D.N.I. N° 35.051.221</t>
  </si>
  <si>
    <t>240</t>
  </si>
  <si>
    <t>garroyo@inti.gob.ar TE: 0341 152297176</t>
  </si>
  <si>
    <t>Tipo de balanza:</t>
  </si>
  <si>
    <t>Clase:</t>
  </si>
  <si>
    <t>Tco. Damián Alberto QUEVEDO</t>
  </si>
  <si>
    <t>D.N.I. N° 30.612.654</t>
  </si>
  <si>
    <t>227</t>
  </si>
  <si>
    <t>dquevedo@inti.gob.ar  -  TE: 0341 155 967156</t>
  </si>
  <si>
    <t>Min Div (kg, e)=</t>
  </si>
  <si>
    <t>d (kg)=</t>
  </si>
  <si>
    <t>Cap.Max (kg)=</t>
  </si>
  <si>
    <t>Tco. Ivan Alejandro PIASCIK</t>
  </si>
  <si>
    <t>D.N.I. N° 31.182.999</t>
  </si>
  <si>
    <t>233</t>
  </si>
  <si>
    <t xml:space="preserve">piascik@inti.gob.ar TE: 0342 154 731405 </t>
  </si>
  <si>
    <t>Patrones (fabricante y modelo)</t>
  </si>
  <si>
    <t>Ing. Gastón Alexix ZANUTTI</t>
  </si>
  <si>
    <t>D.N.I. N° 22.280.226</t>
  </si>
  <si>
    <t>232</t>
  </si>
  <si>
    <t>gzanutti@inti.gob.ar TE: 0342 155 494338</t>
  </si>
  <si>
    <t>Anl. Javier Leonardo Araujo</t>
  </si>
  <si>
    <t>D.N.I. N° 21.618.342</t>
  </si>
  <si>
    <t>430</t>
  </si>
  <si>
    <t>364/15</t>
  </si>
  <si>
    <t>jaraujo@inti.gob.ar TE: 0379-154207685</t>
  </si>
  <si>
    <t>D.N.I. N° 24.705.518</t>
  </si>
  <si>
    <t>96</t>
  </si>
  <si>
    <t>519/05</t>
  </si>
  <si>
    <t>psiklosi@inti.gob.ar 2615774172</t>
  </si>
  <si>
    <t>Observaciones en general sobre la verificación, para incluir en el informe:</t>
  </si>
  <si>
    <t xml:space="preserve">Otro Técnico </t>
  </si>
  <si>
    <t>D.U. 49123456</t>
  </si>
  <si>
    <t>007</t>
  </si>
  <si>
    <t>20/25</t>
  </si>
  <si>
    <t>quednosayde@inti.gob.ar</t>
  </si>
  <si>
    <t>N° de apoyos:</t>
  </si>
  <si>
    <t xml:space="preserve">     7                            8                            9                            10                            11                           12    </t>
  </si>
  <si>
    <t>indicador</t>
  </si>
  <si>
    <t xml:space="preserve">   6                            5                            4                             3                               2                              1    </t>
  </si>
  <si>
    <t>Escriba INDICADOR en la ubicación correspondiente</t>
  </si>
  <si>
    <t>6                                   7                                   8                                   9                                   10</t>
  </si>
  <si>
    <t>Egreso</t>
  </si>
  <si>
    <t>Receptor de Carga</t>
  </si>
  <si>
    <t>Ingreso</t>
  </si>
  <si>
    <t>5                                   4                                   3                                   2                                     1</t>
  </si>
  <si>
    <t xml:space="preserve">       5                                                 6                                                 7                                                 8       </t>
  </si>
  <si>
    <t xml:space="preserve">       4                                                 3                                                 2                                                  1       </t>
  </si>
  <si>
    <t>4                                                                              5                                                                            6</t>
  </si>
  <si>
    <t>3                                                                            2                                                                            1</t>
  </si>
  <si>
    <t>Clase de Instrumento</t>
  </si>
  <si>
    <t>Escalones</t>
  </si>
  <si>
    <t>I</t>
  </si>
  <si>
    <t>Hasta</t>
  </si>
  <si>
    <t>Error Máximo Tolerado</t>
  </si>
  <si>
    <t>3                                                                                                                                                         4</t>
  </si>
  <si>
    <t>II</t>
  </si>
  <si>
    <t>kg</t>
  </si>
  <si>
    <t>-----------</t>
  </si>
  <si>
    <t>2                                                                                                                                                         1</t>
  </si>
  <si>
    <t>e =</t>
  </si>
  <si>
    <t>2 e =</t>
  </si>
  <si>
    <t>3 e =</t>
  </si>
  <si>
    <t>p</t>
  </si>
  <si>
    <t>1 - VERIFICACIÓN DE LA INDICACIÓN DEL "CERO" DEL INSTRUMENTO (A.3.2.2. de la Resolución).</t>
  </si>
  <si>
    <t>El instrumento parte de cero:</t>
  </si>
  <si>
    <t xml:space="preserve">Efecto máximo del dispositivo </t>
  </si>
  <si>
    <t>NO SUPERA</t>
  </si>
  <si>
    <t>el 4%</t>
  </si>
  <si>
    <t>“El efecto del dispositivo de puesta en cero debe ser como máximo igual al 4% de la cap máx ”</t>
  </si>
  <si>
    <t>2 - MOVILIDAD - Instrumento de indicación o impresión :</t>
  </si>
  <si>
    <t>DISCONTINUA</t>
  </si>
  <si>
    <t>SUPERA</t>
  </si>
  <si>
    <t xml:space="preserve">MOVILIDAD </t>
  </si>
  <si>
    <t>Indicación 1
(kg)</t>
  </si>
  <si>
    <t>Desplazamiento observado                    (kg)</t>
  </si>
  <si>
    <t>¿Movimiento visible?
(SI/NO)</t>
  </si>
  <si>
    <t>Cumple?</t>
  </si>
  <si>
    <t>EMT
 (kg)</t>
  </si>
  <si>
    <t>CONTINUA</t>
  </si>
  <si>
    <t>Carga MÍNIMA</t>
  </si>
  <si>
    <t>ENA</t>
  </si>
  <si>
    <t>X</t>
  </si>
  <si>
    <t>Carga INTERMEDIA</t>
  </si>
  <si>
    <t>Carga MÁXIMA</t>
  </si>
  <si>
    <t>3 - EXCENTRICIDAD</t>
  </si>
  <si>
    <t>Cantidad de apoyos:</t>
  </si>
  <si>
    <t>Carga aplicada:</t>
  </si>
  <si>
    <t>Punto de control</t>
  </si>
  <si>
    <t>Carga aplicada (kg)</t>
  </si>
  <si>
    <t>Indicación 
(kg)</t>
  </si>
  <si>
    <t>Sobrecarga         (kg)</t>
  </si>
  <si>
    <t>Valor Redondeado    (kg)</t>
  </si>
  <si>
    <t>Error max tolerado (kg)</t>
  </si>
  <si>
    <t>Error verificado (kg)</t>
  </si>
  <si>
    <t>¿cumple?</t>
  </si>
  <si>
    <t>Valores Iniciales   (kg)</t>
  </si>
  <si>
    <t>Diferencias Inicial-Final (kg)</t>
  </si>
  <si>
    <t>N° de No cumplimientos</t>
  </si>
  <si>
    <t xml:space="preserve">Suma Total de apoyos: </t>
  </si>
  <si>
    <t>e=dd=</t>
  </si>
  <si>
    <t xml:space="preserve">Diferencia máxima entre apoyos: </t>
  </si>
  <si>
    <t>4.1 - FIDELIDAD I</t>
  </si>
  <si>
    <t>Tolva</t>
  </si>
  <si>
    <t>Vacío</t>
  </si>
  <si>
    <t>Sentido</t>
  </si>
  <si>
    <t>Cargado</t>
  </si>
  <si>
    <t>Carga aproximada</t>
  </si>
  <si>
    <t>Error tolerado:</t>
  </si>
  <si>
    <t>Ciclo N°</t>
  </si>
  <si>
    <t>Cero Indicado Inicial (kg)</t>
  </si>
  <si>
    <t>Redondeo de Cero Inicial (kg)</t>
  </si>
  <si>
    <t>CERO CORREGIDO</t>
  </si>
  <si>
    <t>Carga Indicada (kg)</t>
  </si>
  <si>
    <t>Redondeo de Carga (kg)</t>
  </si>
  <si>
    <t>CARGA CORREGIDA</t>
  </si>
  <si>
    <t>Cero Indicado Final (kg)</t>
  </si>
  <si>
    <t>Redondeo de Cero Final (kg)</t>
  </si>
  <si>
    <t>CERO 2 CORREGIDO</t>
  </si>
  <si>
    <t>DIFERENCIA</t>
  </si>
  <si>
    <t>Desvío Standard</t>
  </si>
  <si>
    <t>Diferencia máx</t>
  </si>
  <si>
    <t>4.2 - FIDELIDAD II</t>
  </si>
  <si>
    <t>Camión</t>
  </si>
  <si>
    <t>4.3 - FIDELIDAD III</t>
  </si>
  <si>
    <t>Diferencia máx.</t>
  </si>
  <si>
    <t>4.4 - FIDELIDAD IV</t>
  </si>
  <si>
    <t>ciclo</t>
  </si>
  <si>
    <t>5 - LINEALIDAD</t>
  </si>
  <si>
    <t>Fidelidad Cumple?</t>
  </si>
  <si>
    <t>Clase</t>
  </si>
  <si>
    <t>Resolución "d"</t>
  </si>
  <si>
    <t>Min (kg)</t>
  </si>
  <si>
    <t>Max (kg)</t>
  </si>
  <si>
    <t>TEMPERATURA DE LA VERIFICACION</t>
  </si>
  <si>
    <t>Temperatura inicial(ºC)</t>
  </si>
  <si>
    <t>Variación temp. (ºC):</t>
  </si>
  <si>
    <t>Temperatura final (ºC)</t>
  </si>
  <si>
    <t>Valor
 nominal 
(kg)</t>
  </si>
  <si>
    <t>Indicación ascendente (kg)</t>
  </si>
  <si>
    <t>Indicación descendente (kg)</t>
  </si>
  <si>
    <t>Error de indicación ascendente
(kg)</t>
  </si>
  <si>
    <t>Error de indicación descendente
(kg)</t>
  </si>
  <si>
    <t>Histeresis 
(kg)</t>
  </si>
  <si>
    <t>Error corregido por redondeo ascendente
(kg)</t>
  </si>
  <si>
    <t>Error corregido por redondeo descendente
(kg)</t>
  </si>
  <si>
    <t>Fuentes de incertidumbre de medición (kg)</t>
  </si>
  <si>
    <t>TOLERANCIA SEGÚN RESOLUCIÓN 2307  (kg)</t>
  </si>
  <si>
    <t>Condición de cumplimiento</t>
  </si>
  <si>
    <t>RESOLUCIÓN</t>
  </si>
  <si>
    <t>FIDELIDAD</t>
  </si>
  <si>
    <t>PATRÓN</t>
  </si>
  <si>
    <t>CARGA SUSTITUTA</t>
  </si>
  <si>
    <t>INCERTIDUMBRE EXPANDIDA</t>
  </si>
  <si>
    <t>-------</t>
  </si>
  <si>
    <t>Histéresis (kg)</t>
  </si>
  <si>
    <t>INICIO CARGA SUSTITUTA</t>
  </si>
  <si>
    <t>Peso inicial (kg)</t>
  </si>
  <si>
    <t>Error de indicación (kg)</t>
  </si>
  <si>
    <t>REDONDEO (kg)</t>
  </si>
  <si>
    <t>Valor 
nominal
 (kg)</t>
  </si>
  <si>
    <t>Indicación ascendente
(kg)</t>
  </si>
  <si>
    <t>Error      encontrado
(kg)</t>
  </si>
  <si>
    <t xml:space="preserve">Incremento de carga: </t>
  </si>
  <si>
    <t>Error corregido por redondeo  (kg)</t>
  </si>
  <si>
    <t>Incertidumbre de medición (kg)</t>
  </si>
  <si>
    <t>Tolerancia según Resolución 2307  (kg)</t>
  </si>
  <si>
    <t>resolución</t>
  </si>
  <si>
    <t>fidelidad</t>
  </si>
  <si>
    <t>pesas patrones</t>
  </si>
  <si>
    <t>carga 
sustituta</t>
  </si>
  <si>
    <t>expandida</t>
  </si>
  <si>
    <t>SEGUNDA SUSTITUCIÓN</t>
  </si>
  <si>
    <t>Peso del camión c/carga inicial (kg)</t>
  </si>
  <si>
    <t>Para hacer más de 2 sustituciones deberá cumplir con el 0,2e (Balancero con 16000 kg de pesas) ó 0,3e (Balanceros con más de 22500 kg de pesas)</t>
  </si>
  <si>
    <t>TERCERA SUSTITUCIÓN</t>
  </si>
  <si>
    <t>Error de la balanza al pesar el camion (kg)</t>
  </si>
  <si>
    <t>CUARTA SUSTITUCIÓN</t>
  </si>
  <si>
    <t>Completar datos en celdas J18; K19; K20 y K21</t>
  </si>
  <si>
    <t>DATOS DEL AGENTE VERIFICADOR</t>
  </si>
  <si>
    <t>TIPO DE DOCUMENTO RESPONSABLE</t>
  </si>
  <si>
    <t>15:30</t>
  </si>
  <si>
    <t>Hora de finalización de la tarea</t>
  </si>
  <si>
    <t>Nombre</t>
  </si>
  <si>
    <t>D.N.I.</t>
  </si>
  <si>
    <t>Responsable de la firma (QUIEN SE HACE CARGO)</t>
  </si>
  <si>
    <t>Tipo y Nº Doc.</t>
  </si>
  <si>
    <t>L.E.</t>
  </si>
  <si>
    <t>Tipo y Nº documento del Responsable</t>
  </si>
  <si>
    <t>Carnet Nº</t>
  </si>
  <si>
    <t>L.C.</t>
  </si>
  <si>
    <t>e-mail - TE</t>
  </si>
  <si>
    <t>contacto del Responsable</t>
  </si>
  <si>
    <t>C.I.</t>
  </si>
  <si>
    <t>Cargo dentro de la firma</t>
  </si>
  <si>
    <t>Resolución habilitante</t>
  </si>
  <si>
    <t>Pasaporte</t>
  </si>
  <si>
    <t>Lugar de Ubicación del instrumento (automático)</t>
  </si>
  <si>
    <t>Nombre específico del lugar del instrumento (automático)</t>
  </si>
  <si>
    <t>TIPOS DE COMPONENTES DE LA BALANZA</t>
  </si>
  <si>
    <t>PLATAFORMA</t>
  </si>
  <si>
    <t>INDICADOR</t>
  </si>
  <si>
    <t>ENSAYOS EFECTUADOS</t>
  </si>
  <si>
    <t>ACTA DE PRECINTADO</t>
  </si>
  <si>
    <t>En las Balanzas tipo Electronicas se debe precintar en:</t>
  </si>
  <si>
    <t>Fecha:</t>
  </si>
  <si>
    <t>Cabezal electrónico</t>
  </si>
  <si>
    <t>Objeto:</t>
  </si>
  <si>
    <t>Cajas de ecualización</t>
  </si>
  <si>
    <t>Fabricante / Importador:</t>
  </si>
  <si>
    <t>Receptor:</t>
  </si>
  <si>
    <t>Celdas de carga</t>
  </si>
  <si>
    <t xml:space="preserve">Modelo: </t>
  </si>
  <si>
    <t>Cableado</t>
  </si>
  <si>
    <t>Número de Serie:</t>
  </si>
  <si>
    <t>Cód. de aprob. de modelo:</t>
  </si>
  <si>
    <t>Propietario o Permisionario:</t>
  </si>
  <si>
    <t>En las Balanzas tipo Híbridas se debe precintar en:</t>
  </si>
  <si>
    <t>Contrapeso de cero</t>
  </si>
  <si>
    <t>Ubicación</t>
  </si>
  <si>
    <t>Nº Precinto / Tipo (1)</t>
  </si>
  <si>
    <t>Contrapeso móvil del brazo</t>
  </si>
  <si>
    <t>Placa identificatoria</t>
  </si>
  <si>
    <t>del receptor</t>
  </si>
  <si>
    <t>Tapa columna contra leva</t>
  </si>
  <si>
    <t>del indicador</t>
  </si>
  <si>
    <t>Levas</t>
  </si>
  <si>
    <t>Indicador</t>
  </si>
  <si>
    <t>Barras de mando</t>
  </si>
  <si>
    <t>Caja de ecualización</t>
  </si>
  <si>
    <t>Barra de transmisión</t>
  </si>
  <si>
    <t>Entrada de hombre a fosa</t>
  </si>
  <si>
    <t>Celda de carga</t>
  </si>
  <si>
    <t>B73750</t>
  </si>
  <si>
    <t xml:space="preserve">Los precintos sólo se pueden romper ante la presencia del INTI o por reparador auditado de acuerdo a lo establecido en la Resolución 611-2019 y sus modificatorias. </t>
  </si>
  <si>
    <t>En las Balanzas  tipo Mecánicas se debe precintar en:</t>
  </si>
  <si>
    <t xml:space="preserve">Listado de reparadores auditados: </t>
  </si>
  <si>
    <t>https://www.inti.gob.ar/areas/metrologia-y-calidad/metrologia/metrologia-legal/empresas-reparadoras-auditadas</t>
  </si>
  <si>
    <t xml:space="preserve">https://www.argentina.gob.ar/empresas-acreditadascertificadas </t>
  </si>
  <si>
    <t xml:space="preserve">(1) Indicar tipo de precinto.   (l): lazo   (a): autoadhesivo </t>
  </si>
  <si>
    <t>(2) Indicar que parte de la balanza no se puede precintar y por qué.</t>
  </si>
  <si>
    <t>Revisó - aprobó:</t>
  </si>
  <si>
    <t>Ö</t>
  </si>
  <si>
    <t xml:space="preserve">MARGENES DE CERTIFICADO </t>
  </si>
  <si>
    <t>SUP 6,0</t>
  </si>
  <si>
    <t>ENCAB 6,0</t>
  </si>
  <si>
    <t>IZQ 1,0</t>
  </si>
  <si>
    <t>DER 1,0</t>
  </si>
  <si>
    <t>INF 6,0</t>
  </si>
  <si>
    <t>PIE 6,0</t>
  </si>
  <si>
    <t>ESCALA 80%</t>
  </si>
  <si>
    <t xml:space="preserve">Determinación requerida: </t>
  </si>
  <si>
    <t>Verificación del cumplimiento con la Reglamentación Metrológica y Técnica correspondiente a la Resolución ex S.E.C. y N.E.I. N° 2307/1980 y su modificatoria.</t>
  </si>
  <si>
    <t>Párrafos de la Reglamentación Metrológica y Técnica, Resolución 2307/80</t>
  </si>
  <si>
    <t>Conclusión: En la tabla siguiente figuran las verificaciones efectuadas y las conclusiones obtenidas.</t>
  </si>
  <si>
    <t>Verificación del cumplimiento con las Reglamentaciones Metrológica y Técnica correspondientes a las Resoluciones S.C.D. y D.C. N° 119/2001, ex S.E.C. y N.E.I. N° 2307/1980 y su modificatoria .</t>
  </si>
  <si>
    <t>Párrafos de las Reglamentaciones Metrológica y Técnica, Resoluciones 2307/80 y 119/2001 (*)</t>
  </si>
  <si>
    <t>Satisface</t>
  </si>
  <si>
    <t>No satisface</t>
  </si>
  <si>
    <t>No aplicable</t>
  </si>
  <si>
    <t>Errores de indicación</t>
  </si>
  <si>
    <t>11.1.1</t>
  </si>
  <si>
    <t>Desvíos entre resultados</t>
  </si>
  <si>
    <t>14.1.2.</t>
  </si>
  <si>
    <t>Fidelidad</t>
  </si>
  <si>
    <t>Movilidad</t>
  </si>
  <si>
    <t>A.3.2.2.</t>
  </si>
  <si>
    <t>Efecto máximo del dispositivo de puesta a cero</t>
  </si>
  <si>
    <t>Evaluación de la concordancia con el modelo aprobado</t>
  </si>
  <si>
    <t>Los registros de verificación se encuentran archivados en el INTI.</t>
  </si>
  <si>
    <t>Las mediciones involucradas en este informe están vinculadas a los patrones de medida mantenidos en el INTI según la legislación vigente, los cuales representan a las unidades físicas de medida en concordancia con el Sistema Internacional de Unidades (SI).</t>
  </si>
  <si>
    <t xml:space="preserve">Usuario: </t>
  </si>
  <si>
    <t xml:space="preserve">Excentricidad:     </t>
  </si>
  <si>
    <t xml:space="preserve">Se utilizó una carga aproximada de </t>
  </si>
  <si>
    <t xml:space="preserve">Los valores de incertidumbre de medición que aparecen en la tabla de errores de indicación fueron calculados combinando la incertidumbre de las pesas patrones, y los componentes asociados a la fidelidad y resolución de la balanza. La incertidumbre standard asociada a las combinaciones de pesas patrones utilizadas resultó siempre menor que </t>
  </si>
  <si>
    <t xml:space="preserve"> kg, para todos los valores de carga aplicados. El componente asociado a la fidelidad fue estimado estadísticamente. El componente asociado a la resolución fue calculado considerando una distribución rectangular a partir de la mínima división de la balanza. La incertidumbre expandida informada fue calculada multiplicando la incertidumbre standard combinada por un factor de cubrimiento k = 2 lo cual corresponde a un nivel de confianza del 95% para una distribución normal.</t>
  </si>
  <si>
    <t>Identificacion del solicitante</t>
  </si>
  <si>
    <t>C.U.I.T. del solicitante</t>
  </si>
  <si>
    <t>Número de Certificado</t>
  </si>
  <si>
    <t>Denominacion del instrumento</t>
  </si>
  <si>
    <t>Marca</t>
  </si>
  <si>
    <t>Modelo</t>
  </si>
  <si>
    <t>Origen</t>
  </si>
  <si>
    <t>Numero de serie</t>
  </si>
  <si>
    <t>Ubicación del instrumento (solo para instrumentos de instalacion fija)</t>
  </si>
  <si>
    <t>Fecha de emision del certificado</t>
  </si>
  <si>
    <t>Laboratorio interviniente</t>
  </si>
  <si>
    <t>Numero de informe de ensayo emitido por el laboratorio interviniente</t>
  </si>
  <si>
    <t>Para completar por OC</t>
  </si>
  <si>
    <t>INTI DT de METROLOGIA LEGAL</t>
  </si>
  <si>
    <t>Fecha de emisión:</t>
  </si>
  <si>
    <t>Fecha de vencimiento:</t>
  </si>
  <si>
    <t>CERTIFICADO DE VERIFICACION PERIODICA N° ML-VPE-301-INTI-2307/80-0001</t>
  </si>
  <si>
    <t>Cantidad: 1</t>
  </si>
  <si>
    <t xml:space="preserve">Características metrológicas:    </t>
  </si>
  <si>
    <t>Máx.:</t>
  </si>
  <si>
    <t>Mín.:</t>
  </si>
  <si>
    <t>e:dd:</t>
  </si>
  <si>
    <t>Responsable:</t>
  </si>
  <si>
    <t>Reglamento Metrologico aplicable:</t>
  </si>
  <si>
    <t xml:space="preserve">Resolución de la ex-SECYNEI Nº 2307/1980 y su modificatoria. </t>
  </si>
  <si>
    <t>Fecha de finalizacion de los ensayos:</t>
  </si>
  <si>
    <t>Fecha de aprobacion de variante:</t>
  </si>
  <si>
    <t>No aplica</t>
  </si>
  <si>
    <t>Nro. aprobacion de variante de modelo:</t>
  </si>
  <si>
    <t>Fecha de aprobacion de variante de modelo:</t>
  </si>
  <si>
    <t>Numero de precintos:</t>
  </si>
  <si>
    <t>Resultado de la verificacion periodica</t>
  </si>
  <si>
    <t>El instrumento satisface los requisitos reglamentarios</t>
  </si>
  <si>
    <t>Nota: Orden de trabajo OC</t>
  </si>
  <si>
    <t>Fin del certificado</t>
  </si>
  <si>
    <t>¿Porqué se suspendió?:</t>
  </si>
  <si>
    <t>punto A.3.2.2  de la Resolución S.C. y N.E.I. Nº 2307/80</t>
  </si>
  <si>
    <t>(Efecto máximo del dispositivo de puesta a cero).</t>
  </si>
  <si>
    <t>Los datos del verificador vienen de la hoja Datos de Ensayo celdas E3 y AC4 hasta AF36 respectivamente</t>
  </si>
  <si>
    <t>punto 9.1.1 de la Resolución S.C. y N.E.I. Nº 2307/80</t>
  </si>
  <si>
    <t>(Errores de indicación)</t>
  </si>
  <si>
    <t>punto 14.1.2 de la Resolución S.C. y N.E.I. Nº 2307/80</t>
  </si>
  <si>
    <t>(Fidelidad).</t>
  </si>
  <si>
    <t>15:00</t>
  </si>
  <si>
    <t>Sr.</t>
  </si>
  <si>
    <t>Movilidad (balanza mecánica de eq. no automático)</t>
  </si>
  <si>
    <t>punto 14.2.1.1 de la Resolución S.C. y N.E.I. Nº 2307/80</t>
  </si>
  <si>
    <t>(Movilidad).</t>
  </si>
  <si>
    <t>Sra.</t>
  </si>
  <si>
    <t>Movilidad (balanza mecánica de eq.  automático indicación contínua)</t>
  </si>
  <si>
    <t>punto 14.2.2.1.1 de la Resolución S.C. y N.E.I. Nº 2307/80</t>
  </si>
  <si>
    <t>Srta.</t>
  </si>
  <si>
    <t>Movilidad (balanza mecánica de eq.  Automático indicación discontínua)</t>
  </si>
  <si>
    <t>punto 14.2.2.1.2 de la Resolución S.C. y N.E.I. Nº 2307/80</t>
  </si>
  <si>
    <t>Res habilitante</t>
  </si>
  <si>
    <t>Excentricidad (capacidad máxima menor o igual a 30 kg)</t>
  </si>
  <si>
    <t>punto 9.1.1 para el ensayo previsto en el punto 13.3, ambos de la Resolución S.C. y N.E.I. Nº 2307/80</t>
  </si>
  <si>
    <t>(Excentricidad).</t>
  </si>
  <si>
    <t>Excentricidad (tolvas)</t>
  </si>
  <si>
    <t>punto 9.1.1. para el ensayo previsto en el punto 13.4.1 ambos de la Resolución S.C. y N.E.I. Nº 2307/80</t>
  </si>
  <si>
    <t>Excentricidad (mayor a 30 kg que admita carga rodantes)</t>
  </si>
  <si>
    <t>punto 9.1.1.  para el ensayo previsto en el punto 13.4.2.1 ambos de la Resolución S.C. y N.E.I. Nº 2307/80</t>
  </si>
  <si>
    <t>Excentricidad (mayor a 30 kg que NO admita carga rodantes)</t>
  </si>
  <si>
    <t>punto 9.1.1  para el ensayo previsto en el punto 13.4.3 ambos de la Resolución S.C. y N.E.I. Nº 2307/80</t>
  </si>
  <si>
    <t>Excentricidad (Balanza portatil para pesar por ejes con un único receptor de carga)</t>
  </si>
  <si>
    <t>punto 9.1.1 de la Resolución S.C. y N.E.I. Nº 2307/80 para el ensayo previsto en el punto D.2.3.2.1 de la Resolución S.C.D. y D.C. Nº 119/2001</t>
  </si>
  <si>
    <t>Excentricidad (Balanza portatil para pesar por ejes con dos receptores de carga)</t>
  </si>
  <si>
    <t>punto 9.1.1 de la Resolución S.C. y N.E.I. Nº 2307/80 para el ensayo previsto en el punto D.2.3.2.2  de la Resolución S.C.D. y D.C. Nº 119/2001</t>
  </si>
  <si>
    <t>Excentricidad (Balanza fija para pesar por ejes con un único receptor de carga)</t>
  </si>
  <si>
    <t>punto 9.1.1 de la Resolución S.C. y N.E.I. Nº 2307/80 para el ensayo previsto en el punto D.2.3.1.1 de la Resolución S.C.D. y D.C. Nº 119/2001</t>
  </si>
  <si>
    <t>Excentricidad (Balanza fija para pesar por ejes con dos receptores de carga)</t>
  </si>
  <si>
    <t>punto 9.1.1 de la Resolución S.C. y N.E.I. Nº 2307/80 para el ensayo previsto en el punto D.2.3.1.2 de la Resolución S.C.D. y D.C. Nº 119/2001</t>
  </si>
  <si>
    <t>Otro (especificar en la celda de abajo)</t>
  </si>
  <si>
    <t>DETALLAR EL MOTIVO DE LA SUSPENSIÓN EN LA CELDA INDICADA</t>
  </si>
  <si>
    <t>Revisó y aprobó:</t>
  </si>
  <si>
    <t>FALTA DE MEDIOS</t>
  </si>
  <si>
    <t>La verificación programada para el día de la fecha se suspende por falta de medios para realizarla.</t>
  </si>
  <si>
    <t>por falta de medios para realizarla.</t>
  </si>
  <si>
    <t>INSTRUMENTO NO APTO</t>
  </si>
  <si>
    <t>La verificación programada para el día de la fecha se suspende porque el instrumento no está en condiciones de ser verificado.</t>
  </si>
  <si>
    <t>debido a que el instrumento no está en condiciones de ser verificado.</t>
  </si>
  <si>
    <t>FACTORES CLIMÁTICOS</t>
  </si>
  <si>
    <t>suspensión sin cargo al solicitante. No se emite informe</t>
  </si>
  <si>
    <t>por factores climáticos adversos.</t>
  </si>
  <si>
    <t>INFORME DE VERIFICACIÓN</t>
  </si>
  <si>
    <t>MARGENES DE INFORME PARA J JONES</t>
  </si>
  <si>
    <t>SUP 4,3</t>
  </si>
  <si>
    <t>ENCAB 5</t>
  </si>
  <si>
    <t>IZQ 1,6</t>
  </si>
  <si>
    <t>DER 1,8</t>
  </si>
  <si>
    <t>INF 5,5</t>
  </si>
  <si>
    <t>PIE 4,5</t>
  </si>
  <si>
    <t>ESCALA 100%</t>
  </si>
  <si>
    <t>Conclusión</t>
  </si>
  <si>
    <t>Verificación del cumplimiento con las Reglamentaciones Metrológica y Técnica correspondientes a la Resolución ex S.E.C. y N.E.I. N° 2307/1980.</t>
  </si>
  <si>
    <t>Párrafos de las Reglamentaciones Metrológica y Técnica, Resolución 2307/80</t>
  </si>
  <si>
    <t>Verificación del cumplimiento con las Reglamentaciones Metrológica y Técnica correspondientes a las Resoluciones ex S.E.C. y N.E.I. N° 2307/1980 y S.C.D. y D.C. N° 119/2001.</t>
  </si>
  <si>
    <t>Las mediciones involucradas en este certificado están vinculadas a los patrones de medida mantenidos en el INTI según la legislación vigente, los cuales representan a las unidades físicas de medida en concordancia con el Sistema Internacional de Unidades (SI).</t>
  </si>
  <si>
    <t>Los ensayos que se efectúan se realizan de acuerdo a lo establecido en el Anexo de la Resolución ex - S.E.C. y N.E.I. Nº 2307/80, y se detallan a continuación:</t>
  </si>
  <si>
    <t>NOTA: En los casos en que el instrumento esté provisto de dos o más dispositivos indicadores de carga, deberá completarse una planilla para cada indicador.</t>
  </si>
  <si>
    <t>1.1. El instrumento parte de cero:</t>
  </si>
  <si>
    <t>1.2. Efecto máximo del dispositivo:</t>
  </si>
  <si>
    <t>“El efecto del dispositivo de puesta en cero debe ser como máximo igual al 4% de la capacidad máxima del instrumento”</t>
  </si>
  <si>
    <t>2.- Ensayo de exactitud de las pesadas (Punto 9.1. de la Resolución).</t>
  </si>
  <si>
    <t>2.1. Equipos de capacidad máxima mayor ó igual a 20.000 kg.</t>
  </si>
  <si>
    <t>(Efectuar 2 pesadas cada 10.000 kg o fracción mayor de 4.000 kg)</t>
  </si>
  <si>
    <t>Medición 
Nº</t>
  </si>
  <si>
    <t>Carga aplicada 
(kg)</t>
  </si>
  <si>
    <t>Error máximo tolerado (kg)</t>
  </si>
  <si>
    <t>Error verificado 
(kg)</t>
  </si>
  <si>
    <t>APLICACIÓN DE CARGA SUSTITUTA</t>
  </si>
  <si>
    <t>2.3. Ensayo de movilidad (Punto 14.2.2.1.1; 14.2.2.1.2 ó 14.2.1.1 de la Resolución según corresponda).</t>
  </si>
  <si>
    <t>2.3.1. Instrumentos con equilibrio automático o semiautomático.</t>
  </si>
  <si>
    <t>2.3.1.1.Instrumento de indicación o impresión continua (Punto 14.2.2.1.1)</t>
  </si>
  <si>
    <t>Carga aplicada    (kg)</t>
  </si>
  <si>
    <t>Indicación de carga 
(kg)</t>
  </si>
  <si>
    <t>Sobrecarga 
[Error Máximo Tolerado]  (kg)</t>
  </si>
  <si>
    <t>Desplazamiento observado 
(kg)</t>
  </si>
  <si>
    <t>Desplazamiento mínimo 
[0,7 E.M.T.] (kg)</t>
  </si>
  <si>
    <t>2.3.1.2 Instrumento de indicación o impresión discontinua (Punto 14.2.2.1.2).</t>
  </si>
  <si>
    <t>Medición
Nº</t>
  </si>
  <si>
    <t>Sobrecarga 
1,4 veces dd
(kg)</t>
  </si>
  <si>
    <t>Indicación 2
(kg)</t>
  </si>
  <si>
    <t>Diferencia 
(kg)</t>
  </si>
  <si>
    <t>2.3.2 Instrumento con equilibrio no automático (Punto 14.2.1.1.).</t>
  </si>
  <si>
    <t>Medición
N°</t>
  </si>
  <si>
    <t>Indicación
(kg)</t>
  </si>
  <si>
    <t>Sobrecarga 
[0,4 E.M.T.]
(kg)</t>
  </si>
  <si>
    <t>¿Movimiento visible?</t>
  </si>
  <si>
    <t>2.4. Ensayo de excentricidad.</t>
  </si>
  <si>
    <t>Error Verificado
(kg)</t>
  </si>
  <si>
    <t>Error máximo tolerado  (kg)</t>
  </si>
  <si>
    <t>±</t>
  </si>
  <si>
    <t>TIPO DE INSTRUMENTO</t>
  </si>
  <si>
    <t>PUNTO</t>
  </si>
  <si>
    <t>LEYENDA</t>
  </si>
  <si>
    <t>13.4.2.1</t>
  </si>
  <si>
    <t>ex S.E.C.y N.E.I. N° 2307/1980</t>
  </si>
  <si>
    <t>Instrumentos cuyo dispostivo receptor de carga pueden recibir cargas rodantes (13.4.2.1 de la Resolución ex S.E.C.y N.E.I 2307/80.........sobre cada uno de los ‘n’ puntos de apoyo del dispositivo receptor de carga, se coloca una carga de prueba sucesivamente repartida sobre una superficie del mismo orden que la fracción 1/n de la superficie del receptor de carga. Dicha carga de prueba debe ser igual a la fracción 1/n de la suma de la capacidad máxima y del efecto máximo aditivo de tara. Cuando dos puntos de apoyo están muy próximos y la carga de prueba no puede entonces ser ubicada en las condiciones precedentes, dicha carga se duplica y se reparte sobre una superficie doble, a ambos lados del eje de los puntos de apoyo).</t>
  </si>
  <si>
    <t>D.2.3.1.1 (*)</t>
  </si>
  <si>
    <t>ex S.E.C.y N.E.I. N° 2307/1980 y S.C.D. y D.C. N° 119/2001</t>
  </si>
  <si>
    <t>Instrumentos para el pesaje de vehículos por ejes o tandem de ejes, de instalación fija, con un único dispositivo receptor de carga. Punto D.2.3.1.1 de la Resolución S.C.D. y D.C. N° 119/2001…."El ensayo se realizará colocando sucesivamente en cada cuarto de la superficie del dispositivo receptor de carga, una carga de prueba igual a la cuarta parte de la capacidad máxima (Máx./4). Cuando ello no resulte practicable, se aplicará sucesivamente sobre cada uno de los puntos de apoyo del dispositivo receptor de carga, una carga de prueba igual a la octava parte de la capacidad máxima (Máx./8)."</t>
  </si>
  <si>
    <t>D.2.3.1.2 (*)</t>
  </si>
  <si>
    <t>Instrumentos para el pesaje de vehículos por ejes o tandem de ejes, de instalación fija, provistos de dos dispositivos receptores de cargas, vinculados o no estructuralmente entre sí. Punto D.2.3.1.2 de la Resolución S.C.D. y D.C. N° 119/2001…."El ensayo se realizará colocando sucesivamente en cada cuarto de la superficie de cada dispositivo receptor de carga, una carga de prueba igual a la octava parte de la capacidad máxima (Máx./8). Cuando ello no resulte practicable, se aplicará sucesivamente sobre cada uno de los puntos de apoyo de cada dispositivo receptor de carga, una carga de prueba igual a la dieciseisava parte de la capacidad máxima (Máx./16)."</t>
  </si>
  <si>
    <t>D.2.3.2.1 (*)</t>
  </si>
  <si>
    <t>Instrumentos portátiles para el pesaje de vehículos por ejes o tandem de ejes, con un único dispositivo receptor de carga. Punto D.2.3.2.1 de la Resolución S.C.D. y D.C. N° 119/2001…."El ensayo se realizará colocando sucesivamente en cada cuarto de la superficie del dispositivo receptor de carga, una carga de prueba igual a la cuarta parte de la capacidad máxima (Máx./4)."</t>
  </si>
  <si>
    <t>D.2.3.2.2 (*)</t>
  </si>
  <si>
    <t>Instrumentos portátiles para el pesaje de vehículos por ejes o tandem de ejes, provistos de dos dispositivos receptores de carga, vinculados o no estructuralmente entre sí, y que están conectados a un único dispositivo indicador de carga. Punto D.2.3.2.2 de la Resolución S.C.D. y D.C. N° 119/2001…."El ensayo se realizará colocando sucesivamente en el centro de cada cuarto de la superficie de cada dispositivo receptor de carga, una carga de prueba igual a la octava parte de la capacidad máxima (Máx./8)."</t>
  </si>
  <si>
    <t>13.4.3</t>
  </si>
  <si>
    <t>Instrumentos cuyo dispositivo receptor de carga no puede recibir una carga rodante (13.4.3 de la Resolución ex S.E.C.y N.E.I 2307/80: "Los ensayos de excentricidad de carga se efectuarán mediante una carga de prueba repartida sucesivamente a lo largo de cada uno de los bordes del dispositivo receptor de carga y sobre una superficie que no sobrepase la cuarta parte de la superficie total del receptor. Dicha carga de prueba debe ser igual a un tercio de la suma de la capacidad máxima  y del efecto máximo aditivo de tara.")</t>
  </si>
  <si>
    <t>13.4.1</t>
  </si>
  <si>
    <t>Instrumentos con dispositivo receptor de carga especial -depósito, tolva, etc.- (13.4.1 de la Resolución ex S.E.C.y N.E.I 2307/80: "Los ensayos de excentricidad de carga se efectuarán mediante una carga de prueba de pesas patrones repartidas sobre el soporte de pesas sobre cada punto de apoyo del dispositivo receptor de cargas. Dicha carga de prueba debe ser igual a un décimo de la suma de la capacidad máxima  y del efecto máximo aditivo de tara.")</t>
  </si>
  <si>
    <t>N/A</t>
  </si>
  <si>
    <t>NO SE REALIZA EL ENSAYO DE EXCENTRICIDAD EN ESTE TIPO DE BALANZAS</t>
  </si>
  <si>
    <t>2.5.FIDELIDAD (Punto 14.1.2. Precisión media y ordinaria de la Resolución).</t>
  </si>
  <si>
    <t>Medición                                                   Nº</t>
  </si>
  <si>
    <t xml:space="preserve">INDICACION (kg)    </t>
  </si>
  <si>
    <t>Diferencia entre carga aplicada y cero (kg)</t>
  </si>
  <si>
    <t>Cero</t>
  </si>
  <si>
    <t>Carga aplicada</t>
  </si>
  <si>
    <t>Diferencia tolerada (kg):</t>
  </si>
  <si>
    <t xml:space="preserve">Diferencia máx. encontrada (kg): </t>
  </si>
  <si>
    <t>Medición                                                      Nº</t>
  </si>
  <si>
    <t>Medición                                                         Nº</t>
  </si>
  <si>
    <t>Medición                                                            Nº</t>
  </si>
  <si>
    <t>Argentina</t>
  </si>
  <si>
    <t>Sr. Nievas Aldo Dario</t>
  </si>
  <si>
    <t>21.038.713</t>
  </si>
  <si>
    <t>aldo.nievas@trivento.com 2613376542</t>
  </si>
  <si>
    <t xml:space="preserve">Jefe de mantenimiento </t>
  </si>
  <si>
    <t>(a) N03474</t>
  </si>
  <si>
    <t>(a) N03475</t>
  </si>
  <si>
    <t>(a) B79341, B79342 (05/11/25)</t>
  </si>
  <si>
    <t>(a) B739443, B79344 (05/11/25)</t>
  </si>
  <si>
    <t>Verificado</t>
  </si>
  <si>
    <t>(a) 1104924 (05/11/25)</t>
  </si>
  <si>
    <t>Campo</t>
  </si>
  <si>
    <t>Valor</t>
  </si>
  <si>
    <t>Número de O.T.</t>
  </si>
  <si>
    <t>VPE Nº</t>
  </si>
  <si>
    <t>Empresa solicitante</t>
  </si>
  <si>
    <t>Razón social (Propietario)</t>
  </si>
  <si>
    <t>Marolio S.A.</t>
  </si>
  <si>
    <t>Domicilio (Fiscal)</t>
  </si>
  <si>
    <t>Empedrado 2531 - Ciudad Autónoma de Buenos Aires - Buenos Aires</t>
  </si>
  <si>
    <t>Localidad (Fiscal)</t>
  </si>
  <si>
    <t>Provincia (Fiscal)</t>
  </si>
  <si>
    <t>Lugar propio de instalación - Domicilio</t>
  </si>
  <si>
    <t>RUTA PROVINCIAL Nº 20 S/N</t>
  </si>
  <si>
    <t>Lugar propio de instalación - Localidad</t>
  </si>
  <si>
    <t>COSTA DE ARAUJO</t>
  </si>
  <si>
    <t>Lugar propio de instalación - Provincia</t>
  </si>
  <si>
    <t>Instrumento verificado</t>
  </si>
  <si>
    <t>Fabricante receptor</t>
  </si>
  <si>
    <t>INDUSTRIAL SYSTEMS S.A.</t>
  </si>
  <si>
    <t>Marca Receptor</t>
  </si>
  <si>
    <t>BIANCHETTI</t>
  </si>
  <si>
    <t>Modelo Receptor</t>
  </si>
  <si>
    <t>TruckTRONIX 8020</t>
  </si>
  <si>
    <t>N° de serie Receptor</t>
  </si>
  <si>
    <t>Cód ap. mod. Receptor</t>
  </si>
  <si>
    <t>BF.80-2172</t>
  </si>
  <si>
    <t>e</t>
  </si>
  <si>
    <t>20</t>
  </si>
  <si>
    <t>máx</t>
  </si>
  <si>
    <t>80000</t>
  </si>
  <si>
    <t>mín</t>
  </si>
  <si>
    <t>1000</t>
  </si>
  <si>
    <t>dd=dt</t>
  </si>
  <si>
    <t>clase</t>
  </si>
  <si>
    <t>N° de Aprobación Modelo (Receptor)</t>
  </si>
  <si>
    <t>237/2010</t>
  </si>
  <si>
    <t>Fecha de Aprobación Modelo (Receptor)</t>
  </si>
  <si>
    <t>8 de abril de 2010</t>
  </si>
  <si>
    <t>Tipo (Indicador)</t>
  </si>
  <si>
    <t>Fabricante Indicador</t>
  </si>
  <si>
    <t>Marca Indicador</t>
  </si>
  <si>
    <t>Modelo Indicador</t>
  </si>
  <si>
    <t>PB 10.000</t>
  </si>
  <si>
    <t>N° de serie Indicador</t>
  </si>
  <si>
    <t>Código Aprobación (Indicador)</t>
  </si>
  <si>
    <t>BF.60-1624</t>
  </si>
  <si>
    <t>Origen Indicador</t>
  </si>
  <si>
    <t>N° de Aprobación Modelo (Indicador)</t>
  </si>
  <si>
    <t>607/1999</t>
  </si>
  <si>
    <t>Fecha de Aprobación Modelo (Indicador)</t>
  </si>
  <si>
    <t>20 de mayo de 1999</t>
  </si>
  <si>
    <t>307-64088</t>
  </si>
  <si>
    <t>93084</t>
  </si>
  <si>
    <t>28082017214</t>
  </si>
  <si>
    <t>28082017215</t>
  </si>
  <si>
    <t>Guitart Vanesa</t>
  </si>
  <si>
    <t>27-26660762-3</t>
  </si>
  <si>
    <t>Fecha estimada de verificación</t>
  </si>
  <si>
    <t>Lic. Alejandro D. Pucci</t>
  </si>
  <si>
    <t>D.N.I. N° 25.891.287</t>
  </si>
  <si>
    <t>161</t>
  </si>
  <si>
    <t>apucci@inti.gob.ar</t>
  </si>
  <si>
    <t>30-71679479-9</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</si>
</sst>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2">
    <numFmt numFmtId="43" formatCode="_-* #,##0.00_-;\-* #,##0.00_-;_-* &quot;-&quot;??_-;_-@_-"/>
    <numFmt numFmtId="164" formatCode="0.000"/>
    <numFmt numFmtId="165" formatCode="0.0"/>
    <numFmt numFmtId="166" formatCode="d\ &quot;de&quot;\ mmmm\ &quot;de&quot;\ yyyy"/>
    <numFmt numFmtId="167" formatCode="0.00000"/>
    <numFmt numFmtId="168" formatCode="_-* #,##0_-;\-* #,##0_-;_-* &quot;-&quot;??_-;_-@_-"/>
    <numFmt numFmtId="169" formatCode="d\-m\-yy"/>
    <numFmt numFmtId="170" formatCode="0.0000"/>
    <numFmt numFmtId="171" formatCode="0.00000000000000000"/>
    <numFmt numFmtId="172" formatCode="_-* #,##0.000_-;\-* #,##0.000_-;_-* &quot;-&quot;??_-;_-@_-"/>
    <numFmt numFmtId="173" formatCode="[$-2C0A]dddd\,\ d\ &quot;de&quot;\ mmmm\ &quot;de&quot;\ yyyy"/>
    <numFmt numFmtId="174" formatCode="[$-2C0A]d&quot; de &quot;mmmm&quot; de &quot;yyyy;@"/>
  </numFmts>
  <fonts count="117" x14ac:knownFonts="1">
    <font>
      <sz val="10"/>
      <name val="Arial"/>
    </font>
    <font>
      <sz val="11"/>
      <color theme="1"/>
      <name val="Calibri"/>
      <family val="2"/>
      <scheme val="minor"/>
    </font>
    <font>
      <sz val="11"/>
      <color theme="1"/>
      <name val="Calibri"/>
      <family val="2"/>
      <scheme val="minor"/>
    </font>
    <font>
      <sz val="11"/>
      <color theme="1"/>
      <name val="Calibri"/>
      <family val="2"/>
      <scheme val="minor"/>
    </font>
    <font>
      <sz val="10"/>
      <name val="Arial"/>
      <family val="2"/>
    </font>
    <font>
      <b/>
      <sz val="10"/>
      <name val="Arial"/>
      <family val="2"/>
    </font>
    <font>
      <b/>
      <sz val="14"/>
      <name val="Arial"/>
      <family val="2"/>
    </font>
    <font>
      <sz val="10"/>
      <name val="Arial"/>
      <family val="2"/>
    </font>
    <font>
      <u/>
      <sz val="10"/>
      <color indexed="12"/>
      <name val="Arial"/>
      <family val="2"/>
    </font>
    <font>
      <b/>
      <sz val="9"/>
      <name val="Arial"/>
      <family val="2"/>
    </font>
    <font>
      <sz val="12"/>
      <name val="Arial"/>
      <family val="2"/>
    </font>
    <font>
      <sz val="12"/>
      <name val="Arial"/>
      <family val="2"/>
    </font>
    <font>
      <b/>
      <sz val="12"/>
      <name val="Arial"/>
      <family val="2"/>
    </font>
    <font>
      <b/>
      <sz val="18"/>
      <name val="Arial"/>
      <family val="2"/>
    </font>
    <font>
      <b/>
      <sz val="11"/>
      <name val="Arial"/>
      <family val="2"/>
    </font>
    <font>
      <b/>
      <sz val="16"/>
      <name val="Arial"/>
      <family val="2"/>
    </font>
    <font>
      <b/>
      <sz val="10"/>
      <color indexed="48"/>
      <name val="Arial"/>
      <family val="2"/>
    </font>
    <font>
      <b/>
      <sz val="12"/>
      <color indexed="10"/>
      <name val="Arial"/>
      <family val="2"/>
    </font>
    <font>
      <sz val="11"/>
      <name val="Arial"/>
      <family val="2"/>
    </font>
    <font>
      <sz val="9"/>
      <name val="Arial"/>
      <family val="2"/>
    </font>
    <font>
      <b/>
      <sz val="11"/>
      <color indexed="48"/>
      <name val="Arial"/>
      <family val="2"/>
    </font>
    <font>
      <b/>
      <sz val="12"/>
      <color indexed="17"/>
      <name val="Arial"/>
      <family val="2"/>
    </font>
    <font>
      <b/>
      <sz val="14"/>
      <color indexed="17"/>
      <name val="Arial"/>
      <family val="2"/>
    </font>
    <font>
      <b/>
      <sz val="10"/>
      <color indexed="8"/>
      <name val="Arial"/>
      <family val="2"/>
    </font>
    <font>
      <b/>
      <i/>
      <sz val="12"/>
      <color indexed="12"/>
      <name val="Arial"/>
      <family val="2"/>
    </font>
    <font>
      <b/>
      <sz val="16"/>
      <color indexed="17"/>
      <name val="Arial"/>
      <family val="2"/>
    </font>
    <font>
      <b/>
      <sz val="14"/>
      <color indexed="10"/>
      <name val="Arial"/>
      <family val="2"/>
    </font>
    <font>
      <i/>
      <sz val="12"/>
      <name val="Arial"/>
      <family val="2"/>
    </font>
    <font>
      <i/>
      <sz val="10"/>
      <name val="Arial"/>
      <family val="2"/>
    </font>
    <font>
      <sz val="12"/>
      <name val="Symbol"/>
      <family val="1"/>
      <charset val="2"/>
    </font>
    <font>
      <sz val="10"/>
      <name val="Symbol"/>
      <family val="1"/>
      <charset val="2"/>
    </font>
    <font>
      <sz val="10"/>
      <name val="Arial"/>
      <family val="2"/>
    </font>
    <font>
      <sz val="10"/>
      <color indexed="17"/>
      <name val="Arial"/>
      <family val="2"/>
    </font>
    <font>
      <sz val="9"/>
      <color indexed="17"/>
      <name val="Arial"/>
      <family val="2"/>
    </font>
    <font>
      <b/>
      <u/>
      <sz val="9"/>
      <name val="Arial"/>
      <family val="2"/>
    </font>
    <font>
      <b/>
      <sz val="10"/>
      <color indexed="17"/>
      <name val="Arial"/>
      <family val="2"/>
    </font>
    <font>
      <u/>
      <sz val="14"/>
      <name val="Arial"/>
      <family val="2"/>
    </font>
    <font>
      <b/>
      <i/>
      <sz val="10"/>
      <name val="Arial"/>
      <family val="2"/>
    </font>
    <font>
      <sz val="8"/>
      <name val="Arial"/>
      <family val="2"/>
    </font>
    <font>
      <b/>
      <sz val="18"/>
      <color indexed="17"/>
      <name val="Arial"/>
      <family val="2"/>
    </font>
    <font>
      <sz val="10"/>
      <name val="Arial Narrow"/>
      <family val="2"/>
    </font>
    <font>
      <b/>
      <sz val="11"/>
      <name val="Arial Narrow"/>
      <family val="2"/>
    </font>
    <font>
      <b/>
      <sz val="12"/>
      <name val="Arial Narrow"/>
      <family val="2"/>
    </font>
    <font>
      <sz val="12"/>
      <name val="Arial Narrow"/>
      <family val="2"/>
    </font>
    <font>
      <b/>
      <sz val="14"/>
      <name val="Arial Narrow"/>
      <family val="2"/>
    </font>
    <font>
      <i/>
      <sz val="12"/>
      <name val="Arial Narrow"/>
      <family val="2"/>
    </font>
    <font>
      <sz val="14"/>
      <name val="Arial Narrow"/>
      <family val="2"/>
    </font>
    <font>
      <b/>
      <sz val="18"/>
      <name val="Arial Narrow"/>
      <family val="2"/>
    </font>
    <font>
      <sz val="13"/>
      <name val="Arial Narrow"/>
      <family val="2"/>
    </font>
    <font>
      <b/>
      <sz val="13"/>
      <name val="Arial Narrow"/>
      <family val="2"/>
    </font>
    <font>
      <b/>
      <sz val="13"/>
      <color indexed="48"/>
      <name val="Arial Narrow"/>
      <family val="2"/>
    </font>
    <font>
      <sz val="11"/>
      <name val="Arial Narrow"/>
      <family val="2"/>
    </font>
    <font>
      <sz val="8"/>
      <name val="Arial Narrow"/>
      <family val="2"/>
    </font>
    <font>
      <sz val="12"/>
      <name val="Times New Roman"/>
      <family val="1"/>
    </font>
    <font>
      <sz val="10"/>
      <name val="Arial"/>
      <family val="2"/>
    </font>
    <font>
      <b/>
      <i/>
      <sz val="12"/>
      <name val="Arial Narrow"/>
      <family val="2"/>
    </font>
    <font>
      <b/>
      <sz val="10"/>
      <name val="Arial Narrow"/>
      <family val="2"/>
    </font>
    <font>
      <b/>
      <sz val="12"/>
      <name val="Arial Greek"/>
      <family val="2"/>
      <charset val="161"/>
    </font>
    <font>
      <b/>
      <sz val="11"/>
      <color indexed="17"/>
      <name val="Arial Narrow"/>
      <family val="2"/>
    </font>
    <font>
      <b/>
      <sz val="12"/>
      <color indexed="17"/>
      <name val="Arial Narrow"/>
      <family val="2"/>
    </font>
    <font>
      <b/>
      <sz val="12"/>
      <color indexed="10"/>
      <name val="Arial Narrow"/>
      <family val="2"/>
    </font>
    <font>
      <b/>
      <sz val="16"/>
      <name val="Arial Narrow"/>
      <family val="2"/>
    </font>
    <font>
      <b/>
      <sz val="10"/>
      <color indexed="10"/>
      <name val="Arial Narrow"/>
      <family val="2"/>
    </font>
    <font>
      <sz val="10"/>
      <color indexed="17"/>
      <name val="Arial Narrow"/>
      <family val="2"/>
    </font>
    <font>
      <b/>
      <sz val="13"/>
      <color indexed="9"/>
      <name val="Arial Narrow"/>
      <family val="2"/>
    </font>
    <font>
      <b/>
      <sz val="10"/>
      <color indexed="17"/>
      <name val="Arial Narrow"/>
      <family val="2"/>
    </font>
    <font>
      <u/>
      <sz val="10"/>
      <name val="Arial"/>
      <family val="2"/>
    </font>
    <font>
      <b/>
      <sz val="16"/>
      <color indexed="10"/>
      <name val="Arial"/>
      <family val="2"/>
    </font>
    <font>
      <b/>
      <sz val="9"/>
      <name val="Arial Narrow"/>
      <family val="2"/>
    </font>
    <font>
      <b/>
      <sz val="14"/>
      <color indexed="10"/>
      <name val="Arial Narrow"/>
      <family val="2"/>
    </font>
    <font>
      <u/>
      <sz val="8"/>
      <color indexed="12"/>
      <name val="Arial"/>
      <family val="2"/>
    </font>
    <font>
      <b/>
      <sz val="18"/>
      <color indexed="10"/>
      <name val="Arial"/>
      <family val="2"/>
    </font>
    <font>
      <b/>
      <sz val="16"/>
      <color indexed="10"/>
      <name val="Arial Narrow"/>
      <family val="2"/>
    </font>
    <font>
      <u/>
      <sz val="12"/>
      <name val="Arial"/>
      <family val="2"/>
    </font>
    <font>
      <vertAlign val="superscript"/>
      <sz val="9"/>
      <name val="Arial"/>
      <family val="2"/>
    </font>
    <font>
      <i/>
      <sz val="11"/>
      <name val="Arial"/>
      <family val="2"/>
    </font>
    <font>
      <b/>
      <u/>
      <sz val="11"/>
      <name val="Arial"/>
      <family val="2"/>
    </font>
    <font>
      <b/>
      <i/>
      <sz val="12"/>
      <name val="Arial"/>
      <family val="2"/>
    </font>
    <font>
      <sz val="7.5"/>
      <name val="Arial"/>
      <family val="2"/>
    </font>
    <font>
      <b/>
      <i/>
      <sz val="11"/>
      <name val="Arial"/>
      <family val="2"/>
    </font>
    <font>
      <b/>
      <sz val="10"/>
      <color indexed="10"/>
      <name val="Arial"/>
      <family val="2"/>
    </font>
    <font>
      <b/>
      <sz val="10"/>
      <color indexed="10"/>
      <name val="Arial"/>
      <family val="2"/>
    </font>
    <font>
      <b/>
      <sz val="11"/>
      <color indexed="48"/>
      <name val="Arial"/>
      <family val="2"/>
    </font>
    <font>
      <b/>
      <sz val="12"/>
      <color indexed="10"/>
      <name val="Arial"/>
      <family val="2"/>
    </font>
    <font>
      <b/>
      <sz val="14"/>
      <color indexed="10"/>
      <name val="Arial"/>
      <family val="2"/>
    </font>
    <font>
      <b/>
      <sz val="10"/>
      <color indexed="10"/>
      <name val="Arial Narrow"/>
      <family val="2"/>
    </font>
    <font>
      <b/>
      <sz val="12"/>
      <color indexed="10"/>
      <name val="Arial Narrow"/>
      <family val="2"/>
    </font>
    <font>
      <sz val="10"/>
      <color indexed="10"/>
      <name val="Arial"/>
      <family val="2"/>
    </font>
    <font>
      <b/>
      <sz val="14"/>
      <color indexed="10"/>
      <name val="Arial Narrow"/>
      <family val="2"/>
    </font>
    <font>
      <b/>
      <sz val="8"/>
      <color indexed="10"/>
      <name val="Arial"/>
      <family val="2"/>
    </font>
    <font>
      <sz val="12"/>
      <color indexed="13"/>
      <name val="Arial"/>
      <family val="2"/>
    </font>
    <font>
      <sz val="12"/>
      <color indexed="18"/>
      <name val="Arial Narrow"/>
      <family val="2"/>
    </font>
    <font>
      <sz val="10"/>
      <color indexed="18"/>
      <name val="Arial"/>
      <family val="2"/>
    </font>
    <font>
      <b/>
      <sz val="12"/>
      <color indexed="18"/>
      <name val="Arial Narrow"/>
      <family val="2"/>
    </font>
    <font>
      <sz val="10"/>
      <color indexed="18"/>
      <name val="Arial"/>
      <family val="2"/>
    </font>
    <font>
      <sz val="12"/>
      <color indexed="18"/>
      <name val="Arial Narrow"/>
      <family val="2"/>
    </font>
    <font>
      <b/>
      <sz val="10"/>
      <color indexed="18"/>
      <name val="Arial"/>
      <family val="2"/>
    </font>
    <font>
      <b/>
      <sz val="11"/>
      <color indexed="13"/>
      <name val="Arial"/>
      <family val="2"/>
    </font>
    <font>
      <sz val="14"/>
      <name val="Calibri"/>
      <family val="2"/>
    </font>
    <font>
      <b/>
      <sz val="11"/>
      <color indexed="8"/>
      <name val="Arial"/>
      <family val="2"/>
    </font>
    <font>
      <b/>
      <sz val="11"/>
      <color indexed="10"/>
      <name val="Arial"/>
      <family val="2"/>
    </font>
    <font>
      <b/>
      <sz val="16"/>
      <color indexed="10"/>
      <name val="Arial Narrow"/>
      <family val="2"/>
    </font>
    <font>
      <b/>
      <sz val="11"/>
      <color indexed="62"/>
      <name val="Arial"/>
      <family val="2"/>
    </font>
    <font>
      <b/>
      <i/>
      <sz val="12"/>
      <color indexed="12"/>
      <name val="Arial"/>
      <family val="2"/>
    </font>
    <font>
      <b/>
      <sz val="16"/>
      <color indexed="12"/>
      <name val="Arial"/>
      <family val="2"/>
    </font>
    <font>
      <b/>
      <sz val="11"/>
      <color theme="1"/>
      <name val="Calibri"/>
      <family val="2"/>
      <scheme val="minor"/>
    </font>
    <font>
      <b/>
      <sz val="12"/>
      <color rgb="FFFFFF00"/>
      <name val="Arial Narrow"/>
      <family val="2"/>
    </font>
    <font>
      <b/>
      <sz val="10"/>
      <color rgb="FFFFFF00"/>
      <name val="Arial Narrow"/>
      <family val="2"/>
    </font>
    <font>
      <b/>
      <sz val="12"/>
      <color rgb="FFFF0000"/>
      <name val="Arial Narrow"/>
      <family val="2"/>
    </font>
    <font>
      <sz val="10"/>
      <color rgb="FFFF0000"/>
      <name val="Arial"/>
      <family val="2"/>
    </font>
    <font>
      <sz val="12"/>
      <color rgb="FFFF0000"/>
      <name val="Arial Narrow"/>
      <family val="2"/>
    </font>
    <font>
      <b/>
      <sz val="11"/>
      <color rgb="FFFFFF00"/>
      <name val="Arial"/>
      <family val="2"/>
    </font>
    <font>
      <sz val="11"/>
      <color rgb="FFFF0000"/>
      <name val="Arial"/>
      <family val="2"/>
    </font>
    <font>
      <u/>
      <sz val="10"/>
      <color theme="10"/>
      <name val="Arial"/>
      <family val="2"/>
    </font>
    <font>
      <b/>
      <sz val="11"/>
      <color rgb="FFFFFFFF"/>
      <name val="Calibri"/>
      <family val="2"/>
      <scheme val="minor"/>
    </font>
    <font>
      <b/>
      <i/>
      <sz val="10"/>
      <color rgb="FFFF0000"/>
      <name val="Arial"/>
      <family val="2"/>
    </font>
    <font>
      <b/>
      <sz val="10"/>
      <color rgb="FFFF0000"/>
      <name val="Arial"/>
      <family val="2"/>
    </font>
  </fonts>
  <fills count="21">
    <fill>
      <patternFill patternType="none"/>
    </fill>
    <fill>
      <patternFill patternType="gray125"/>
    </fill>
    <fill>
      <patternFill patternType="solid">
        <fgColor indexed="22"/>
        <bgColor indexed="64"/>
      </patternFill>
    </fill>
    <fill>
      <patternFill patternType="solid">
        <fgColor indexed="49"/>
        <bgColor indexed="64"/>
      </patternFill>
    </fill>
    <fill>
      <patternFill patternType="solid">
        <fgColor indexed="43"/>
        <bgColor indexed="64"/>
      </patternFill>
    </fill>
    <fill>
      <patternFill patternType="solid">
        <fgColor indexed="42"/>
        <bgColor indexed="64"/>
      </patternFill>
    </fill>
    <fill>
      <patternFill patternType="solid">
        <fgColor indexed="11"/>
        <bgColor indexed="64"/>
      </patternFill>
    </fill>
    <fill>
      <patternFill patternType="solid">
        <fgColor indexed="41"/>
        <bgColor indexed="64"/>
      </patternFill>
    </fill>
    <fill>
      <patternFill patternType="solid">
        <fgColor indexed="13"/>
        <bgColor indexed="64"/>
      </patternFill>
    </fill>
    <fill>
      <patternFill patternType="solid">
        <fgColor indexed="55"/>
        <bgColor indexed="64"/>
      </patternFill>
    </fill>
    <fill>
      <patternFill patternType="solid">
        <fgColor indexed="47"/>
        <bgColor indexed="64"/>
      </patternFill>
    </fill>
    <fill>
      <patternFill patternType="solid">
        <fgColor indexed="8"/>
        <bgColor indexed="64"/>
      </patternFill>
    </fill>
    <fill>
      <patternFill patternType="solid">
        <fgColor indexed="48"/>
        <bgColor indexed="64"/>
      </patternFill>
    </fill>
    <fill>
      <patternFill patternType="solid">
        <fgColor indexed="9"/>
        <bgColor indexed="64"/>
      </patternFill>
    </fill>
    <fill>
      <patternFill patternType="solid">
        <fgColor indexed="31"/>
        <bgColor indexed="64"/>
      </patternFill>
    </fill>
    <fill>
      <patternFill patternType="solid">
        <fgColor indexed="11"/>
        <bgColor indexed="8"/>
      </patternFill>
    </fill>
    <fill>
      <patternFill patternType="solid">
        <fgColor theme="6" tint="0.59999389629810485"/>
        <bgColor indexed="64"/>
      </patternFill>
    </fill>
    <fill>
      <patternFill patternType="solid">
        <fgColor rgb="FFFFFFCC"/>
        <bgColor indexed="64"/>
      </patternFill>
    </fill>
    <fill>
      <patternFill patternType="solid">
        <fgColor theme="0" tint="-0.249977111117893"/>
        <bgColor indexed="64"/>
      </patternFill>
    </fill>
    <fill>
      <patternFill patternType="solid">
        <fgColor rgb="FFFFFF00"/>
        <bgColor indexed="64"/>
      </patternFill>
    </fill>
    <fill>
      <patternFill patternType="solid">
        <fgColor rgb="FF4472C4"/>
        <bgColor indexed="64"/>
      </patternFill>
    </fill>
  </fills>
  <borders count="80">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style="medium">
        <color indexed="64"/>
      </bottom>
      <diagonal/>
    </border>
    <border>
      <left/>
      <right/>
      <top/>
      <bottom style="thin">
        <color indexed="64"/>
      </bottom>
      <diagonal/>
    </border>
    <border>
      <left/>
      <right/>
      <top style="thin">
        <color indexed="64"/>
      </top>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top/>
      <bottom/>
      <diagonal/>
    </border>
    <border>
      <left/>
      <right style="medium">
        <color indexed="64"/>
      </right>
      <top/>
      <bottom/>
      <diagonal/>
    </border>
    <border>
      <left style="medium">
        <color indexed="64"/>
      </left>
      <right style="medium">
        <color indexed="64"/>
      </right>
      <top style="medium">
        <color indexed="64"/>
      </top>
      <bottom style="medium">
        <color indexed="64"/>
      </bottom>
      <diagonal/>
    </border>
    <border>
      <left style="medium">
        <color indexed="64"/>
      </left>
      <right/>
      <top style="medium">
        <color indexed="64"/>
      </top>
      <bottom style="medium">
        <color indexed="64"/>
      </bottom>
      <diagonal/>
    </border>
    <border>
      <left style="medium">
        <color indexed="64"/>
      </left>
      <right style="medium">
        <color indexed="64"/>
      </right>
      <top style="medium">
        <color indexed="64"/>
      </top>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diagonal/>
    </border>
    <border>
      <left/>
      <right style="medium">
        <color indexed="64"/>
      </right>
      <top style="thin">
        <color indexed="64"/>
      </top>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medium">
        <color indexed="64"/>
      </right>
      <top style="thin">
        <color indexed="64"/>
      </top>
      <bottom style="thin">
        <color indexed="64"/>
      </bottom>
      <diagonal/>
    </border>
    <border>
      <left style="medium">
        <color indexed="64"/>
      </left>
      <right/>
      <top/>
      <bottom style="medium">
        <color indexed="64"/>
      </bottom>
      <diagonal/>
    </border>
    <border>
      <left/>
      <right/>
      <top/>
      <bottom style="medium">
        <color indexed="64"/>
      </bottom>
      <diagonal/>
    </border>
    <border>
      <left style="medium">
        <color indexed="64"/>
      </left>
      <right/>
      <top style="thin">
        <color indexed="64"/>
      </top>
      <bottom style="medium">
        <color indexed="64"/>
      </bottom>
      <diagonal/>
    </border>
    <border>
      <left/>
      <right style="thin">
        <color indexed="64"/>
      </right>
      <top style="thin">
        <color indexed="64"/>
      </top>
      <bottom style="medium">
        <color indexed="64"/>
      </bottom>
      <diagonal/>
    </border>
    <border>
      <left style="thin">
        <color indexed="64"/>
      </left>
      <right/>
      <top/>
      <bottom style="medium">
        <color indexed="64"/>
      </bottom>
      <diagonal/>
    </border>
    <border>
      <left/>
      <right/>
      <top style="thin">
        <color indexed="64"/>
      </top>
      <bottom style="medium">
        <color indexed="64"/>
      </bottom>
      <diagonal/>
    </border>
    <border>
      <left/>
      <right style="medium">
        <color indexed="64"/>
      </right>
      <top/>
      <bottom style="medium">
        <color indexed="64"/>
      </bottom>
      <diagonal/>
    </border>
    <border>
      <left style="thin">
        <color indexed="64"/>
      </left>
      <right style="thin">
        <color indexed="64"/>
      </right>
      <top/>
      <bottom style="thin">
        <color indexed="64"/>
      </bottom>
      <diagonal/>
    </border>
    <border>
      <left style="medium">
        <color indexed="64"/>
      </left>
      <right style="medium">
        <color indexed="64"/>
      </right>
      <top/>
      <bottom style="thin">
        <color indexed="64"/>
      </bottom>
      <diagonal/>
    </border>
    <border>
      <left style="thin">
        <color indexed="64"/>
      </left>
      <right style="thin">
        <color indexed="64"/>
      </right>
      <top style="medium">
        <color indexed="64"/>
      </top>
      <bottom style="medium">
        <color indexed="64"/>
      </bottom>
      <diagonal/>
    </border>
    <border>
      <left/>
      <right style="thin">
        <color indexed="64"/>
      </right>
      <top style="medium">
        <color indexed="64"/>
      </top>
      <bottom style="medium">
        <color indexed="64"/>
      </bottom>
      <diagonal/>
    </border>
    <border>
      <left/>
      <right style="thin">
        <color indexed="64"/>
      </right>
      <top/>
      <bottom style="thin">
        <color indexed="64"/>
      </bottom>
      <diagonal/>
    </border>
    <border>
      <left style="thin">
        <color indexed="64"/>
      </left>
      <right/>
      <top/>
      <bottom/>
      <diagonal/>
    </border>
    <border>
      <left style="medium">
        <color indexed="64"/>
      </left>
      <right style="medium">
        <color indexed="64"/>
      </right>
      <top style="medium">
        <color indexed="64"/>
      </top>
      <bottom style="thin">
        <color indexed="64"/>
      </bottom>
      <diagonal/>
    </border>
    <border>
      <left style="medium">
        <color indexed="64"/>
      </left>
      <right style="medium">
        <color indexed="64"/>
      </right>
      <top style="thin">
        <color indexed="64"/>
      </top>
      <bottom style="medium">
        <color indexed="64"/>
      </bottom>
      <diagonal/>
    </border>
    <border>
      <left style="medium">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medium">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right style="thin">
        <color indexed="64"/>
      </right>
      <top/>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thin">
        <color indexed="64"/>
      </left>
      <right style="medium">
        <color indexed="64"/>
      </right>
      <top/>
      <bottom style="medium">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style="medium">
        <color indexed="64"/>
      </bottom>
      <diagonal/>
    </border>
    <border>
      <left style="medium">
        <color indexed="64"/>
      </left>
      <right style="medium">
        <color indexed="64"/>
      </right>
      <top/>
      <bottom style="medium">
        <color indexed="64"/>
      </bottom>
      <diagonal/>
    </border>
    <border>
      <left/>
      <right style="thin">
        <color indexed="64"/>
      </right>
      <top/>
      <bottom style="medium">
        <color indexed="64"/>
      </bottom>
      <diagonal/>
    </border>
    <border>
      <left style="medium">
        <color indexed="64"/>
      </left>
      <right/>
      <top/>
      <bottom style="dotted">
        <color indexed="64"/>
      </bottom>
      <diagonal/>
    </border>
    <border>
      <left/>
      <right/>
      <top/>
      <bottom style="dotted">
        <color indexed="64"/>
      </bottom>
      <diagonal/>
    </border>
    <border>
      <left/>
      <right style="dotted">
        <color indexed="64"/>
      </right>
      <top/>
      <bottom style="dotted">
        <color indexed="64"/>
      </bottom>
      <diagonal/>
    </border>
    <border>
      <left/>
      <right/>
      <top style="medium">
        <color indexed="64"/>
      </top>
      <bottom style="thin">
        <color indexed="64"/>
      </bottom>
      <diagonal/>
    </border>
    <border>
      <left/>
      <right style="dotted">
        <color indexed="64"/>
      </right>
      <top/>
      <bottom/>
      <diagonal/>
    </border>
    <border>
      <left/>
      <right style="dotted">
        <color indexed="64"/>
      </right>
      <top style="medium">
        <color indexed="64"/>
      </top>
      <bottom/>
      <diagonal/>
    </border>
    <border>
      <left style="medium">
        <color indexed="64"/>
      </left>
      <right style="thin">
        <color indexed="64"/>
      </right>
      <top/>
      <bottom style="medium">
        <color indexed="64"/>
      </bottom>
      <diagonal/>
    </border>
    <border>
      <left style="thin">
        <color indexed="64"/>
      </left>
      <right style="medium">
        <color indexed="64"/>
      </right>
      <top/>
      <bottom style="thin">
        <color indexed="64"/>
      </bottom>
      <diagonal/>
    </border>
    <border>
      <left style="medium">
        <color indexed="64"/>
      </left>
      <right/>
      <top style="medium">
        <color indexed="64"/>
      </top>
      <bottom style="thin">
        <color indexed="64"/>
      </bottom>
      <diagonal/>
    </border>
    <border>
      <left/>
      <right style="medium">
        <color indexed="64"/>
      </right>
      <top/>
      <bottom style="thin">
        <color indexed="64"/>
      </bottom>
      <diagonal/>
    </border>
    <border>
      <left style="medium">
        <color indexed="64"/>
      </left>
      <right/>
      <top/>
      <bottom style="thin">
        <color indexed="64"/>
      </bottom>
      <diagonal/>
    </border>
    <border>
      <left/>
      <right style="medium">
        <color indexed="64"/>
      </right>
      <top style="thin">
        <color indexed="64"/>
      </top>
      <bottom style="medium">
        <color indexed="64"/>
      </bottom>
      <diagonal/>
    </border>
    <border>
      <left style="medium">
        <color indexed="64"/>
      </left>
      <right style="thin">
        <color indexed="64"/>
      </right>
      <top/>
      <bottom style="thin">
        <color indexed="64"/>
      </bottom>
      <diagonal/>
    </border>
    <border diagonalDown="1">
      <left style="medium">
        <color indexed="64"/>
      </left>
      <right style="medium">
        <color indexed="64"/>
      </right>
      <top style="medium">
        <color indexed="64"/>
      </top>
      <bottom style="medium">
        <color indexed="64"/>
      </bottom>
      <diagonal style="thin">
        <color indexed="64"/>
      </diagonal>
    </border>
    <border>
      <left style="medium">
        <color indexed="64"/>
      </left>
      <right style="medium">
        <color indexed="64"/>
      </right>
      <top/>
      <bottom/>
      <diagonal/>
    </border>
    <border>
      <left/>
      <right style="thin">
        <color indexed="64"/>
      </right>
      <top style="medium">
        <color indexed="64"/>
      </top>
      <bottom style="thin">
        <color indexed="64"/>
      </bottom>
      <diagonal/>
    </border>
    <border>
      <left/>
      <right style="medium">
        <color indexed="64"/>
      </right>
      <top style="medium">
        <color indexed="64"/>
      </top>
      <bottom style="thin">
        <color indexed="64"/>
      </bottom>
      <diagonal/>
    </border>
    <border>
      <left style="medium">
        <color indexed="64"/>
      </left>
      <right/>
      <top style="thin">
        <color indexed="64"/>
      </top>
      <bottom/>
      <diagonal/>
    </border>
    <border>
      <left style="medium">
        <color indexed="64"/>
      </left>
      <right style="medium">
        <color indexed="64"/>
      </right>
      <top style="thin">
        <color indexed="64"/>
      </top>
      <bottom/>
      <diagonal/>
    </border>
    <border>
      <left style="medium">
        <color indexed="64"/>
      </left>
      <right style="thin">
        <color indexed="64"/>
      </right>
      <top style="medium">
        <color indexed="64"/>
      </top>
      <bottom/>
      <diagonal/>
    </border>
    <border>
      <left/>
      <right/>
      <top/>
      <bottom style="hair">
        <color indexed="64"/>
      </bottom>
      <diagonal/>
    </border>
    <border>
      <left style="thin">
        <color indexed="64"/>
      </left>
      <right/>
      <top/>
      <bottom style="thin">
        <color indexed="64"/>
      </bottom>
      <diagonal/>
    </border>
    <border>
      <left style="dotted">
        <color indexed="64"/>
      </left>
      <right/>
      <top/>
      <bottom/>
      <diagonal/>
    </border>
    <border>
      <left style="medium">
        <color indexed="64"/>
      </left>
      <right style="thin">
        <color indexed="64"/>
      </right>
      <top/>
      <bottom/>
      <diagonal/>
    </border>
    <border>
      <left style="thin">
        <color indexed="64"/>
      </left>
      <right style="thin">
        <color indexed="64"/>
      </right>
      <top/>
      <bottom/>
      <diagonal/>
    </border>
    <border>
      <left style="dotted">
        <color indexed="64"/>
      </left>
      <right style="medium">
        <color indexed="64"/>
      </right>
      <top/>
      <bottom/>
      <diagonal/>
    </border>
    <border>
      <left/>
      <right/>
      <top style="thin">
        <color indexed="64"/>
      </top>
      <bottom style="thin">
        <color indexed="64"/>
      </bottom>
      <diagonal/>
    </border>
  </borders>
  <cellStyleXfs count="6">
    <xf numFmtId="0" fontId="0" fillId="0" borderId="0"/>
    <xf numFmtId="0" fontId="8" fillId="0" borderId="0">
      <alignment vertical="top"/>
      <protection locked="0"/>
    </xf>
    <xf numFmtId="43" fontId="54" fillId="0" borderId="0"/>
    <xf numFmtId="0" fontId="113" fillId="0" borderId="0"/>
    <xf numFmtId="0" fontId="3" fillId="0" borderId="0"/>
    <xf numFmtId="0" fontId="2" fillId="0" borderId="0"/>
  </cellStyleXfs>
  <cellXfs count="1096">
    <xf numFmtId="0" fontId="0" fillId="0" borderId="0" xfId="0"/>
    <xf numFmtId="0" fontId="11" fillId="0" borderId="0" xfId="0" applyFont="1"/>
    <xf numFmtId="0" fontId="12" fillId="0" borderId="0" xfId="0" applyFont="1"/>
    <xf numFmtId="0" fontId="11" fillId="0" borderId="0" xfId="0" applyFont="1" applyAlignment="1">
      <alignment horizontal="left"/>
    </xf>
    <xf numFmtId="0" fontId="12" fillId="0" borderId="0" xfId="0" applyFont="1" applyAlignment="1">
      <alignment horizontal="center" vertical="center" wrapText="1"/>
    </xf>
    <xf numFmtId="1" fontId="11" fillId="0" borderId="0" xfId="0" applyNumberFormat="1" applyFont="1" applyAlignment="1">
      <alignment horizontal="right"/>
    </xf>
    <xf numFmtId="0" fontId="11" fillId="0" borderId="0" xfId="0" applyFont="1" applyAlignment="1">
      <alignment horizontal="left" vertical="top" wrapText="1"/>
    </xf>
    <xf numFmtId="0" fontId="12" fillId="0" borderId="0" xfId="0" applyFont="1" applyAlignment="1">
      <alignment vertical="top" wrapText="1"/>
    </xf>
    <xf numFmtId="1" fontId="0" fillId="2" borderId="1" xfId="0" applyNumberFormat="1" applyFill="1" applyBorder="1" applyAlignment="1" applyProtection="1">
      <alignment horizontal="center"/>
      <protection locked="0"/>
    </xf>
    <xf numFmtId="164" fontId="0" fillId="0" borderId="0" xfId="0" applyNumberFormat="1" applyAlignment="1">
      <alignment horizontal="center"/>
    </xf>
    <xf numFmtId="2" fontId="0" fillId="0" borderId="0" xfId="0" applyNumberFormat="1" applyAlignment="1">
      <alignment horizontal="center" vertical="center"/>
    </xf>
    <xf numFmtId="165" fontId="0" fillId="0" borderId="0" xfId="0" applyNumberFormat="1" applyAlignment="1">
      <alignment horizontal="center" vertical="center"/>
    </xf>
    <xf numFmtId="0" fontId="12" fillId="0" borderId="0" xfId="0" applyFont="1" applyAlignment="1">
      <alignment horizontal="justify" vertical="top" wrapText="1"/>
    </xf>
    <xf numFmtId="0" fontId="12" fillId="0" borderId="0" xfId="0" applyFont="1" applyAlignment="1">
      <alignment horizontal="justify"/>
    </xf>
    <xf numFmtId="166" fontId="12" fillId="0" borderId="0" xfId="0" applyNumberFormat="1" applyFont="1"/>
    <xf numFmtId="0" fontId="17" fillId="0" borderId="0" xfId="0" applyFont="1"/>
    <xf numFmtId="1" fontId="7" fillId="0" borderId="0" xfId="0" applyNumberFormat="1" applyFont="1" applyAlignment="1">
      <alignment horizontal="center"/>
    </xf>
    <xf numFmtId="2" fontId="13" fillId="0" borderId="0" xfId="0" applyNumberFormat="1" applyFont="1" applyAlignment="1">
      <alignment horizontal="right"/>
    </xf>
    <xf numFmtId="0" fontId="5" fillId="0" borderId="0" xfId="0" applyFont="1" applyAlignment="1">
      <alignment horizontal="center" vertical="center" wrapText="1"/>
    </xf>
    <xf numFmtId="0" fontId="14" fillId="0" borderId="0" xfId="0" applyFont="1" applyAlignment="1">
      <alignment horizontal="center" vertical="top" wrapText="1"/>
    </xf>
    <xf numFmtId="0" fontId="15" fillId="0" borderId="0" xfId="0" applyFont="1" applyAlignment="1">
      <alignment horizontal="center" vertical="top" wrapText="1"/>
    </xf>
    <xf numFmtId="0" fontId="18" fillId="0" borderId="0" xfId="0" applyFont="1" applyAlignment="1">
      <alignment vertical="top" wrapText="1"/>
    </xf>
    <xf numFmtId="0" fontId="7" fillId="0" borderId="0" xfId="0" applyFont="1" applyAlignment="1">
      <alignment vertical="top" wrapText="1"/>
    </xf>
    <xf numFmtId="0" fontId="7" fillId="0" borderId="0" xfId="0" applyFont="1" applyAlignment="1">
      <alignment horizontal="right" vertical="top" wrapText="1"/>
    </xf>
    <xf numFmtId="0" fontId="7" fillId="0" borderId="0" xfId="0" applyFont="1" applyAlignment="1">
      <alignment horizontal="left" vertical="top" wrapText="1"/>
    </xf>
    <xf numFmtId="0" fontId="0" fillId="0" borderId="0" xfId="0" applyAlignment="1">
      <alignment vertical="top" wrapText="1"/>
    </xf>
    <xf numFmtId="0" fontId="18" fillId="0" borderId="0" xfId="0" applyFont="1"/>
    <xf numFmtId="1" fontId="18" fillId="0" borderId="0" xfId="0" applyNumberFormat="1" applyFont="1"/>
    <xf numFmtId="0" fontId="18" fillId="0" borderId="0" xfId="0" applyFont="1" applyAlignment="1">
      <alignment horizontal="center"/>
    </xf>
    <xf numFmtId="1" fontId="14" fillId="0" borderId="0" xfId="0" applyNumberFormat="1" applyFont="1" applyAlignment="1">
      <alignment horizontal="right"/>
    </xf>
    <xf numFmtId="0" fontId="18" fillId="0" borderId="0" xfId="0" applyFont="1" applyAlignment="1" applyProtection="1">
      <alignment horizontal="left"/>
      <protection locked="0"/>
    </xf>
    <xf numFmtId="1" fontId="20" fillId="0" borderId="0" xfId="0" applyNumberFormat="1" applyFont="1" applyAlignment="1">
      <alignment vertical="center" wrapText="1"/>
    </xf>
    <xf numFmtId="49" fontId="18" fillId="0" borderId="0" xfId="0" applyNumberFormat="1" applyFont="1" applyAlignment="1">
      <alignment horizontal="center"/>
    </xf>
    <xf numFmtId="2" fontId="18" fillId="0" borderId="0" xfId="0" applyNumberFormat="1" applyFont="1" applyAlignment="1">
      <alignment horizontal="center"/>
    </xf>
    <xf numFmtId="2" fontId="18" fillId="0" borderId="0" xfId="2" applyNumberFormat="1" applyFont="1" applyAlignment="1">
      <alignment horizontal="center"/>
    </xf>
    <xf numFmtId="167" fontId="18" fillId="0" borderId="0" xfId="2" applyNumberFormat="1" applyFont="1" applyAlignment="1">
      <alignment horizontal="center"/>
    </xf>
    <xf numFmtId="1" fontId="0" fillId="0" borderId="0" xfId="0" applyNumberFormat="1"/>
    <xf numFmtId="0" fontId="11" fillId="0" borderId="0" xfId="0" applyFont="1" applyAlignment="1">
      <alignment horizontal="center"/>
    </xf>
    <xf numFmtId="0" fontId="11" fillId="0" borderId="0" xfId="0" applyFont="1" applyAlignment="1">
      <alignment horizontal="center" vertical="center"/>
    </xf>
    <xf numFmtId="0" fontId="10" fillId="0" borderId="0" xfId="0" applyFont="1" applyAlignment="1">
      <alignment horizontal="left" vertical="center" wrapText="1"/>
    </xf>
    <xf numFmtId="0" fontId="11" fillId="0" borderId="0" xfId="0" applyFont="1" applyAlignment="1">
      <alignment horizontal="right"/>
    </xf>
    <xf numFmtId="0" fontId="12" fillId="0" borderId="0" xfId="0" applyFont="1" applyAlignment="1">
      <alignment horizontal="right" vertical="center" wrapText="1"/>
    </xf>
    <xf numFmtId="0" fontId="12" fillId="0" borderId="0" xfId="0" applyFont="1" applyAlignment="1">
      <alignment horizontal="left"/>
    </xf>
    <xf numFmtId="1" fontId="10" fillId="0" borderId="0" xfId="0" applyNumberFormat="1" applyFont="1" applyAlignment="1">
      <alignment horizontal="left" vertical="center" wrapText="1"/>
    </xf>
    <xf numFmtId="0" fontId="5" fillId="3" borderId="1" xfId="0" applyFont="1" applyFill="1" applyBorder="1" applyAlignment="1">
      <alignment horizontal="center" vertical="center" wrapText="1"/>
    </xf>
    <xf numFmtId="2" fontId="10" fillId="3" borderId="1" xfId="0" applyNumberFormat="1" applyFont="1" applyFill="1" applyBorder="1" applyAlignment="1">
      <alignment horizontal="center" vertical="center"/>
    </xf>
    <xf numFmtId="1" fontId="10" fillId="3" borderId="1" xfId="0" quotePrefix="1" applyNumberFormat="1" applyFont="1" applyFill="1" applyBorder="1" applyAlignment="1">
      <alignment horizontal="center" vertical="center"/>
    </xf>
    <xf numFmtId="0" fontId="7" fillId="0" borderId="0" xfId="0" applyFont="1" applyAlignment="1">
      <alignment horizontal="center" vertical="top" wrapText="1"/>
    </xf>
    <xf numFmtId="165" fontId="0" fillId="0" borderId="0" xfId="0" applyNumberFormat="1"/>
    <xf numFmtId="165" fontId="5" fillId="3" borderId="1" xfId="0" applyNumberFormat="1" applyFont="1" applyFill="1" applyBorder="1" applyAlignment="1">
      <alignment horizontal="center" vertical="center" wrapText="1"/>
    </xf>
    <xf numFmtId="0" fontId="12" fillId="0" borderId="0" xfId="0" applyFont="1" applyAlignment="1">
      <alignment horizontal="left" vertical="center" wrapText="1"/>
    </xf>
    <xf numFmtId="0" fontId="17" fillId="0" borderId="0" xfId="0" applyFont="1" applyAlignment="1">
      <alignment horizontal="left" vertical="top" wrapText="1"/>
    </xf>
    <xf numFmtId="0" fontId="7" fillId="0" borderId="0" xfId="0" applyFont="1" applyAlignment="1">
      <alignment horizontal="left" vertical="top" wrapText="1" shrinkToFit="1"/>
    </xf>
    <xf numFmtId="0" fontId="22" fillId="4" borderId="0" xfId="0" applyFont="1" applyFill="1" applyAlignment="1">
      <alignment horizontal="center"/>
    </xf>
    <xf numFmtId="0" fontId="25" fillId="4" borderId="0" xfId="0" applyFont="1" applyFill="1" applyAlignment="1">
      <alignment horizontal="left" vertical="center"/>
    </xf>
    <xf numFmtId="0" fontId="22" fillId="4" borderId="0" xfId="0" applyFont="1" applyFill="1" applyAlignment="1">
      <alignment horizontal="center" vertical="center"/>
    </xf>
    <xf numFmtId="0" fontId="10" fillId="0" borderId="0" xfId="0" applyFont="1" applyAlignment="1">
      <alignment horizontal="center" vertical="center" wrapText="1"/>
    </xf>
    <xf numFmtId="0" fontId="29" fillId="0" borderId="0" xfId="0" applyFont="1"/>
    <xf numFmtId="0" fontId="28" fillId="0" borderId="0" xfId="0" applyFont="1" applyAlignment="1">
      <alignment vertical="top" wrapText="1"/>
    </xf>
    <xf numFmtId="0" fontId="18" fillId="0" borderId="0" xfId="0" applyFont="1" applyAlignment="1" applyProtection="1">
      <alignment vertical="top" wrapText="1"/>
      <protection locked="0"/>
    </xf>
    <xf numFmtId="1" fontId="0" fillId="2" borderId="2" xfId="0" applyNumberFormat="1" applyFill="1" applyBorder="1" applyAlignment="1" applyProtection="1">
      <alignment horizontal="center"/>
      <protection locked="0"/>
    </xf>
    <xf numFmtId="0" fontId="10" fillId="0" borderId="0" xfId="0" applyFont="1"/>
    <xf numFmtId="0" fontId="12" fillId="0" borderId="0" xfId="0" applyFont="1" applyAlignment="1">
      <alignment vertical="center" wrapText="1"/>
    </xf>
    <xf numFmtId="0" fontId="0" fillId="0" borderId="0" xfId="0" applyAlignment="1">
      <alignment vertical="center"/>
    </xf>
    <xf numFmtId="0" fontId="11" fillId="0" borderId="0" xfId="0" applyFont="1" applyAlignment="1">
      <alignment vertical="center"/>
    </xf>
    <xf numFmtId="0" fontId="7" fillId="0" borderId="4" xfId="0" applyFont="1" applyBorder="1" applyAlignment="1">
      <alignment horizontal="right" vertical="top" wrapText="1"/>
    </xf>
    <xf numFmtId="1" fontId="5" fillId="0" borderId="0" xfId="0" applyNumberFormat="1" applyFont="1" applyAlignment="1">
      <alignment horizontal="center" vertical="top" wrapText="1"/>
    </xf>
    <xf numFmtId="0" fontId="5" fillId="0" borderId="0" xfId="0" applyFont="1"/>
    <xf numFmtId="0" fontId="7" fillId="0" borderId="0" xfId="0" applyFont="1"/>
    <xf numFmtId="0" fontId="30" fillId="0" borderId="1" xfId="0" applyFont="1" applyBorder="1" applyAlignment="1">
      <alignment horizontal="center" vertical="center" wrapText="1"/>
    </xf>
    <xf numFmtId="166" fontId="7" fillId="0" borderId="0" xfId="0" applyNumberFormat="1" applyFont="1" applyAlignment="1">
      <alignment horizontal="left"/>
    </xf>
    <xf numFmtId="1" fontId="35" fillId="0" borderId="0" xfId="0" applyNumberFormat="1" applyFont="1" applyAlignment="1">
      <alignment horizontal="center"/>
    </xf>
    <xf numFmtId="2" fontId="10" fillId="0" borderId="0" xfId="0" applyNumberFormat="1" applyFont="1" applyAlignment="1">
      <alignment horizontal="center" vertical="center"/>
    </xf>
    <xf numFmtId="165" fontId="10" fillId="0" borderId="0" xfId="0" applyNumberFormat="1" applyFont="1" applyAlignment="1">
      <alignment horizontal="center" vertical="center"/>
    </xf>
    <xf numFmtId="1" fontId="10" fillId="0" borderId="0" xfId="0" quotePrefix="1" applyNumberFormat="1" applyFont="1" applyAlignment="1">
      <alignment horizontal="center" vertical="center"/>
    </xf>
    <xf numFmtId="0" fontId="44" fillId="5" borderId="5" xfId="0" applyFont="1" applyFill="1" applyBorder="1" applyAlignment="1">
      <alignment horizontal="left"/>
    </xf>
    <xf numFmtId="0" fontId="44" fillId="5" borderId="6" xfId="0" applyFont="1" applyFill="1" applyBorder="1" applyAlignment="1">
      <alignment horizontal="left"/>
    </xf>
    <xf numFmtId="0" fontId="0" fillId="0" borderId="0" xfId="0" applyAlignment="1">
      <alignment horizontal="center" vertical="top" wrapText="1"/>
    </xf>
    <xf numFmtId="0" fontId="46" fillId="5" borderId="7" xfId="0" applyFont="1" applyFill="1" applyBorder="1"/>
    <xf numFmtId="1" fontId="46" fillId="5" borderId="0" xfId="0" applyNumberFormat="1" applyFont="1" applyFill="1"/>
    <xf numFmtId="165" fontId="44" fillId="5" borderId="0" xfId="0" applyNumberFormat="1" applyFont="1" applyFill="1"/>
    <xf numFmtId="1" fontId="44" fillId="5" borderId="8" xfId="0" applyNumberFormat="1" applyFont="1" applyFill="1" applyBorder="1"/>
    <xf numFmtId="0" fontId="44" fillId="5" borderId="9" xfId="0" applyFont="1" applyFill="1" applyBorder="1" applyAlignment="1">
      <alignment horizontal="right"/>
    </xf>
    <xf numFmtId="1" fontId="44" fillId="5" borderId="10" xfId="0" applyNumberFormat="1" applyFont="1" applyFill="1" applyBorder="1" applyAlignment="1">
      <alignment horizontal="right"/>
    </xf>
    <xf numFmtId="0" fontId="44" fillId="5" borderId="11" xfId="0" applyFont="1" applyFill="1" applyBorder="1" applyAlignment="1">
      <alignment horizontal="right"/>
    </xf>
    <xf numFmtId="1" fontId="44" fillId="5" borderId="9" xfId="0" applyNumberFormat="1" applyFont="1" applyFill="1" applyBorder="1" applyAlignment="1">
      <alignment horizontal="right"/>
    </xf>
    <xf numFmtId="165" fontId="44" fillId="5" borderId="10" xfId="0" applyNumberFormat="1" applyFont="1" applyFill="1" applyBorder="1" applyAlignment="1">
      <alignment horizontal="right"/>
    </xf>
    <xf numFmtId="1" fontId="44" fillId="5" borderId="6" xfId="0" applyNumberFormat="1" applyFont="1" applyFill="1" applyBorder="1" applyAlignment="1">
      <alignment horizontal="left"/>
    </xf>
    <xf numFmtId="1" fontId="6" fillId="5" borderId="6" xfId="0" applyNumberFormat="1" applyFont="1" applyFill="1" applyBorder="1" applyAlignment="1">
      <alignment horizontal="left"/>
    </xf>
    <xf numFmtId="1" fontId="44" fillId="5" borderId="5" xfId="0" applyNumberFormat="1" applyFont="1" applyFill="1" applyBorder="1" applyAlignment="1">
      <alignment horizontal="right"/>
    </xf>
    <xf numFmtId="165" fontId="46" fillId="5" borderId="0" xfId="0" applyNumberFormat="1" applyFont="1" applyFill="1"/>
    <xf numFmtId="1" fontId="46" fillId="5" borderId="8" xfId="0" applyNumberFormat="1" applyFont="1" applyFill="1" applyBorder="1"/>
    <xf numFmtId="0" fontId="44" fillId="5" borderId="12" xfId="0" applyFont="1" applyFill="1" applyBorder="1"/>
    <xf numFmtId="1" fontId="46" fillId="5" borderId="13" xfId="0" applyNumberFormat="1" applyFont="1" applyFill="1" applyBorder="1"/>
    <xf numFmtId="165" fontId="46" fillId="5" borderId="13" xfId="0" applyNumberFormat="1" applyFont="1" applyFill="1" applyBorder="1"/>
    <xf numFmtId="1" fontId="46" fillId="5" borderId="14" xfId="0" applyNumberFormat="1" applyFont="1" applyFill="1" applyBorder="1"/>
    <xf numFmtId="0" fontId="42" fillId="2" borderId="1" xfId="0" applyFont="1" applyFill="1" applyBorder="1" applyAlignment="1" applyProtection="1">
      <alignment horizontal="center" vertical="center"/>
      <protection locked="0"/>
    </xf>
    <xf numFmtId="1" fontId="42" fillId="2" borderId="9" xfId="0" applyNumberFormat="1" applyFont="1" applyFill="1" applyBorder="1" applyAlignment="1" applyProtection="1">
      <alignment horizontal="center" vertical="center"/>
      <protection locked="0"/>
    </xf>
    <xf numFmtId="0" fontId="6" fillId="0" borderId="0" xfId="0" applyFont="1" applyAlignment="1">
      <alignment horizontal="center"/>
    </xf>
    <xf numFmtId="0" fontId="0" fillId="0" borderId="0" xfId="0" applyAlignment="1">
      <alignment horizontal="center"/>
    </xf>
    <xf numFmtId="0" fontId="5" fillId="0" borderId="0" xfId="0" applyFont="1" applyAlignment="1">
      <alignment horizontal="center"/>
    </xf>
    <xf numFmtId="2" fontId="5" fillId="0" borderId="0" xfId="2" applyNumberFormat="1" applyFont="1"/>
    <xf numFmtId="168" fontId="5" fillId="0" borderId="0" xfId="2" applyNumberFormat="1" applyFont="1"/>
    <xf numFmtId="0" fontId="14" fillId="0" borderId="0" xfId="0" applyFont="1" applyAlignment="1">
      <alignment horizontal="left"/>
    </xf>
    <xf numFmtId="0" fontId="48" fillId="0" borderId="0" xfId="0" applyFont="1"/>
    <xf numFmtId="1" fontId="50" fillId="0" borderId="0" xfId="0" applyNumberFormat="1" applyFont="1" applyAlignment="1">
      <alignment vertical="center" wrapText="1"/>
    </xf>
    <xf numFmtId="1" fontId="48" fillId="0" borderId="0" xfId="0" applyNumberFormat="1" applyFont="1"/>
    <xf numFmtId="1" fontId="49" fillId="0" borderId="0" xfId="0" applyNumberFormat="1" applyFont="1" applyAlignment="1">
      <alignment horizontal="right"/>
    </xf>
    <xf numFmtId="0" fontId="48" fillId="0" borderId="0" xfId="0" applyFont="1" applyAlignment="1">
      <alignment horizontal="center"/>
    </xf>
    <xf numFmtId="2" fontId="48" fillId="0" borderId="0" xfId="0" applyNumberFormat="1" applyFont="1" applyAlignment="1">
      <alignment horizontal="center"/>
    </xf>
    <xf numFmtId="2" fontId="48" fillId="0" borderId="0" xfId="2" applyNumberFormat="1" applyFont="1" applyAlignment="1">
      <alignment horizontal="center"/>
    </xf>
    <xf numFmtId="167" fontId="48" fillId="0" borderId="0" xfId="2" applyNumberFormat="1" applyFont="1" applyAlignment="1">
      <alignment horizontal="center"/>
    </xf>
    <xf numFmtId="1" fontId="49" fillId="0" borderId="0" xfId="0" applyNumberFormat="1" applyFont="1"/>
    <xf numFmtId="169" fontId="48" fillId="0" borderId="0" xfId="0" applyNumberFormat="1" applyFont="1" applyAlignment="1">
      <alignment horizontal="left"/>
    </xf>
    <xf numFmtId="2" fontId="48" fillId="0" borderId="0" xfId="2" applyNumberFormat="1" applyFont="1"/>
    <xf numFmtId="168" fontId="48" fillId="0" borderId="0" xfId="2" applyNumberFormat="1" applyFont="1"/>
    <xf numFmtId="0" fontId="49" fillId="0" borderId="0" xfId="0" applyFont="1" applyAlignment="1">
      <alignment horizontal="center"/>
    </xf>
    <xf numFmtId="0" fontId="49" fillId="0" borderId="0" xfId="0" applyFont="1"/>
    <xf numFmtId="1" fontId="16" fillId="0" borderId="0" xfId="0" applyNumberFormat="1" applyFont="1" applyAlignment="1">
      <alignment vertical="center" wrapText="1"/>
    </xf>
    <xf numFmtId="49" fontId="0" fillId="0" borderId="0" xfId="0" applyNumberFormat="1" applyAlignment="1">
      <alignment horizontal="center"/>
    </xf>
    <xf numFmtId="2" fontId="0" fillId="0" borderId="0" xfId="0" applyNumberFormat="1" applyAlignment="1">
      <alignment horizontal="center"/>
    </xf>
    <xf numFmtId="2" fontId="0" fillId="0" borderId="0" xfId="2" applyNumberFormat="1" applyFont="1" applyAlignment="1">
      <alignment horizontal="center"/>
    </xf>
    <xf numFmtId="167" fontId="0" fillId="0" borderId="0" xfId="2" applyNumberFormat="1" applyFont="1" applyAlignment="1">
      <alignment horizontal="center"/>
    </xf>
    <xf numFmtId="1" fontId="0" fillId="0" borderId="0" xfId="0" applyNumberFormat="1" applyAlignment="1">
      <alignment horizontal="center"/>
    </xf>
    <xf numFmtId="0" fontId="5" fillId="0" borderId="0" xfId="0" applyFont="1" applyAlignment="1">
      <alignment horizontal="left" vertical="top" wrapText="1"/>
    </xf>
    <xf numFmtId="1" fontId="0" fillId="0" borderId="7" xfId="0" applyNumberFormat="1" applyBorder="1"/>
    <xf numFmtId="170" fontId="5" fillId="0" borderId="0" xfId="0" applyNumberFormat="1" applyFont="1"/>
    <xf numFmtId="165" fontId="5" fillId="0" borderId="0" xfId="0" applyNumberFormat="1" applyFont="1"/>
    <xf numFmtId="165" fontId="42" fillId="0" borderId="0" xfId="0" applyNumberFormat="1" applyFont="1"/>
    <xf numFmtId="1" fontId="43" fillId="0" borderId="0" xfId="0" applyNumberFormat="1" applyFont="1"/>
    <xf numFmtId="0" fontId="43" fillId="0" borderId="0" xfId="0" applyFont="1"/>
    <xf numFmtId="0" fontId="43" fillId="0" borderId="0" xfId="0" applyFont="1" applyAlignment="1">
      <alignment horizontal="center"/>
    </xf>
    <xf numFmtId="2" fontId="43" fillId="0" borderId="0" xfId="0" applyNumberFormat="1" applyFont="1" applyAlignment="1">
      <alignment horizontal="center"/>
    </xf>
    <xf numFmtId="2" fontId="43" fillId="0" borderId="0" xfId="2" applyNumberFormat="1" applyFont="1" applyAlignment="1">
      <alignment horizontal="center"/>
    </xf>
    <xf numFmtId="167" fontId="43" fillId="0" borderId="0" xfId="2" applyNumberFormat="1" applyFont="1" applyAlignment="1">
      <alignment horizontal="center"/>
    </xf>
    <xf numFmtId="0" fontId="44" fillId="5" borderId="7" xfId="0" applyFont="1" applyFill="1" applyBorder="1" applyAlignment="1">
      <alignment horizontal="right" vertical="center"/>
    </xf>
    <xf numFmtId="0" fontId="44" fillId="5" borderId="0" xfId="0" applyFont="1" applyFill="1" applyAlignment="1">
      <alignment vertical="center"/>
    </xf>
    <xf numFmtId="0" fontId="44" fillId="5" borderId="15" xfId="0" applyFont="1" applyFill="1" applyBorder="1" applyAlignment="1">
      <alignment horizontal="right" vertical="center"/>
    </xf>
    <xf numFmtId="0" fontId="44" fillId="5" borderId="16" xfId="0" applyFont="1" applyFill="1" applyBorder="1" applyAlignment="1">
      <alignment vertical="center"/>
    </xf>
    <xf numFmtId="0" fontId="46" fillId="5" borderId="17" xfId="0" applyFont="1" applyFill="1" applyBorder="1" applyAlignment="1">
      <alignment vertical="center"/>
    </xf>
    <xf numFmtId="0" fontId="46" fillId="5" borderId="4" xfId="0" quotePrefix="1" applyFont="1" applyFill="1" applyBorder="1" applyAlignment="1">
      <alignment vertical="center"/>
    </xf>
    <xf numFmtId="0" fontId="46" fillId="5" borderId="18" xfId="0" applyFont="1" applyFill="1" applyBorder="1" applyAlignment="1">
      <alignment vertical="center"/>
    </xf>
    <xf numFmtId="1" fontId="44" fillId="5" borderId="15" xfId="0" applyNumberFormat="1" applyFont="1" applyFill="1" applyBorder="1" applyAlignment="1">
      <alignment horizontal="right" vertical="center"/>
    </xf>
    <xf numFmtId="0" fontId="44" fillId="5" borderId="19" xfId="0" applyFont="1" applyFill="1" applyBorder="1" applyAlignment="1">
      <alignment horizontal="right" vertical="center"/>
    </xf>
    <xf numFmtId="1" fontId="44" fillId="5" borderId="20" xfId="0" applyNumberFormat="1" applyFont="1" applyFill="1" applyBorder="1" applyAlignment="1">
      <alignment horizontal="center" vertical="center"/>
    </xf>
    <xf numFmtId="0" fontId="46" fillId="5" borderId="21" xfId="0" applyFont="1" applyFill="1" applyBorder="1" applyAlignment="1">
      <alignment vertical="center"/>
    </xf>
    <xf numFmtId="0" fontId="44" fillId="5" borderId="22" xfId="0" applyFont="1" applyFill="1" applyBorder="1" applyAlignment="1">
      <alignment horizontal="right" vertical="center"/>
    </xf>
    <xf numFmtId="1" fontId="44" fillId="5" borderId="23" xfId="0" applyNumberFormat="1" applyFont="1" applyFill="1" applyBorder="1" applyAlignment="1">
      <alignment horizontal="left" vertical="center"/>
    </xf>
    <xf numFmtId="1" fontId="44" fillId="5" borderId="24" xfId="0" applyNumberFormat="1" applyFont="1" applyFill="1" applyBorder="1" applyAlignment="1">
      <alignment horizontal="right" vertical="center"/>
    </xf>
    <xf numFmtId="0" fontId="44" fillId="5" borderId="25" xfId="0" applyFont="1" applyFill="1" applyBorder="1" applyAlignment="1">
      <alignment vertical="center"/>
    </xf>
    <xf numFmtId="0" fontId="44" fillId="5" borderId="26" xfId="0" applyFont="1" applyFill="1" applyBorder="1" applyAlignment="1">
      <alignment horizontal="right" vertical="center"/>
    </xf>
    <xf numFmtId="1" fontId="44" fillId="5" borderId="27" xfId="0" applyNumberFormat="1" applyFont="1" applyFill="1" applyBorder="1" applyAlignment="1">
      <alignment horizontal="center" vertical="center"/>
    </xf>
    <xf numFmtId="0" fontId="46" fillId="5" borderId="28" xfId="0" applyFont="1" applyFill="1" applyBorder="1" applyAlignment="1">
      <alignment vertical="center"/>
    </xf>
    <xf numFmtId="165" fontId="43" fillId="0" borderId="0" xfId="0" applyNumberFormat="1" applyFont="1"/>
    <xf numFmtId="0" fontId="5" fillId="0" borderId="0" xfId="0" applyFont="1" applyAlignment="1">
      <alignment horizontal="right"/>
    </xf>
    <xf numFmtId="1" fontId="5" fillId="0" borderId="0" xfId="0" applyNumberFormat="1" applyFont="1" applyAlignment="1">
      <alignment horizontal="left"/>
    </xf>
    <xf numFmtId="1" fontId="5" fillId="0" borderId="0" xfId="0" applyNumberFormat="1" applyFont="1" applyAlignment="1">
      <alignment horizontal="right"/>
    </xf>
    <xf numFmtId="1" fontId="5" fillId="0" borderId="0" xfId="0" applyNumberFormat="1" applyFont="1" applyAlignment="1">
      <alignment horizontal="center"/>
    </xf>
    <xf numFmtId="0" fontId="43" fillId="5" borderId="8" xfId="0" applyFont="1" applyFill="1" applyBorder="1"/>
    <xf numFmtId="1" fontId="43" fillId="5" borderId="0" xfId="0" applyNumberFormat="1" applyFont="1" applyFill="1" applyAlignment="1">
      <alignment horizontal="left" vertical="top" wrapText="1"/>
    </xf>
    <xf numFmtId="1" fontId="43" fillId="5" borderId="8" xfId="0" applyNumberFormat="1" applyFont="1" applyFill="1" applyBorder="1" applyAlignment="1">
      <alignment horizontal="left" vertical="top" wrapText="1"/>
    </xf>
    <xf numFmtId="1" fontId="27" fillId="0" borderId="0" xfId="0" applyNumberFormat="1" applyFont="1" applyAlignment="1">
      <alignment horizontal="left" vertical="center" wrapText="1"/>
    </xf>
    <xf numFmtId="0" fontId="0" fillId="0" borderId="0" xfId="0" applyAlignment="1">
      <alignment horizontal="center" vertical="center" wrapText="1"/>
    </xf>
    <xf numFmtId="0" fontId="0" fillId="0" borderId="0" xfId="0" applyAlignment="1">
      <alignment horizontal="center" vertical="center"/>
    </xf>
    <xf numFmtId="171" fontId="0" fillId="0" borderId="0" xfId="0" applyNumberFormat="1"/>
    <xf numFmtId="1" fontId="0" fillId="5" borderId="13" xfId="0" applyNumberFormat="1" applyFill="1" applyBorder="1"/>
    <xf numFmtId="0" fontId="5" fillId="5" borderId="14" xfId="0" applyFont="1" applyFill="1" applyBorder="1" applyAlignment="1">
      <alignment horizontal="left" vertical="top" wrapText="1"/>
    </xf>
    <xf numFmtId="165" fontId="5" fillId="0" borderId="0" xfId="0" applyNumberFormat="1" applyFont="1" applyAlignment="1">
      <alignment horizontal="left" vertical="top" wrapText="1"/>
    </xf>
    <xf numFmtId="0" fontId="32" fillId="0" borderId="0" xfId="0" applyFont="1" applyAlignment="1">
      <alignment horizontal="left" vertical="top" wrapText="1"/>
    </xf>
    <xf numFmtId="0" fontId="32" fillId="0" borderId="0" xfId="0" applyFont="1"/>
    <xf numFmtId="0" fontId="12" fillId="0" borderId="0" xfId="0" applyFont="1" applyAlignment="1">
      <alignment horizontal="left" vertical="top" wrapText="1"/>
    </xf>
    <xf numFmtId="172" fontId="5" fillId="0" borderId="0" xfId="0" applyNumberFormat="1" applyFont="1" applyAlignment="1">
      <alignment horizontal="center"/>
    </xf>
    <xf numFmtId="0" fontId="5" fillId="0" borderId="0" xfId="0" applyFont="1" applyAlignment="1">
      <alignment horizontal="left"/>
    </xf>
    <xf numFmtId="49" fontId="5" fillId="0" borderId="0" xfId="0" applyNumberFormat="1" applyFont="1" applyAlignment="1">
      <alignment horizontal="center"/>
    </xf>
    <xf numFmtId="2" fontId="5" fillId="0" borderId="0" xfId="0" applyNumberFormat="1" applyFont="1" applyAlignment="1">
      <alignment horizontal="center"/>
    </xf>
    <xf numFmtId="2" fontId="5" fillId="0" borderId="0" xfId="2" applyNumberFormat="1" applyFont="1" applyAlignment="1">
      <alignment horizontal="center"/>
    </xf>
    <xf numFmtId="167" fontId="5" fillId="0" borderId="0" xfId="2" applyNumberFormat="1" applyFont="1" applyAlignment="1">
      <alignment horizontal="center"/>
    </xf>
    <xf numFmtId="0" fontId="19" fillId="0" borderId="0" xfId="0" applyFont="1" applyAlignment="1">
      <alignment horizontal="left" vertical="top" wrapText="1"/>
    </xf>
    <xf numFmtId="0" fontId="19" fillId="0" borderId="0" xfId="0" applyFont="1"/>
    <xf numFmtId="0" fontId="33" fillId="0" borderId="0" xfId="0" applyFont="1"/>
    <xf numFmtId="0" fontId="34" fillId="0" borderId="0" xfId="0" applyFont="1"/>
    <xf numFmtId="2" fontId="0" fillId="0" borderId="0" xfId="2" applyNumberFormat="1" applyFont="1"/>
    <xf numFmtId="168" fontId="0" fillId="0" borderId="0" xfId="2" applyNumberFormat="1" applyFont="1"/>
    <xf numFmtId="0" fontId="23" fillId="0" borderId="0" xfId="0" applyFont="1" applyAlignment="1">
      <alignment horizontal="center" vertical="top" wrapText="1"/>
    </xf>
    <xf numFmtId="0" fontId="23" fillId="0" borderId="0" xfId="0" applyFont="1" applyAlignment="1">
      <alignment horizontal="center"/>
    </xf>
    <xf numFmtId="0" fontId="35" fillId="0" borderId="0" xfId="0" applyFont="1" applyAlignment="1">
      <alignment horizontal="center"/>
    </xf>
    <xf numFmtId="0" fontId="21" fillId="0" borderId="0" xfId="0" applyFont="1" applyAlignment="1">
      <alignment horizontal="center"/>
    </xf>
    <xf numFmtId="0" fontId="39" fillId="0" borderId="0" xfId="0" applyFont="1" applyAlignment="1">
      <alignment horizontal="right"/>
    </xf>
    <xf numFmtId="1" fontId="0" fillId="0" borderId="0" xfId="0" applyNumberFormat="1" applyAlignment="1">
      <alignment horizontal="right"/>
    </xf>
    <xf numFmtId="1" fontId="0" fillId="0" borderId="0" xfId="0" applyNumberFormat="1" applyAlignment="1">
      <alignment horizontal="left"/>
    </xf>
    <xf numFmtId="1" fontId="5" fillId="0" borderId="0" xfId="0" applyNumberFormat="1" applyFont="1" applyAlignment="1">
      <alignment horizontal="left" vertical="top" wrapText="1"/>
    </xf>
    <xf numFmtId="1" fontId="5" fillId="0" borderId="0" xfId="0" applyNumberFormat="1" applyFont="1"/>
    <xf numFmtId="0" fontId="6" fillId="0" borderId="22" xfId="0" applyFont="1" applyBorder="1" applyAlignment="1">
      <alignment horizontal="center"/>
    </xf>
    <xf numFmtId="0" fontId="6" fillId="0" borderId="23" xfId="0" applyFont="1" applyBorder="1" applyAlignment="1">
      <alignment horizontal="center"/>
    </xf>
    <xf numFmtId="0" fontId="10" fillId="0" borderId="0" xfId="0" applyFont="1" applyAlignment="1">
      <alignment horizontal="center" vertical="center"/>
    </xf>
    <xf numFmtId="0" fontId="10" fillId="3" borderId="1" xfId="0" applyFont="1" applyFill="1" applyBorder="1" applyAlignment="1">
      <alignment horizontal="center" vertical="center"/>
    </xf>
    <xf numFmtId="165" fontId="10" fillId="0" borderId="0" xfId="0" quotePrefix="1" applyNumberFormat="1" applyFont="1" applyAlignment="1">
      <alignment horizontal="center" vertical="center"/>
    </xf>
    <xf numFmtId="164" fontId="10" fillId="0" borderId="0" xfId="0" applyNumberFormat="1" applyFont="1" applyAlignment="1">
      <alignment horizontal="center" vertical="center"/>
    </xf>
    <xf numFmtId="0" fontId="10" fillId="0" borderId="0" xfId="0" quotePrefix="1" applyFont="1" applyAlignment="1">
      <alignment horizontal="center" vertical="center"/>
    </xf>
    <xf numFmtId="0" fontId="10" fillId="0" borderId="13" xfId="0" applyFont="1" applyBorder="1" applyAlignment="1">
      <alignment horizontal="center" vertical="center"/>
    </xf>
    <xf numFmtId="0" fontId="0" fillId="0" borderId="23" xfId="0" applyBorder="1"/>
    <xf numFmtId="165" fontId="12" fillId="0" borderId="0" xfId="0" applyNumberFormat="1" applyFont="1" applyAlignment="1">
      <alignment horizontal="center" vertical="top" wrapText="1"/>
    </xf>
    <xf numFmtId="164" fontId="0" fillId="0" borderId="0" xfId="0" quotePrefix="1" applyNumberFormat="1" applyAlignment="1">
      <alignment horizontal="center"/>
    </xf>
    <xf numFmtId="0" fontId="0" fillId="0" borderId="13" xfId="0" applyBorder="1"/>
    <xf numFmtId="1" fontId="0" fillId="2" borderId="29" xfId="0" applyNumberFormat="1" applyFill="1" applyBorder="1" applyAlignment="1" applyProtection="1">
      <alignment horizontal="center"/>
      <protection locked="0"/>
    </xf>
    <xf numFmtId="1" fontId="23" fillId="6" borderId="30" xfId="0" applyNumberFormat="1" applyFont="1" applyFill="1" applyBorder="1" applyAlignment="1">
      <alignment horizontal="center"/>
    </xf>
    <xf numFmtId="1" fontId="43" fillId="7" borderId="31" xfId="0" applyNumberFormat="1" applyFont="1" applyFill="1" applyBorder="1" applyAlignment="1">
      <alignment horizontal="center" vertical="center" wrapText="1"/>
    </xf>
    <xf numFmtId="1" fontId="43" fillId="7" borderId="32" xfId="0" applyNumberFormat="1" applyFont="1" applyFill="1" applyBorder="1" applyAlignment="1">
      <alignment horizontal="center" vertical="center" wrapText="1"/>
    </xf>
    <xf numFmtId="1" fontId="0" fillId="2" borderId="33" xfId="0" applyNumberFormat="1" applyFill="1" applyBorder="1" applyAlignment="1" applyProtection="1">
      <alignment horizontal="center"/>
      <protection locked="0"/>
    </xf>
    <xf numFmtId="1" fontId="0" fillId="2" borderId="16" xfId="0" applyNumberFormat="1" applyFill="1" applyBorder="1" applyAlignment="1" applyProtection="1">
      <alignment horizontal="center"/>
      <protection locked="0"/>
    </xf>
    <xf numFmtId="1" fontId="0" fillId="2" borderId="25" xfId="0" applyNumberFormat="1" applyFill="1" applyBorder="1" applyAlignment="1" applyProtection="1">
      <alignment horizontal="center"/>
      <protection locked="0"/>
    </xf>
    <xf numFmtId="0" fontId="42" fillId="7" borderId="9" xfId="0" applyFont="1" applyFill="1" applyBorder="1" applyAlignment="1">
      <alignment horizontal="center" vertical="center"/>
    </xf>
    <xf numFmtId="0" fontId="52" fillId="0" borderId="0" xfId="0" applyFont="1" applyAlignment="1">
      <alignment horizontal="center" vertical="top" wrapText="1"/>
    </xf>
    <xf numFmtId="0" fontId="12" fillId="0" borderId="0" xfId="0" applyFont="1" applyAlignment="1">
      <alignment horizontal="right"/>
    </xf>
    <xf numFmtId="0" fontId="0" fillId="0" borderId="0" xfId="0" applyAlignment="1">
      <alignment vertical="top"/>
    </xf>
    <xf numFmtId="0" fontId="7" fillId="0" borderId="0" xfId="0" applyFont="1" applyAlignment="1">
      <alignment vertical="center" wrapText="1"/>
    </xf>
    <xf numFmtId="0" fontId="0" fillId="0" borderId="9" xfId="0" applyBorder="1" applyAlignment="1">
      <alignment vertical="top" wrapText="1"/>
    </xf>
    <xf numFmtId="0" fontId="0" fillId="0" borderId="7" xfId="0" applyBorder="1"/>
    <xf numFmtId="0" fontId="0" fillId="0" borderId="8" xfId="0" applyBorder="1"/>
    <xf numFmtId="0" fontId="0" fillId="0" borderId="22" xfId="0" applyBorder="1"/>
    <xf numFmtId="0" fontId="0" fillId="0" borderId="28" xfId="0" applyBorder="1"/>
    <xf numFmtId="0" fontId="7" fillId="0" borderId="34" xfId="0" applyFont="1" applyBorder="1" applyAlignment="1">
      <alignment horizontal="center" vertical="top" wrapText="1"/>
    </xf>
    <xf numFmtId="1" fontId="46" fillId="5" borderId="23" xfId="0" applyNumberFormat="1" applyFont="1" applyFill="1" applyBorder="1"/>
    <xf numFmtId="166" fontId="7" fillId="0" borderId="0" xfId="0" applyNumberFormat="1" applyFont="1" applyAlignment="1" applyProtection="1">
      <alignment horizontal="left" vertical="top" wrapText="1"/>
      <protection locked="0"/>
    </xf>
    <xf numFmtId="1" fontId="44" fillId="5" borderId="35" xfId="0" applyNumberFormat="1" applyFont="1" applyFill="1" applyBorder="1" applyAlignment="1">
      <alignment horizontal="right"/>
    </xf>
    <xf numFmtId="1" fontId="44" fillId="5" borderId="36" xfId="0" applyNumberFormat="1" applyFont="1" applyFill="1" applyBorder="1" applyAlignment="1">
      <alignment horizontal="right"/>
    </xf>
    <xf numFmtId="49" fontId="0" fillId="0" borderId="0" xfId="0" applyNumberFormat="1" applyAlignment="1">
      <alignment horizontal="center" vertical="top" wrapText="1"/>
    </xf>
    <xf numFmtId="0" fontId="7" fillId="0" borderId="7" xfId="0" applyFont="1" applyBorder="1" applyAlignment="1">
      <alignment horizontal="center" vertical="top" wrapText="1"/>
    </xf>
    <xf numFmtId="0" fontId="7" fillId="0" borderId="8" xfId="0" applyFont="1" applyBorder="1" applyAlignment="1">
      <alignment horizontal="center" vertical="top" wrapText="1"/>
    </xf>
    <xf numFmtId="0" fontId="0" fillId="8" borderId="35" xfId="0" applyFill="1" applyBorder="1"/>
    <xf numFmtId="0" fontId="0" fillId="8" borderId="37" xfId="0" applyFill="1" applyBorder="1"/>
    <xf numFmtId="0" fontId="0" fillId="8" borderId="36" xfId="0" applyFill="1" applyBorder="1"/>
    <xf numFmtId="0" fontId="38" fillId="0" borderId="0" xfId="0" applyFont="1" applyAlignment="1">
      <alignment horizontal="center" vertical="top" wrapText="1"/>
    </xf>
    <xf numFmtId="0" fontId="0" fillId="9" borderId="0" xfId="0" applyFill="1"/>
    <xf numFmtId="0" fontId="44" fillId="0" borderId="0" xfId="0" applyFont="1" applyAlignment="1">
      <alignment horizontal="right" vertical="center"/>
    </xf>
    <xf numFmtId="1" fontId="44" fillId="0" borderId="0" xfId="0" applyNumberFormat="1" applyFont="1" applyAlignment="1">
      <alignment horizontal="left" vertical="center"/>
    </xf>
    <xf numFmtId="1" fontId="44" fillId="0" borderId="0" xfId="0" applyNumberFormat="1" applyFont="1" applyAlignment="1">
      <alignment horizontal="right" vertical="center"/>
    </xf>
    <xf numFmtId="0" fontId="44" fillId="0" borderId="0" xfId="0" applyFont="1" applyAlignment="1">
      <alignment vertical="center"/>
    </xf>
    <xf numFmtId="1" fontId="44" fillId="0" borderId="0" xfId="0" applyNumberFormat="1" applyFont="1" applyAlignment="1">
      <alignment horizontal="center" vertical="center"/>
    </xf>
    <xf numFmtId="0" fontId="46" fillId="0" borderId="0" xfId="0" applyFont="1" applyAlignment="1">
      <alignment vertical="center"/>
    </xf>
    <xf numFmtId="0" fontId="43" fillId="0" borderId="1" xfId="0" applyFont="1" applyBorder="1" applyAlignment="1">
      <alignment horizontal="center"/>
    </xf>
    <xf numFmtId="3" fontId="43" fillId="0" borderId="1" xfId="0" applyNumberFormat="1" applyFont="1" applyBorder="1" applyAlignment="1">
      <alignment horizontal="center"/>
    </xf>
    <xf numFmtId="49" fontId="43" fillId="0" borderId="1" xfId="0" applyNumberFormat="1" applyFont="1" applyBorder="1" applyAlignment="1">
      <alignment horizontal="center"/>
    </xf>
    <xf numFmtId="0" fontId="43" fillId="0" borderId="38" xfId="0" applyFont="1" applyBorder="1" applyAlignment="1">
      <alignment horizontal="center"/>
    </xf>
    <xf numFmtId="0" fontId="43" fillId="0" borderId="39" xfId="0" applyFont="1" applyBorder="1" applyAlignment="1">
      <alignment horizontal="center"/>
    </xf>
    <xf numFmtId="0" fontId="43" fillId="0" borderId="40" xfId="0" applyFont="1" applyBorder="1" applyAlignment="1">
      <alignment horizontal="center"/>
    </xf>
    <xf numFmtId="0" fontId="43" fillId="0" borderId="2" xfId="0" applyFont="1" applyBorder="1" applyAlignment="1">
      <alignment horizontal="center"/>
    </xf>
    <xf numFmtId="49" fontId="43" fillId="0" borderId="2" xfId="0" applyNumberFormat="1" applyFont="1" applyBorder="1" applyAlignment="1">
      <alignment horizontal="center"/>
    </xf>
    <xf numFmtId="0" fontId="43" fillId="0" borderId="41" xfId="0" applyFont="1" applyBorder="1" applyAlignment="1">
      <alignment horizontal="center"/>
    </xf>
    <xf numFmtId="0" fontId="55" fillId="5" borderId="42" xfId="0" applyFont="1" applyFill="1" applyBorder="1" applyAlignment="1">
      <alignment horizontal="center" vertical="center"/>
    </xf>
    <xf numFmtId="0" fontId="55" fillId="5" borderId="31" xfId="0" applyFont="1" applyFill="1" applyBorder="1" applyAlignment="1">
      <alignment horizontal="center" vertical="center"/>
    </xf>
    <xf numFmtId="0" fontId="55" fillId="5" borderId="43" xfId="0" applyFont="1" applyFill="1" applyBorder="1" applyAlignment="1">
      <alignment horizontal="center" vertical="center"/>
    </xf>
    <xf numFmtId="1" fontId="42" fillId="2" borderId="35" xfId="0" quotePrefix="1" applyNumberFormat="1" applyFont="1" applyFill="1" applyBorder="1" applyAlignment="1" applyProtection="1">
      <alignment horizontal="center" vertical="center"/>
      <protection locked="0"/>
    </xf>
    <xf numFmtId="0" fontId="40" fillId="0" borderId="0" xfId="0" applyFont="1"/>
    <xf numFmtId="1" fontId="42" fillId="2" borderId="36" xfId="0" applyNumberFormat="1" applyFont="1" applyFill="1" applyBorder="1" applyAlignment="1" applyProtection="1">
      <alignment horizontal="center" vertical="center"/>
      <protection locked="0"/>
    </xf>
    <xf numFmtId="0" fontId="42" fillId="2" borderId="9" xfId="0" applyFont="1" applyFill="1" applyBorder="1" applyAlignment="1" applyProtection="1">
      <alignment horizontal="center" vertical="center"/>
      <protection locked="0"/>
    </xf>
    <xf numFmtId="0" fontId="42" fillId="10" borderId="28" xfId="0" applyFont="1" applyFill="1" applyBorder="1" applyAlignment="1">
      <alignment horizontal="left" vertical="center"/>
    </xf>
    <xf numFmtId="0" fontId="44" fillId="7" borderId="30" xfId="0" applyFont="1" applyFill="1" applyBorder="1"/>
    <xf numFmtId="0" fontId="44" fillId="7" borderId="37" xfId="0" applyFont="1" applyFill="1" applyBorder="1"/>
    <xf numFmtId="0" fontId="44" fillId="7" borderId="36" xfId="0" applyFont="1" applyFill="1" applyBorder="1"/>
    <xf numFmtId="0" fontId="57" fillId="3" borderId="1" xfId="0" applyFont="1" applyFill="1" applyBorder="1" applyAlignment="1">
      <alignment horizontal="center" vertical="center" wrapText="1"/>
    </xf>
    <xf numFmtId="165" fontId="57" fillId="3" borderId="1" xfId="0" applyNumberFormat="1" applyFont="1" applyFill="1" applyBorder="1" applyAlignment="1">
      <alignment horizontal="center" vertical="center" wrapText="1"/>
    </xf>
    <xf numFmtId="0" fontId="0" fillId="0" borderId="44" xfId="0" applyBorder="1" applyAlignment="1">
      <alignment horizontal="center" vertical="center" wrapText="1"/>
    </xf>
    <xf numFmtId="0" fontId="10" fillId="0" borderId="44" xfId="0" applyFont="1" applyBorder="1" applyAlignment="1">
      <alignment horizontal="center" vertical="center"/>
    </xf>
    <xf numFmtId="1" fontId="56" fillId="4" borderId="13" xfId="0" applyNumberFormat="1" applyFont="1" applyFill="1" applyBorder="1" applyAlignment="1">
      <alignment horizontal="left"/>
    </xf>
    <xf numFmtId="165" fontId="40" fillId="4" borderId="13" xfId="0" applyNumberFormat="1" applyFont="1" applyFill="1" applyBorder="1"/>
    <xf numFmtId="1" fontId="40" fillId="4" borderId="13" xfId="0" applyNumberFormat="1" applyFont="1" applyFill="1" applyBorder="1"/>
    <xf numFmtId="1" fontId="40" fillId="4" borderId="14" xfId="0" applyNumberFormat="1" applyFont="1" applyFill="1" applyBorder="1"/>
    <xf numFmtId="0" fontId="58" fillId="4" borderId="7" xfId="0" applyFont="1" applyFill="1" applyBorder="1" applyAlignment="1">
      <alignment horizontal="right"/>
    </xf>
    <xf numFmtId="1" fontId="40" fillId="4" borderId="0" xfId="0" applyNumberFormat="1" applyFont="1" applyFill="1"/>
    <xf numFmtId="165" fontId="40" fillId="4" borderId="0" xfId="0" applyNumberFormat="1" applyFont="1" applyFill="1"/>
    <xf numFmtId="1" fontId="40" fillId="4" borderId="8" xfId="0" applyNumberFormat="1" applyFont="1" applyFill="1" applyBorder="1"/>
    <xf numFmtId="1" fontId="40" fillId="4" borderId="23" xfId="0" applyNumberFormat="1" applyFont="1" applyFill="1" applyBorder="1"/>
    <xf numFmtId="165" fontId="40" fillId="4" borderId="23" xfId="0" applyNumberFormat="1" applyFont="1" applyFill="1" applyBorder="1"/>
    <xf numFmtId="0" fontId="42" fillId="4" borderId="42" xfId="0" applyFont="1" applyFill="1" applyBorder="1" applyAlignment="1">
      <alignment horizontal="center" vertical="center" wrapText="1"/>
    </xf>
    <xf numFmtId="1" fontId="59" fillId="4" borderId="9" xfId="0" applyNumberFormat="1" applyFont="1" applyFill="1" applyBorder="1" applyAlignment="1">
      <alignment horizontal="center" vertical="center" wrapText="1"/>
    </xf>
    <xf numFmtId="0" fontId="42" fillId="4" borderId="7" xfId="0" applyFont="1" applyFill="1" applyBorder="1" applyAlignment="1">
      <alignment horizontal="right" vertical="center"/>
    </xf>
    <xf numFmtId="1" fontId="60" fillId="4" borderId="6" xfId="0" applyNumberFormat="1" applyFont="1" applyFill="1" applyBorder="1" applyAlignment="1">
      <alignment horizontal="center" vertical="center" wrapText="1"/>
    </xf>
    <xf numFmtId="0" fontId="42" fillId="4" borderId="7" xfId="0" applyFont="1" applyFill="1" applyBorder="1"/>
    <xf numFmtId="0" fontId="43" fillId="4" borderId="7" xfId="0" applyFont="1" applyFill="1" applyBorder="1"/>
    <xf numFmtId="1" fontId="43" fillId="4" borderId="0" xfId="0" applyNumberFormat="1" applyFont="1" applyFill="1"/>
    <xf numFmtId="0" fontId="42" fillId="4" borderId="0" xfId="0" applyFont="1" applyFill="1" applyAlignment="1">
      <alignment horizontal="right"/>
    </xf>
    <xf numFmtId="1" fontId="42" fillId="4" borderId="13" xfId="0" applyNumberFormat="1" applyFont="1" applyFill="1" applyBorder="1" applyAlignment="1">
      <alignment horizontal="right"/>
    </xf>
    <xf numFmtId="1" fontId="42" fillId="4" borderId="42" xfId="0" applyNumberFormat="1" applyFont="1" applyFill="1" applyBorder="1" applyAlignment="1">
      <alignment horizontal="center" vertical="center"/>
    </xf>
    <xf numFmtId="1" fontId="42" fillId="4" borderId="31" xfId="0" applyNumberFormat="1" applyFont="1" applyFill="1" applyBorder="1" applyAlignment="1">
      <alignment horizontal="center" vertical="center"/>
    </xf>
    <xf numFmtId="1" fontId="42" fillId="2" borderId="43" xfId="0" applyNumberFormat="1" applyFont="1" applyFill="1" applyBorder="1" applyAlignment="1" applyProtection="1">
      <alignment horizontal="center" vertical="center"/>
      <protection locked="0"/>
    </xf>
    <xf numFmtId="1" fontId="42" fillId="4" borderId="0" xfId="0" applyNumberFormat="1" applyFont="1" applyFill="1"/>
    <xf numFmtId="1" fontId="42" fillId="4" borderId="13" xfId="0" applyNumberFormat="1" applyFont="1" applyFill="1" applyBorder="1" applyAlignment="1">
      <alignment horizontal="left"/>
    </xf>
    <xf numFmtId="165" fontId="43" fillId="4" borderId="13" xfId="0" applyNumberFormat="1" applyFont="1" applyFill="1" applyBorder="1"/>
    <xf numFmtId="1" fontId="43" fillId="4" borderId="13" xfId="0" applyNumberFormat="1" applyFont="1" applyFill="1" applyBorder="1"/>
    <xf numFmtId="1" fontId="43" fillId="4" borderId="14" xfId="0" applyNumberFormat="1" applyFont="1" applyFill="1" applyBorder="1"/>
    <xf numFmtId="0" fontId="59" fillId="4" borderId="7" xfId="0" applyFont="1" applyFill="1" applyBorder="1" applyAlignment="1">
      <alignment horizontal="right"/>
    </xf>
    <xf numFmtId="165" fontId="43" fillId="4" borderId="0" xfId="0" applyNumberFormat="1" applyFont="1" applyFill="1"/>
    <xf numFmtId="1" fontId="43" fillId="4" borderId="8" xfId="0" applyNumberFormat="1" applyFont="1" applyFill="1" applyBorder="1"/>
    <xf numFmtId="1" fontId="43" fillId="4" borderId="23" xfId="0" applyNumberFormat="1" applyFont="1" applyFill="1" applyBorder="1"/>
    <xf numFmtId="165" fontId="43" fillId="4" borderId="23" xfId="0" applyNumberFormat="1" applyFont="1" applyFill="1" applyBorder="1"/>
    <xf numFmtId="1" fontId="40" fillId="0" borderId="0" xfId="0" applyNumberFormat="1" applyFont="1"/>
    <xf numFmtId="165" fontId="40" fillId="0" borderId="0" xfId="0" applyNumberFormat="1" applyFont="1"/>
    <xf numFmtId="1" fontId="42" fillId="10" borderId="12" xfId="0" applyNumberFormat="1" applyFont="1" applyFill="1" applyBorder="1" applyAlignment="1">
      <alignment horizontal="right"/>
    </xf>
    <xf numFmtId="0" fontId="42" fillId="10" borderId="45" xfId="0" applyFont="1" applyFill="1" applyBorder="1" applyAlignment="1">
      <alignment horizontal="center"/>
    </xf>
    <xf numFmtId="1" fontId="42" fillId="10" borderId="13" xfId="0" applyNumberFormat="1" applyFont="1" applyFill="1" applyBorder="1"/>
    <xf numFmtId="1" fontId="42" fillId="10" borderId="13" xfId="0" applyNumberFormat="1" applyFont="1" applyFill="1" applyBorder="1" applyAlignment="1">
      <alignment horizontal="right"/>
    </xf>
    <xf numFmtId="1" fontId="42" fillId="10" borderId="46" xfId="0" applyNumberFormat="1" applyFont="1" applyFill="1" applyBorder="1" applyAlignment="1">
      <alignment horizontal="center"/>
    </xf>
    <xf numFmtId="1" fontId="42" fillId="10" borderId="22" xfId="0" applyNumberFormat="1" applyFont="1" applyFill="1" applyBorder="1" applyAlignment="1">
      <alignment horizontal="right"/>
    </xf>
    <xf numFmtId="1" fontId="42" fillId="10" borderId="23" xfId="0" applyNumberFormat="1" applyFont="1" applyFill="1" applyBorder="1"/>
    <xf numFmtId="1" fontId="42" fillId="10" borderId="23" xfId="0" applyNumberFormat="1" applyFont="1" applyFill="1" applyBorder="1" applyAlignment="1">
      <alignment horizontal="right"/>
    </xf>
    <xf numFmtId="164" fontId="40" fillId="0" borderId="0" xfId="0" applyNumberFormat="1" applyFont="1" applyAlignment="1">
      <alignment horizontal="center"/>
    </xf>
    <xf numFmtId="0" fontId="61" fillId="10" borderId="6" xfId="0" applyFont="1" applyFill="1" applyBorder="1" applyAlignment="1">
      <alignment horizontal="center" vertical="top" wrapText="1"/>
    </xf>
    <xf numFmtId="164" fontId="40" fillId="0" borderId="0" xfId="0" applyNumberFormat="1" applyFont="1" applyAlignment="1">
      <alignment horizontal="center" vertical="center"/>
    </xf>
    <xf numFmtId="165" fontId="40" fillId="0" borderId="0" xfId="0" applyNumberFormat="1" applyFont="1" applyAlignment="1">
      <alignment horizontal="center" vertical="center"/>
    </xf>
    <xf numFmtId="0" fontId="61" fillId="5" borderId="12" xfId="0" applyFont="1" applyFill="1" applyBorder="1"/>
    <xf numFmtId="0" fontId="42" fillId="5" borderId="7" xfId="0" applyFont="1" applyFill="1" applyBorder="1" applyAlignment="1">
      <alignment horizontal="right"/>
    </xf>
    <xf numFmtId="1" fontId="40" fillId="5" borderId="0" xfId="0" applyNumberFormat="1" applyFont="1" applyFill="1"/>
    <xf numFmtId="0" fontId="56" fillId="5" borderId="0" xfId="0" applyFont="1" applyFill="1" applyAlignment="1">
      <alignment horizontal="left" vertical="top" wrapText="1"/>
    </xf>
    <xf numFmtId="0" fontId="56" fillId="5" borderId="8" xfId="0" applyFont="1" applyFill="1" applyBorder="1" applyAlignment="1">
      <alignment horizontal="left" vertical="top" wrapText="1"/>
    </xf>
    <xf numFmtId="0" fontId="56" fillId="0" borderId="0" xfId="0" applyFont="1" applyAlignment="1">
      <alignment horizontal="left" vertical="top" wrapText="1"/>
    </xf>
    <xf numFmtId="165" fontId="56" fillId="0" borderId="0" xfId="0" applyNumberFormat="1" applyFont="1" applyAlignment="1">
      <alignment horizontal="left" vertical="top" wrapText="1"/>
    </xf>
    <xf numFmtId="1" fontId="56" fillId="5" borderId="0" xfId="0" applyNumberFormat="1" applyFont="1" applyFill="1"/>
    <xf numFmtId="1" fontId="42" fillId="5" borderId="38" xfId="0" applyNumberFormat="1" applyFont="1" applyFill="1" applyBorder="1" applyAlignment="1">
      <alignment horizontal="center" vertical="center" wrapText="1"/>
    </xf>
    <xf numFmtId="1" fontId="42" fillId="5" borderId="1" xfId="0" applyNumberFormat="1" applyFont="1" applyFill="1" applyBorder="1" applyAlignment="1">
      <alignment horizontal="center" vertical="center" wrapText="1"/>
    </xf>
    <xf numFmtId="0" fontId="42" fillId="5" borderId="1" xfId="0" applyFont="1" applyFill="1" applyBorder="1" applyAlignment="1">
      <alignment horizontal="center" vertical="center" wrapText="1"/>
    </xf>
    <xf numFmtId="165" fontId="42" fillId="5" borderId="1" xfId="0" applyNumberFormat="1" applyFont="1" applyFill="1" applyBorder="1" applyAlignment="1">
      <alignment horizontal="center" vertical="center" wrapText="1"/>
    </xf>
    <xf numFmtId="0" fontId="42" fillId="10" borderId="46" xfId="0" applyFont="1" applyFill="1" applyBorder="1" applyAlignment="1">
      <alignment horizontal="center" vertical="center" wrapText="1"/>
    </xf>
    <xf numFmtId="0" fontId="40" fillId="5" borderId="38" xfId="0" applyFont="1" applyFill="1" applyBorder="1" applyAlignment="1">
      <alignment horizontal="center"/>
    </xf>
    <xf numFmtId="165" fontId="56" fillId="10" borderId="39" xfId="0" applyNumberFormat="1" applyFont="1" applyFill="1" applyBorder="1" applyAlignment="1">
      <alignment horizontal="center" vertical="top" wrapText="1"/>
    </xf>
    <xf numFmtId="0" fontId="56" fillId="10" borderId="39" xfId="0" applyFont="1" applyFill="1" applyBorder="1" applyAlignment="1">
      <alignment horizontal="center" vertical="top" wrapText="1"/>
    </xf>
    <xf numFmtId="1" fontId="40" fillId="5" borderId="23" xfId="0" applyNumberFormat="1" applyFont="1" applyFill="1" applyBorder="1"/>
    <xf numFmtId="1" fontId="40" fillId="11" borderId="0" xfId="0" applyNumberFormat="1" applyFont="1" applyFill="1"/>
    <xf numFmtId="0" fontId="59" fillId="0" borderId="0" xfId="0" applyFont="1" applyAlignment="1">
      <alignment horizontal="center"/>
    </xf>
    <xf numFmtId="0" fontId="59" fillId="0" borderId="0" xfId="0" applyFont="1" applyAlignment="1">
      <alignment horizontal="right"/>
    </xf>
    <xf numFmtId="1" fontId="56" fillId="5" borderId="9" xfId="0" applyNumberFormat="1" applyFont="1" applyFill="1" applyBorder="1" applyAlignment="1">
      <alignment horizontal="center" vertical="center" wrapText="1"/>
    </xf>
    <xf numFmtId="1" fontId="56" fillId="0" borderId="0" xfId="0" applyNumberFormat="1" applyFont="1" applyAlignment="1">
      <alignment horizontal="center" vertical="top" wrapText="1"/>
    </xf>
    <xf numFmtId="1" fontId="56" fillId="10" borderId="9" xfId="0" applyNumberFormat="1" applyFont="1" applyFill="1" applyBorder="1" applyAlignment="1">
      <alignment horizontal="center" vertical="center" wrapText="1"/>
    </xf>
    <xf numFmtId="0" fontId="61" fillId="4" borderId="12" xfId="0" applyFont="1" applyFill="1" applyBorder="1" applyAlignment="1">
      <alignment vertical="center"/>
    </xf>
    <xf numFmtId="1" fontId="42" fillId="10" borderId="9" xfId="0" applyNumberFormat="1" applyFont="1" applyFill="1" applyBorder="1" applyAlignment="1">
      <alignment horizontal="center" vertical="center"/>
    </xf>
    <xf numFmtId="0" fontId="0" fillId="2" borderId="0" xfId="0" applyFill="1"/>
    <xf numFmtId="0" fontId="63" fillId="2" borderId="0" xfId="0" applyFont="1" applyFill="1"/>
    <xf numFmtId="0" fontId="5" fillId="2" borderId="9" xfId="0" applyFont="1" applyFill="1" applyBorder="1" applyAlignment="1">
      <alignment horizontal="center" vertical="center"/>
    </xf>
    <xf numFmtId="0" fontId="62" fillId="2" borderId="35" xfId="0" applyFont="1" applyFill="1" applyBorder="1" applyAlignment="1">
      <alignment horizontal="center" vertical="center"/>
    </xf>
    <xf numFmtId="0" fontId="62" fillId="2" borderId="37" xfId="0" applyFont="1" applyFill="1" applyBorder="1" applyAlignment="1">
      <alignment horizontal="center" vertical="center"/>
    </xf>
    <xf numFmtId="0" fontId="0" fillId="2" borderId="10" xfId="0" applyFill="1" applyBorder="1"/>
    <xf numFmtId="0" fontId="0" fillId="2" borderId="5" xfId="0" applyFill="1" applyBorder="1"/>
    <xf numFmtId="0" fontId="0" fillId="2" borderId="6" xfId="0" applyFill="1" applyBorder="1"/>
    <xf numFmtId="0" fontId="0" fillId="2" borderId="22" xfId="0" applyFill="1" applyBorder="1"/>
    <xf numFmtId="0" fontId="0" fillId="2" borderId="23" xfId="0" applyFill="1" applyBorder="1"/>
    <xf numFmtId="0" fontId="0" fillId="2" borderId="28" xfId="0" applyFill="1" applyBorder="1"/>
    <xf numFmtId="0" fontId="0" fillId="2" borderId="23" xfId="0" applyFill="1" applyBorder="1" applyAlignment="1">
      <alignment horizontal="center" vertical="center" wrapText="1"/>
    </xf>
    <xf numFmtId="0" fontId="0" fillId="2" borderId="22" xfId="0" applyFill="1" applyBorder="1" applyAlignment="1">
      <alignment horizontal="center" vertical="center" wrapText="1"/>
    </xf>
    <xf numFmtId="0" fontId="0" fillId="2" borderId="28" xfId="0" applyFill="1" applyBorder="1" applyAlignment="1">
      <alignment horizontal="center" vertical="center" wrapText="1"/>
    </xf>
    <xf numFmtId="0" fontId="0" fillId="2" borderId="10" xfId="0" applyFill="1" applyBorder="1" applyAlignment="1">
      <alignment horizontal="center" vertical="center" wrapText="1"/>
    </xf>
    <xf numFmtId="0" fontId="0" fillId="2" borderId="5" xfId="0" applyFill="1" applyBorder="1" applyAlignment="1">
      <alignment horizontal="center" vertical="center" wrapText="1"/>
    </xf>
    <xf numFmtId="0" fontId="0" fillId="2" borderId="6" xfId="0" applyFill="1" applyBorder="1" applyAlignment="1">
      <alignment horizontal="center" vertical="center" wrapText="1"/>
    </xf>
    <xf numFmtId="0" fontId="4" fillId="0" borderId="0" xfId="0" applyFont="1" applyAlignment="1">
      <alignment vertical="top" wrapText="1"/>
    </xf>
    <xf numFmtId="1" fontId="64" fillId="0" borderId="0" xfId="0" applyNumberFormat="1" applyFont="1" applyAlignment="1">
      <alignment vertical="center" wrapText="1"/>
    </xf>
    <xf numFmtId="1" fontId="48" fillId="0" borderId="0" xfId="0" applyNumberFormat="1" applyFont="1" applyProtection="1">
      <protection locked="0"/>
    </xf>
    <xf numFmtId="0" fontId="7" fillId="0" borderId="0" xfId="0" applyFont="1" applyAlignment="1">
      <alignment horizontal="right" wrapText="1"/>
    </xf>
    <xf numFmtId="0" fontId="44" fillId="12" borderId="6" xfId="0" applyFont="1" applyFill="1" applyBorder="1" applyAlignment="1">
      <alignment horizontal="right"/>
    </xf>
    <xf numFmtId="1" fontId="42" fillId="4" borderId="0" xfId="0" applyNumberFormat="1" applyFont="1" applyFill="1" applyAlignment="1">
      <alignment horizontal="right"/>
    </xf>
    <xf numFmtId="1" fontId="10" fillId="3" borderId="19" xfId="0" quotePrefix="1" applyNumberFormat="1" applyFont="1" applyFill="1" applyBorder="1" applyAlignment="1">
      <alignment horizontal="center" vertical="center"/>
    </xf>
    <xf numFmtId="0" fontId="12" fillId="6" borderId="1" xfId="0" applyFont="1" applyFill="1" applyBorder="1" applyAlignment="1">
      <alignment horizontal="center"/>
    </xf>
    <xf numFmtId="0" fontId="56" fillId="11" borderId="47" xfId="0" applyFont="1" applyFill="1" applyBorder="1" applyAlignment="1">
      <alignment horizontal="left" vertical="top" wrapText="1"/>
    </xf>
    <xf numFmtId="0" fontId="42" fillId="10" borderId="48" xfId="0" applyFont="1" applyFill="1" applyBorder="1" applyAlignment="1">
      <alignment horizontal="center" vertical="center" wrapText="1"/>
    </xf>
    <xf numFmtId="0" fontId="56" fillId="2" borderId="38" xfId="0" applyFont="1" applyFill="1" applyBorder="1" applyAlignment="1" applyProtection="1">
      <alignment horizontal="center" vertical="top" wrapText="1"/>
      <protection locked="0"/>
    </xf>
    <xf numFmtId="1" fontId="42" fillId="6" borderId="39" xfId="0" applyNumberFormat="1" applyFont="1" applyFill="1" applyBorder="1" applyAlignment="1">
      <alignment horizontal="center" vertical="center" wrapText="1"/>
    </xf>
    <xf numFmtId="1" fontId="56" fillId="8" borderId="41" xfId="0" applyNumberFormat="1" applyFont="1" applyFill="1" applyBorder="1" applyAlignment="1">
      <alignment horizontal="center" vertical="top" wrapText="1"/>
    </xf>
    <xf numFmtId="1" fontId="56" fillId="8" borderId="23" xfId="0" applyNumberFormat="1" applyFont="1" applyFill="1" applyBorder="1" applyAlignment="1">
      <alignment horizontal="right"/>
    </xf>
    <xf numFmtId="1" fontId="42" fillId="6" borderId="9" xfId="0" applyNumberFormat="1" applyFont="1" applyFill="1" applyBorder="1" applyAlignment="1">
      <alignment horizontal="center"/>
    </xf>
    <xf numFmtId="1" fontId="43" fillId="6" borderId="9" xfId="0" applyNumberFormat="1" applyFont="1" applyFill="1" applyBorder="1" applyAlignment="1">
      <alignment horizontal="center" vertical="center" wrapText="1"/>
    </xf>
    <xf numFmtId="1" fontId="42" fillId="4" borderId="10" xfId="0" applyNumberFormat="1" applyFont="1" applyFill="1" applyBorder="1" applyAlignment="1">
      <alignment horizontal="center" vertical="center"/>
    </xf>
    <xf numFmtId="1" fontId="42" fillId="4" borderId="32" xfId="0" applyNumberFormat="1" applyFont="1" applyFill="1" applyBorder="1" applyAlignment="1">
      <alignment horizontal="center" vertical="center"/>
    </xf>
    <xf numFmtId="1" fontId="44" fillId="4" borderId="49" xfId="0" applyNumberFormat="1" applyFont="1" applyFill="1" applyBorder="1" applyAlignment="1">
      <alignment horizontal="center"/>
    </xf>
    <xf numFmtId="0" fontId="14" fillId="0" borderId="0" xfId="0" applyFont="1" applyAlignment="1" applyProtection="1">
      <alignment horizontal="left"/>
      <protection locked="0"/>
    </xf>
    <xf numFmtId="1" fontId="41" fillId="7" borderId="1" xfId="0" applyNumberFormat="1" applyFont="1" applyFill="1" applyBorder="1" applyAlignment="1">
      <alignment horizontal="center" vertical="center"/>
    </xf>
    <xf numFmtId="1" fontId="44" fillId="4" borderId="29" xfId="0" applyNumberFormat="1" applyFont="1" applyFill="1" applyBorder="1" applyAlignment="1">
      <alignment horizontal="center" vertical="center"/>
    </xf>
    <xf numFmtId="1" fontId="10" fillId="10" borderId="9" xfId="0" applyNumberFormat="1" applyFont="1" applyFill="1" applyBorder="1" applyAlignment="1">
      <alignment horizontal="center" vertical="center"/>
    </xf>
    <xf numFmtId="0" fontId="7" fillId="0" borderId="40" xfId="0" applyFont="1" applyBorder="1" applyAlignment="1">
      <alignment vertical="top" wrapText="1"/>
    </xf>
    <xf numFmtId="0" fontId="5" fillId="0" borderId="0" xfId="0" applyFont="1" applyAlignment="1">
      <alignment horizontal="center" vertical="top" wrapText="1"/>
    </xf>
    <xf numFmtId="1" fontId="0" fillId="6" borderId="10" xfId="0" applyNumberFormat="1" applyFill="1" applyBorder="1"/>
    <xf numFmtId="1" fontId="5" fillId="6" borderId="5" xfId="0" applyNumberFormat="1" applyFont="1" applyFill="1" applyBorder="1" applyAlignment="1">
      <alignment horizontal="right"/>
    </xf>
    <xf numFmtId="1" fontId="5" fillId="6" borderId="9" xfId="0" applyNumberFormat="1" applyFont="1" applyFill="1" applyBorder="1" applyAlignment="1">
      <alignment horizontal="center"/>
    </xf>
    <xf numFmtId="0" fontId="10" fillId="13" borderId="0" xfId="0" applyFont="1" applyFill="1" applyAlignment="1">
      <alignment vertical="center"/>
    </xf>
    <xf numFmtId="1" fontId="10" fillId="13" borderId="0" xfId="0" applyNumberFormat="1" applyFont="1" applyFill="1" applyAlignment="1">
      <alignment vertical="center"/>
    </xf>
    <xf numFmtId="1" fontId="10" fillId="13" borderId="0" xfId="0" applyNumberFormat="1" applyFont="1" applyFill="1" applyAlignment="1">
      <alignment horizontal="left" vertical="center"/>
    </xf>
    <xf numFmtId="0" fontId="10" fillId="13" borderId="0" xfId="0" applyFont="1" applyFill="1" applyAlignment="1">
      <alignment horizontal="left" vertical="center"/>
    </xf>
    <xf numFmtId="1" fontId="42" fillId="4" borderId="50" xfId="0" applyNumberFormat="1" applyFont="1" applyFill="1" applyBorder="1" applyAlignment="1">
      <alignment horizontal="center" vertical="center"/>
    </xf>
    <xf numFmtId="1" fontId="42" fillId="4" borderId="1" xfId="0" applyNumberFormat="1" applyFont="1" applyFill="1" applyBorder="1" applyAlignment="1">
      <alignment horizontal="center" vertical="center"/>
    </xf>
    <xf numFmtId="1" fontId="42" fillId="6" borderId="22" xfId="0" applyNumberFormat="1" applyFont="1" applyFill="1" applyBorder="1" applyAlignment="1">
      <alignment horizontal="center"/>
    </xf>
    <xf numFmtId="1" fontId="42" fillId="6" borderId="51" xfId="0" applyNumberFormat="1" applyFont="1" applyFill="1" applyBorder="1" applyAlignment="1">
      <alignment horizontal="center"/>
    </xf>
    <xf numFmtId="1" fontId="42" fillId="4" borderId="52" xfId="0" applyNumberFormat="1" applyFont="1" applyFill="1" applyBorder="1" applyAlignment="1">
      <alignment horizontal="center" vertical="center"/>
    </xf>
    <xf numFmtId="0" fontId="42" fillId="4" borderId="1" xfId="0" applyFont="1" applyFill="1" applyBorder="1" applyAlignment="1">
      <alignment horizontal="right"/>
    </xf>
    <xf numFmtId="1" fontId="42" fillId="4" borderId="33" xfId="0" applyNumberFormat="1" applyFont="1" applyFill="1" applyBorder="1" applyAlignment="1">
      <alignment horizontal="center" vertical="center"/>
    </xf>
    <xf numFmtId="1" fontId="42" fillId="4" borderId="16" xfId="0" applyNumberFormat="1" applyFont="1" applyFill="1" applyBorder="1" applyAlignment="1">
      <alignment horizontal="center" vertical="center"/>
    </xf>
    <xf numFmtId="0" fontId="42" fillId="4" borderId="29" xfId="0" applyFont="1" applyFill="1" applyBorder="1" applyAlignment="1">
      <alignment horizontal="right"/>
    </xf>
    <xf numFmtId="0" fontId="7" fillId="2" borderId="0" xfId="0" applyFont="1" applyFill="1"/>
    <xf numFmtId="0" fontId="66" fillId="2" borderId="0" xfId="1" applyFont="1" applyFill="1" applyAlignment="1" applyProtection="1"/>
    <xf numFmtId="0" fontId="38" fillId="2" borderId="0" xfId="0" applyFont="1" applyFill="1"/>
    <xf numFmtId="0" fontId="7" fillId="13" borderId="0" xfId="0" applyFont="1" applyFill="1" applyAlignment="1">
      <alignment vertical="center"/>
    </xf>
    <xf numFmtId="0" fontId="0" fillId="8" borderId="37" xfId="0" applyFill="1" applyBorder="1" applyAlignment="1">
      <alignment vertical="center"/>
    </xf>
    <xf numFmtId="0" fontId="5" fillId="8" borderId="9" xfId="0" applyFont="1" applyFill="1" applyBorder="1" applyAlignment="1">
      <alignment horizontal="center" vertical="center"/>
    </xf>
    <xf numFmtId="0" fontId="0" fillId="8" borderId="22" xfId="0" applyFill="1" applyBorder="1" applyAlignment="1">
      <alignment horizontal="center" vertical="center"/>
    </xf>
    <xf numFmtId="0" fontId="0" fillId="8" borderId="30" xfId="0" applyFill="1" applyBorder="1" applyAlignment="1">
      <alignment vertical="center"/>
    </xf>
    <xf numFmtId="49" fontId="0" fillId="0" borderId="0" xfId="0" applyNumberFormat="1" applyAlignment="1">
      <alignment vertical="top" wrapText="1"/>
    </xf>
    <xf numFmtId="49" fontId="4" fillId="0" borderId="0" xfId="0" quotePrefix="1" applyNumberFormat="1" applyFont="1" applyAlignment="1">
      <alignment vertical="top" wrapText="1"/>
    </xf>
    <xf numFmtId="1" fontId="43" fillId="2" borderId="53" xfId="0" applyNumberFormat="1" applyFont="1" applyFill="1" applyBorder="1" applyAlignment="1" applyProtection="1">
      <alignment horizontal="center"/>
      <protection locked="0"/>
    </xf>
    <xf numFmtId="1" fontId="43" fillId="2" borderId="54" xfId="0" applyNumberFormat="1" applyFont="1" applyFill="1" applyBorder="1" applyAlignment="1" applyProtection="1">
      <alignment horizontal="center"/>
      <protection locked="0"/>
    </xf>
    <xf numFmtId="0" fontId="43" fillId="2" borderId="55" xfId="0" applyFont="1" applyFill="1" applyBorder="1" applyAlignment="1" applyProtection="1">
      <alignment horizontal="center"/>
      <protection locked="0"/>
    </xf>
    <xf numFmtId="0" fontId="0" fillId="0" borderId="10" xfId="0" applyBorder="1"/>
    <xf numFmtId="0" fontId="0" fillId="0" borderId="5" xfId="0" applyBorder="1"/>
    <xf numFmtId="0" fontId="0" fillId="0" borderId="6" xfId="0" applyBorder="1"/>
    <xf numFmtId="0" fontId="7" fillId="0" borderId="12" xfId="0" applyFont="1" applyBorder="1" applyAlignment="1">
      <alignment horizontal="center" vertical="top" wrapText="1"/>
    </xf>
    <xf numFmtId="0" fontId="7" fillId="0" borderId="13" xfId="0" applyFont="1" applyBorder="1" applyAlignment="1">
      <alignment horizontal="center" vertical="top" wrapText="1"/>
    </xf>
    <xf numFmtId="0" fontId="7" fillId="0" borderId="14" xfId="0" applyFont="1" applyBorder="1" applyAlignment="1">
      <alignment horizontal="center" vertical="top" wrapText="1"/>
    </xf>
    <xf numFmtId="0" fontId="81" fillId="0" borderId="0" xfId="0" applyFont="1" applyAlignment="1">
      <alignment vertical="top" wrapText="1"/>
    </xf>
    <xf numFmtId="1" fontId="82" fillId="0" borderId="0" xfId="0" applyNumberFormat="1" applyFont="1" applyAlignment="1">
      <alignment vertical="center" wrapText="1"/>
    </xf>
    <xf numFmtId="0" fontId="10" fillId="0" borderId="0" xfId="0" applyFont="1" applyAlignment="1">
      <alignment horizontal="right"/>
    </xf>
    <xf numFmtId="0" fontId="10" fillId="0" borderId="0" xfId="0" applyFont="1" applyAlignment="1">
      <alignment horizontal="left"/>
    </xf>
    <xf numFmtId="0" fontId="4" fillId="0" borderId="0" xfId="0" applyFont="1"/>
    <xf numFmtId="0" fontId="10" fillId="0" borderId="0" xfId="0" applyFont="1" applyAlignment="1">
      <alignment horizontal="left" vertical="top" wrapText="1"/>
    </xf>
    <xf numFmtId="0" fontId="18" fillId="0" borderId="0" xfId="0" applyFont="1" applyAlignment="1">
      <alignment horizontal="left"/>
    </xf>
    <xf numFmtId="0" fontId="83" fillId="0" borderId="0" xfId="0" applyFont="1"/>
    <xf numFmtId="0" fontId="84" fillId="0" borderId="0" xfId="0" applyFont="1" applyAlignment="1">
      <alignment horizontal="left" vertical="top" wrapText="1"/>
    </xf>
    <xf numFmtId="0" fontId="4" fillId="0" borderId="0" xfId="0" applyFont="1" applyAlignment="1">
      <alignment horizontal="center" vertical="top" wrapText="1"/>
    </xf>
    <xf numFmtId="0" fontId="4" fillId="0" borderId="0" xfId="0" applyFont="1" applyAlignment="1">
      <alignment horizontal="left" vertical="top"/>
    </xf>
    <xf numFmtId="0" fontId="84" fillId="0" borderId="0" xfId="0" applyFont="1" applyAlignment="1">
      <alignment horizontal="left" vertical="top"/>
    </xf>
    <xf numFmtId="1" fontId="4" fillId="0" borderId="0" xfId="0" applyNumberFormat="1" applyFont="1" applyAlignment="1">
      <alignment horizontal="center"/>
    </xf>
    <xf numFmtId="1" fontId="10" fillId="0" borderId="0" xfId="0" applyNumberFormat="1" applyFont="1" applyAlignment="1">
      <alignment horizontal="right"/>
    </xf>
    <xf numFmtId="0" fontId="0" fillId="8" borderId="36" xfId="0" applyFill="1" applyBorder="1" applyAlignment="1">
      <alignment vertical="center"/>
    </xf>
    <xf numFmtId="0" fontId="0" fillId="8" borderId="51" xfId="0" applyFill="1" applyBorder="1"/>
    <xf numFmtId="0" fontId="0" fillId="9" borderId="0" xfId="0" applyFill="1" applyAlignment="1">
      <alignment vertical="top" wrapText="1"/>
    </xf>
    <xf numFmtId="1" fontId="42" fillId="4" borderId="29" xfId="0" applyNumberFormat="1" applyFont="1" applyFill="1" applyBorder="1" applyAlignment="1">
      <alignment horizontal="center" vertical="center"/>
    </xf>
    <xf numFmtId="1" fontId="59" fillId="4" borderId="5" xfId="0" applyNumberFormat="1" applyFont="1" applyFill="1" applyBorder="1" applyAlignment="1">
      <alignment horizontal="center" vertical="center" wrapText="1"/>
    </xf>
    <xf numFmtId="1" fontId="65" fillId="4" borderId="56" xfId="0" applyNumberFormat="1" applyFont="1" applyFill="1" applyBorder="1" applyAlignment="1">
      <alignment horizontal="center" vertical="center"/>
    </xf>
    <xf numFmtId="1" fontId="65" fillId="4" borderId="20" xfId="0" applyNumberFormat="1" applyFont="1" applyFill="1" applyBorder="1" applyAlignment="1">
      <alignment horizontal="center" vertical="center"/>
    </xf>
    <xf numFmtId="1" fontId="65" fillId="4" borderId="3" xfId="0" applyNumberFormat="1" applyFont="1" applyFill="1" applyBorder="1" applyAlignment="1">
      <alignment horizontal="center" vertical="center"/>
    </xf>
    <xf numFmtId="1" fontId="65" fillId="4" borderId="27" xfId="0" applyNumberFormat="1" applyFont="1" applyFill="1" applyBorder="1" applyAlignment="1">
      <alignment horizontal="center" vertical="center"/>
    </xf>
    <xf numFmtId="0" fontId="42" fillId="4" borderId="43" xfId="0" applyFont="1" applyFill="1" applyBorder="1" applyAlignment="1">
      <alignment horizontal="center" vertical="center" wrapText="1"/>
    </xf>
    <xf numFmtId="0" fontId="42" fillId="4" borderId="10" xfId="0" applyFont="1" applyFill="1" applyBorder="1" applyAlignment="1">
      <alignment horizontal="center" vertical="center" wrapText="1"/>
    </xf>
    <xf numFmtId="1" fontId="56" fillId="2" borderId="39" xfId="0" applyNumberFormat="1" applyFont="1" applyFill="1" applyBorder="1" applyAlignment="1">
      <alignment horizontal="center" vertical="center"/>
    </xf>
    <xf numFmtId="1" fontId="56" fillId="2" borderId="41" xfId="0" applyNumberFormat="1" applyFont="1" applyFill="1" applyBorder="1" applyAlignment="1">
      <alignment horizontal="center" vertical="center"/>
    </xf>
    <xf numFmtId="1" fontId="65" fillId="4" borderId="35" xfId="0" applyNumberFormat="1" applyFont="1" applyFill="1" applyBorder="1" applyAlignment="1">
      <alignment horizontal="center" vertical="center"/>
    </xf>
    <xf numFmtId="1" fontId="65" fillId="4" borderId="37" xfId="0" applyNumberFormat="1" applyFont="1" applyFill="1" applyBorder="1" applyAlignment="1">
      <alignment horizontal="center" vertical="center"/>
    </xf>
    <xf numFmtId="1" fontId="65" fillId="4" borderId="36" xfId="0" applyNumberFormat="1" applyFont="1" applyFill="1" applyBorder="1" applyAlignment="1">
      <alignment horizontal="center" vertical="center"/>
    </xf>
    <xf numFmtId="0" fontId="0" fillId="2" borderId="13" xfId="0" applyFill="1" applyBorder="1"/>
    <xf numFmtId="0" fontId="0" fillId="2" borderId="14" xfId="0" applyFill="1" applyBorder="1"/>
    <xf numFmtId="0" fontId="0" fillId="2" borderId="8" xfId="0" applyFill="1" applyBorder="1"/>
    <xf numFmtId="0" fontId="12" fillId="0" borderId="12" xfId="0" applyFont="1" applyBorder="1" applyAlignment="1">
      <alignment horizontal="justify" vertical="top" wrapText="1"/>
    </xf>
    <xf numFmtId="0" fontId="10" fillId="0" borderId="13" xfId="0" applyFont="1" applyBorder="1"/>
    <xf numFmtId="0" fontId="11" fillId="0" borderId="13" xfId="0" applyFont="1" applyBorder="1"/>
    <xf numFmtId="0" fontId="10" fillId="0" borderId="14" xfId="0" applyFont="1" applyBorder="1"/>
    <xf numFmtId="0" fontId="11" fillId="0" borderId="7" xfId="0" applyFont="1" applyBorder="1"/>
    <xf numFmtId="0" fontId="11" fillId="0" borderId="8" xfId="0" applyFont="1" applyBorder="1"/>
    <xf numFmtId="0" fontId="10" fillId="0" borderId="7" xfId="0" applyFont="1" applyBorder="1"/>
    <xf numFmtId="0" fontId="12" fillId="0" borderId="7" xfId="0" applyFont="1" applyBorder="1" applyAlignment="1">
      <alignment horizontal="justify" vertical="top" wrapText="1"/>
    </xf>
    <xf numFmtId="0" fontId="10" fillId="0" borderId="8" xfId="0" applyFont="1" applyBorder="1"/>
    <xf numFmtId="0" fontId="86" fillId="2" borderId="0" xfId="0" applyFont="1" applyFill="1"/>
    <xf numFmtId="0" fontId="87" fillId="2" borderId="0" xfId="0" applyFont="1" applyFill="1"/>
    <xf numFmtId="0" fontId="56" fillId="2" borderId="0" xfId="0" applyFont="1" applyFill="1" applyAlignment="1" applyProtection="1">
      <alignment horizontal="center" vertical="top" wrapText="1"/>
      <protection locked="0"/>
    </xf>
    <xf numFmtId="0" fontId="56" fillId="10" borderId="47" xfId="0" applyFont="1" applyFill="1" applyBorder="1" applyAlignment="1">
      <alignment horizontal="center" vertical="top" wrapText="1"/>
    </xf>
    <xf numFmtId="1" fontId="56" fillId="8" borderId="50" xfId="0" applyNumberFormat="1" applyFont="1" applyFill="1" applyBorder="1"/>
    <xf numFmtId="0" fontId="56" fillId="2" borderId="15" xfId="0" applyFont="1" applyFill="1" applyBorder="1" applyAlignment="1" applyProtection="1">
      <alignment horizontal="center" vertical="top" wrapText="1"/>
      <protection locked="0"/>
    </xf>
    <xf numFmtId="0" fontId="88" fillId="0" borderId="14" xfId="0" applyFont="1" applyBorder="1" applyAlignment="1">
      <alignment vertical="center" wrapText="1"/>
    </xf>
    <xf numFmtId="1" fontId="43" fillId="4" borderId="7" xfId="0" applyNumberFormat="1" applyFont="1" applyFill="1" applyBorder="1" applyAlignment="1" applyProtection="1">
      <alignment horizontal="center"/>
      <protection locked="0"/>
    </xf>
    <xf numFmtId="0" fontId="43" fillId="4" borderId="0" xfId="0" applyFont="1" applyFill="1" applyAlignment="1" applyProtection="1">
      <alignment horizontal="center" vertical="center" wrapText="1"/>
      <protection locked="0"/>
    </xf>
    <xf numFmtId="0" fontId="43" fillId="4" borderId="57" xfId="0" applyFont="1" applyFill="1" applyBorder="1" applyAlignment="1" applyProtection="1">
      <alignment horizontal="center"/>
      <protection locked="0"/>
    </xf>
    <xf numFmtId="0" fontId="43" fillId="4" borderId="0" xfId="0" applyFont="1" applyFill="1" applyAlignment="1" applyProtection="1">
      <alignment horizontal="center" vertical="top" wrapText="1"/>
      <protection locked="0"/>
    </xf>
    <xf numFmtId="0" fontId="43" fillId="4" borderId="0" xfId="0" applyFont="1" applyFill="1" applyAlignment="1" applyProtection="1">
      <alignment horizontal="center"/>
      <protection locked="0"/>
    </xf>
    <xf numFmtId="1" fontId="43" fillId="4" borderId="0" xfId="0" applyNumberFormat="1" applyFont="1" applyFill="1" applyAlignment="1" applyProtection="1">
      <alignment horizontal="center"/>
      <protection locked="0"/>
    </xf>
    <xf numFmtId="1" fontId="43" fillId="4" borderId="13" xfId="0" applyNumberFormat="1" applyFont="1" applyFill="1" applyBorder="1" applyAlignment="1" applyProtection="1">
      <alignment horizontal="center"/>
      <protection locked="0"/>
    </xf>
    <xf numFmtId="165" fontId="42" fillId="4" borderId="23" xfId="0" applyNumberFormat="1" applyFont="1" applyFill="1" applyBorder="1" applyAlignment="1">
      <alignment horizontal="center"/>
    </xf>
    <xf numFmtId="1" fontId="0" fillId="4" borderId="28" xfId="0" applyNumberFormat="1" applyFill="1" applyBorder="1"/>
    <xf numFmtId="1" fontId="43" fillId="4" borderId="22" xfId="0" applyNumberFormat="1" applyFont="1" applyFill="1" applyBorder="1" applyAlignment="1">
      <alignment horizontal="center"/>
    </xf>
    <xf numFmtId="1" fontId="43" fillId="4" borderId="23" xfId="0" applyNumberFormat="1" applyFont="1" applyFill="1" applyBorder="1" applyAlignment="1">
      <alignment horizontal="center"/>
    </xf>
    <xf numFmtId="0" fontId="43" fillId="4" borderId="23" xfId="0" applyFont="1" applyFill="1" applyBorder="1" applyAlignment="1">
      <alignment horizontal="center"/>
    </xf>
    <xf numFmtId="170" fontId="42" fillId="4" borderId="23" xfId="0" applyNumberFormat="1" applyFont="1" applyFill="1" applyBorder="1" applyAlignment="1">
      <alignment horizontal="center"/>
    </xf>
    <xf numFmtId="1" fontId="5" fillId="8" borderId="1" xfId="0" applyNumberFormat="1" applyFont="1" applyFill="1" applyBorder="1" applyAlignment="1">
      <alignment vertical="center"/>
    </xf>
    <xf numFmtId="1" fontId="12" fillId="8" borderId="16" xfId="0" applyNumberFormat="1" applyFont="1" applyFill="1" applyBorder="1" applyAlignment="1">
      <alignment horizontal="center" vertical="center"/>
    </xf>
    <xf numFmtId="1" fontId="12" fillId="8" borderId="1" xfId="0" applyNumberFormat="1" applyFont="1" applyFill="1" applyBorder="1" applyAlignment="1">
      <alignment horizontal="center"/>
    </xf>
    <xf numFmtId="1" fontId="5" fillId="8" borderId="19" xfId="0" applyNumberFormat="1" applyFont="1" applyFill="1" applyBorder="1"/>
    <xf numFmtId="1" fontId="7" fillId="7" borderId="9" xfId="0" applyNumberFormat="1" applyFont="1" applyFill="1" applyBorder="1" applyAlignment="1">
      <alignment horizontal="center" vertical="center" wrapText="1"/>
    </xf>
    <xf numFmtId="1" fontId="12" fillId="8" borderId="1" xfId="0" applyNumberFormat="1" applyFont="1" applyFill="1" applyBorder="1" applyAlignment="1">
      <alignment horizontal="center" vertical="center"/>
    </xf>
    <xf numFmtId="0" fontId="84" fillId="0" borderId="0" xfId="0" applyFont="1"/>
    <xf numFmtId="1" fontId="43" fillId="9" borderId="12" xfId="0" applyNumberFormat="1" applyFont="1" applyFill="1" applyBorder="1" applyAlignment="1" applyProtection="1">
      <alignment horizontal="center"/>
      <protection locked="0"/>
    </xf>
    <xf numFmtId="0" fontId="43" fillId="9" borderId="13" xfId="0" applyFont="1" applyFill="1" applyBorder="1" applyAlignment="1" applyProtection="1">
      <alignment horizontal="center" vertical="center" wrapText="1"/>
      <protection locked="0"/>
    </xf>
    <xf numFmtId="0" fontId="43" fillId="9" borderId="58" xfId="0" applyFont="1" applyFill="1" applyBorder="1" applyAlignment="1" applyProtection="1">
      <alignment horizontal="center"/>
      <protection locked="0"/>
    </xf>
    <xf numFmtId="165" fontId="42" fillId="4" borderId="13" xfId="0" applyNumberFormat="1" applyFont="1" applyFill="1" applyBorder="1" applyAlignment="1">
      <alignment horizontal="center"/>
    </xf>
    <xf numFmtId="0" fontId="5" fillId="4" borderId="14" xfId="0" applyFont="1" applyFill="1" applyBorder="1" applyAlignment="1">
      <alignment horizontal="right"/>
    </xf>
    <xf numFmtId="1" fontId="0" fillId="4" borderId="8" xfId="0" applyNumberFormat="1" applyFill="1" applyBorder="1"/>
    <xf numFmtId="165" fontId="0" fillId="4" borderId="0" xfId="0" applyNumberFormat="1" applyFill="1"/>
    <xf numFmtId="165" fontId="0" fillId="4" borderId="8" xfId="0" applyNumberFormat="1" applyFill="1" applyBorder="1"/>
    <xf numFmtId="1" fontId="56" fillId="2" borderId="38" xfId="0" applyNumberFormat="1" applyFont="1" applyFill="1" applyBorder="1" applyAlignment="1" applyProtection="1">
      <alignment horizontal="center" vertical="center"/>
      <protection locked="0"/>
    </xf>
    <xf numFmtId="1" fontId="56" fillId="2" borderId="59" xfId="0" applyNumberFormat="1" applyFont="1" applyFill="1" applyBorder="1" applyAlignment="1" applyProtection="1">
      <alignment horizontal="center" vertical="center"/>
      <protection locked="0"/>
    </xf>
    <xf numFmtId="0" fontId="4" fillId="0" borderId="0" xfId="0" applyFont="1" applyAlignment="1">
      <alignment horizontal="right" vertical="top" wrapText="1"/>
    </xf>
    <xf numFmtId="0" fontId="8" fillId="0" borderId="0" xfId="1" applyAlignment="1" applyProtection="1">
      <alignment vertical="top" wrapText="1"/>
    </xf>
    <xf numFmtId="49" fontId="4" fillId="0" borderId="0" xfId="0" applyNumberFormat="1" applyFont="1" applyAlignment="1">
      <alignment vertical="top" wrapText="1"/>
    </xf>
    <xf numFmtId="0" fontId="62" fillId="2" borderId="51" xfId="0" applyFont="1" applyFill="1" applyBorder="1" applyAlignment="1">
      <alignment horizontal="center" vertical="center"/>
    </xf>
    <xf numFmtId="0" fontId="4" fillId="0" borderId="0" xfId="0" applyFont="1" applyAlignment="1">
      <alignment horizontal="left" wrapText="1"/>
    </xf>
    <xf numFmtId="1" fontId="62" fillId="4" borderId="35" xfId="0" applyNumberFormat="1" applyFont="1" applyFill="1" applyBorder="1" applyAlignment="1">
      <alignment horizontal="center" vertical="center"/>
    </xf>
    <xf numFmtId="1" fontId="62" fillId="4" borderId="37" xfId="0" applyNumberFormat="1" applyFont="1" applyFill="1" applyBorder="1" applyAlignment="1">
      <alignment horizontal="center" vertical="center"/>
    </xf>
    <xf numFmtId="1" fontId="62" fillId="4" borderId="36" xfId="0" applyNumberFormat="1" applyFont="1" applyFill="1" applyBorder="1" applyAlignment="1">
      <alignment horizontal="center" vertical="center"/>
    </xf>
    <xf numFmtId="0" fontId="38" fillId="0" borderId="0" xfId="0" applyFont="1" applyAlignment="1">
      <alignment vertical="top" wrapText="1"/>
    </xf>
    <xf numFmtId="0" fontId="70" fillId="0" borderId="0" xfId="1" applyFont="1" applyAlignment="1" applyProtection="1">
      <alignment vertical="top" wrapText="1"/>
    </xf>
    <xf numFmtId="49" fontId="89" fillId="0" borderId="0" xfId="0" applyNumberFormat="1" applyFont="1" applyAlignment="1">
      <alignment vertical="top" wrapText="1"/>
    </xf>
    <xf numFmtId="0" fontId="38" fillId="0" borderId="0" xfId="0" applyFont="1"/>
    <xf numFmtId="0" fontId="5" fillId="0" borderId="0" xfId="0" applyFont="1" applyAlignment="1">
      <alignment vertical="top" wrapText="1"/>
    </xf>
    <xf numFmtId="1" fontId="56" fillId="2" borderId="47" xfId="0" applyNumberFormat="1" applyFont="1" applyFill="1" applyBorder="1" applyAlignment="1">
      <alignment horizontal="center" vertical="center"/>
    </xf>
    <xf numFmtId="0" fontId="53" fillId="2" borderId="0" xfId="0" applyFont="1" applyFill="1"/>
    <xf numFmtId="0" fontId="81" fillId="0" borderId="0" xfId="0" applyFont="1" applyAlignment="1">
      <alignment horizontal="center" vertical="top" wrapText="1"/>
    </xf>
    <xf numFmtId="0" fontId="7" fillId="0" borderId="0" xfId="0" applyFont="1" applyAlignment="1" applyProtection="1">
      <alignment horizontal="right" vertical="center" wrapText="1"/>
      <protection locked="0"/>
    </xf>
    <xf numFmtId="0" fontId="18" fillId="0" borderId="4" xfId="0" applyFont="1" applyBorder="1" applyAlignment="1">
      <alignment vertical="top" wrapText="1"/>
    </xf>
    <xf numFmtId="1" fontId="42" fillId="5" borderId="1" xfId="0" applyNumberFormat="1" applyFont="1" applyFill="1" applyBorder="1" applyAlignment="1">
      <alignment horizontal="center" vertical="center"/>
    </xf>
    <xf numFmtId="0" fontId="18" fillId="0" borderId="0" xfId="0" applyFont="1" applyAlignment="1">
      <alignment horizontal="center" vertical="center"/>
    </xf>
    <xf numFmtId="0" fontId="8" fillId="0" borderId="39" xfId="1" applyBorder="1" applyAlignment="1" applyProtection="1">
      <alignment horizontal="center"/>
    </xf>
    <xf numFmtId="0" fontId="0" fillId="2" borderId="37" xfId="0" applyFill="1" applyBorder="1"/>
    <xf numFmtId="0" fontId="0" fillId="2" borderId="36" xfId="0" applyFill="1" applyBorder="1"/>
    <xf numFmtId="0" fontId="0" fillId="2" borderId="30" xfId="0" applyFill="1" applyBorder="1"/>
    <xf numFmtId="0" fontId="0" fillId="2" borderId="9" xfId="0" applyFill="1" applyBorder="1"/>
    <xf numFmtId="0" fontId="4" fillId="2" borderId="37" xfId="0" applyFont="1" applyFill="1" applyBorder="1"/>
    <xf numFmtId="0" fontId="83" fillId="8" borderId="0" xfId="0" applyFont="1" applyFill="1" applyAlignment="1">
      <alignment horizontal="center" vertical="top" wrapText="1"/>
    </xf>
    <xf numFmtId="0" fontId="61" fillId="9" borderId="11" xfId="0" applyFont="1" applyFill="1" applyBorder="1" applyAlignment="1">
      <alignment horizontal="center" vertical="center" wrapText="1"/>
    </xf>
    <xf numFmtId="1" fontId="4" fillId="2" borderId="2" xfId="0" applyNumberFormat="1" applyFont="1" applyFill="1" applyBorder="1" applyAlignment="1" applyProtection="1">
      <alignment horizontal="center"/>
      <protection locked="0"/>
    </xf>
    <xf numFmtId="1" fontId="42" fillId="2" borderId="1" xfId="0" applyNumberFormat="1" applyFont="1" applyFill="1" applyBorder="1" applyAlignment="1" applyProtection="1">
      <alignment horizontal="center" vertical="center"/>
      <protection locked="0"/>
    </xf>
    <xf numFmtId="1" fontId="39" fillId="10" borderId="1" xfId="0" applyNumberFormat="1" applyFont="1" applyFill="1" applyBorder="1" applyAlignment="1">
      <alignment horizontal="left" vertical="top" wrapText="1"/>
    </xf>
    <xf numFmtId="1" fontId="42" fillId="7" borderId="31" xfId="0" applyNumberFormat="1" applyFont="1" applyFill="1" applyBorder="1" applyAlignment="1">
      <alignment horizontal="center" vertical="center" wrapText="1"/>
    </xf>
    <xf numFmtId="3" fontId="56" fillId="7" borderId="1" xfId="0" applyNumberFormat="1" applyFont="1" applyFill="1" applyBorder="1" applyAlignment="1">
      <alignment horizontal="center" vertical="top" wrapText="1"/>
    </xf>
    <xf numFmtId="3" fontId="40" fillId="5" borderId="1" xfId="0" applyNumberFormat="1" applyFont="1" applyFill="1" applyBorder="1" applyAlignment="1">
      <alignment horizontal="center" vertical="center"/>
    </xf>
    <xf numFmtId="3" fontId="56" fillId="6" borderId="39" xfId="0" applyNumberFormat="1" applyFont="1" applyFill="1" applyBorder="1" applyAlignment="1">
      <alignment horizontal="center" vertical="center"/>
    </xf>
    <xf numFmtId="1" fontId="56" fillId="2" borderId="48" xfId="0" applyNumberFormat="1" applyFont="1" applyFill="1" applyBorder="1" applyAlignment="1" applyProtection="1">
      <alignment horizontal="center" vertical="center"/>
      <protection locked="0"/>
    </xf>
    <xf numFmtId="1" fontId="56" fillId="2" borderId="60" xfId="0" applyNumberFormat="1" applyFont="1" applyFill="1" applyBorder="1" applyAlignment="1">
      <alignment horizontal="center" vertical="center"/>
    </xf>
    <xf numFmtId="1" fontId="5" fillId="2" borderId="0" xfId="0" applyNumberFormat="1" applyFont="1" applyFill="1" applyAlignment="1">
      <alignment horizontal="center" vertical="top" wrapText="1"/>
    </xf>
    <xf numFmtId="0" fontId="5" fillId="2" borderId="3" xfId="0" applyFont="1" applyFill="1" applyBorder="1" applyAlignment="1" applyProtection="1">
      <alignment horizontal="center" vertical="top" wrapText="1"/>
      <protection locked="0"/>
    </xf>
    <xf numFmtId="1" fontId="10" fillId="3" borderId="1" xfId="0" applyNumberFormat="1" applyFont="1" applyFill="1" applyBorder="1" applyAlignment="1">
      <alignment horizontal="center" vertical="center"/>
    </xf>
    <xf numFmtId="1" fontId="12" fillId="6" borderId="29" xfId="0" applyNumberFormat="1" applyFont="1" applyFill="1" applyBorder="1" applyAlignment="1">
      <alignment horizontal="center"/>
    </xf>
    <xf numFmtId="1" fontId="10" fillId="2" borderId="9" xfId="0" applyNumberFormat="1" applyFont="1" applyFill="1" applyBorder="1" applyAlignment="1" applyProtection="1">
      <alignment horizontal="center" vertical="center"/>
      <protection locked="0"/>
    </xf>
    <xf numFmtId="1" fontId="10" fillId="2" borderId="11" xfId="0" applyNumberFormat="1" applyFont="1" applyFill="1" applyBorder="1" applyAlignment="1">
      <alignment horizontal="center" vertical="center"/>
    </xf>
    <xf numFmtId="1" fontId="12" fillId="6" borderId="1" xfId="0" applyNumberFormat="1" applyFont="1" applyFill="1" applyBorder="1" applyAlignment="1">
      <alignment horizontal="center"/>
    </xf>
    <xf numFmtId="1" fontId="10" fillId="2" borderId="9" xfId="0" applyNumberFormat="1" applyFont="1" applyFill="1" applyBorder="1" applyAlignment="1">
      <alignment horizontal="center" vertical="center"/>
    </xf>
    <xf numFmtId="1" fontId="10" fillId="10" borderId="11" xfId="0" applyNumberFormat="1" applyFont="1" applyFill="1" applyBorder="1" applyAlignment="1">
      <alignment vertical="center"/>
    </xf>
    <xf numFmtId="1" fontId="10" fillId="2" borderId="10" xfId="0" applyNumberFormat="1" applyFont="1" applyFill="1" applyBorder="1" applyAlignment="1" applyProtection="1">
      <alignment vertical="center"/>
      <protection locked="0"/>
    </xf>
    <xf numFmtId="1" fontId="10" fillId="10" borderId="9" xfId="0" applyNumberFormat="1" applyFont="1" applyFill="1" applyBorder="1" applyAlignment="1">
      <alignment vertical="center"/>
    </xf>
    <xf numFmtId="1" fontId="10" fillId="2" borderId="11" xfId="0" applyNumberFormat="1" applyFont="1" applyFill="1" applyBorder="1" applyAlignment="1">
      <alignment vertical="center"/>
    </xf>
    <xf numFmtId="1" fontId="10" fillId="2" borderId="9" xfId="0" applyNumberFormat="1" applyFont="1" applyFill="1" applyBorder="1" applyAlignment="1">
      <alignment vertical="center"/>
    </xf>
    <xf numFmtId="1" fontId="10" fillId="2" borderId="51" xfId="0" applyNumberFormat="1" applyFont="1" applyFill="1" applyBorder="1" applyAlignment="1" applyProtection="1">
      <alignment vertical="center"/>
      <protection locked="0"/>
    </xf>
    <xf numFmtId="1" fontId="10" fillId="2" borderId="9" xfId="0" applyNumberFormat="1" applyFont="1" applyFill="1" applyBorder="1" applyAlignment="1" applyProtection="1">
      <alignment vertical="center"/>
      <protection locked="0"/>
    </xf>
    <xf numFmtId="0" fontId="26" fillId="0" borderId="0" xfId="0" applyFont="1"/>
    <xf numFmtId="0" fontId="85" fillId="0" borderId="61" xfId="0" applyFont="1" applyBorder="1" applyAlignment="1">
      <alignment vertical="center"/>
    </xf>
    <xf numFmtId="0" fontId="85" fillId="0" borderId="35" xfId="0" applyFont="1" applyBorder="1" applyAlignment="1">
      <alignment horizontal="center" vertical="center"/>
    </xf>
    <xf numFmtId="0" fontId="85" fillId="0" borderId="15" xfId="0" applyFont="1" applyBorder="1" applyAlignment="1">
      <alignment vertical="center"/>
    </xf>
    <xf numFmtId="0" fontId="85" fillId="0" borderId="37" xfId="0" applyFont="1" applyBorder="1" applyAlignment="1">
      <alignment horizontal="center" vertical="center"/>
    </xf>
    <xf numFmtId="0" fontId="85" fillId="0" borderId="24" xfId="0" applyFont="1" applyBorder="1" applyAlignment="1">
      <alignment vertical="center" wrapText="1"/>
    </xf>
    <xf numFmtId="0" fontId="85" fillId="0" borderId="36" xfId="0" applyFont="1" applyBorder="1" applyAlignment="1">
      <alignment horizontal="center" vertical="center"/>
    </xf>
    <xf numFmtId="0" fontId="0" fillId="0" borderId="22" xfId="0" applyBorder="1" applyAlignment="1">
      <alignment horizontal="center" vertical="center"/>
    </xf>
    <xf numFmtId="0" fontId="0" fillId="0" borderId="35" xfId="0" applyBorder="1" applyAlignment="1">
      <alignment vertical="center"/>
    </xf>
    <xf numFmtId="0" fontId="0" fillId="0" borderId="10" xfId="0" applyBorder="1" applyAlignment="1">
      <alignment vertical="center"/>
    </xf>
    <xf numFmtId="0" fontId="0" fillId="0" borderId="5" xfId="0" applyBorder="1" applyAlignment="1">
      <alignment vertical="center"/>
    </xf>
    <xf numFmtId="0" fontId="0" fillId="0" borderId="6" xfId="0" applyBorder="1" applyAlignment="1">
      <alignment vertical="center"/>
    </xf>
    <xf numFmtId="0" fontId="0" fillId="0" borderId="37" xfId="0" applyBorder="1" applyAlignment="1">
      <alignment vertical="center"/>
    </xf>
    <xf numFmtId="0" fontId="0" fillId="0" borderId="22" xfId="0" applyBorder="1" applyAlignment="1">
      <alignment vertical="center"/>
    </xf>
    <xf numFmtId="0" fontId="0" fillId="0" borderId="23" xfId="0" applyBorder="1" applyAlignment="1">
      <alignment vertical="center"/>
    </xf>
    <xf numFmtId="0" fontId="0" fillId="0" borderId="28" xfId="0" applyBorder="1" applyAlignment="1">
      <alignment vertical="center"/>
    </xf>
    <xf numFmtId="0" fontId="0" fillId="0" borderId="36" xfId="0" applyBorder="1" applyAlignment="1">
      <alignment vertical="center"/>
    </xf>
    <xf numFmtId="0" fontId="14" fillId="0" borderId="0" xfId="0" applyFont="1"/>
    <xf numFmtId="49" fontId="62" fillId="2" borderId="9" xfId="0" applyNumberFormat="1" applyFont="1" applyFill="1" applyBorder="1" applyAlignment="1" applyProtection="1">
      <alignment horizontal="center" vertical="center"/>
      <protection locked="0"/>
    </xf>
    <xf numFmtId="0" fontId="91" fillId="0" borderId="0" xfId="0" applyFont="1" applyAlignment="1">
      <alignment vertical="center"/>
    </xf>
    <xf numFmtId="0" fontId="92" fillId="0" borderId="0" xfId="0" applyFont="1"/>
    <xf numFmtId="0" fontId="93" fillId="0" borderId="0" xfId="0" applyFont="1" applyAlignment="1">
      <alignment vertical="center"/>
    </xf>
    <xf numFmtId="0" fontId="94" fillId="0" borderId="0" xfId="0" applyFont="1"/>
    <xf numFmtId="0" fontId="95" fillId="0" borderId="0" xfId="0" applyFont="1" applyAlignment="1">
      <alignment vertical="center"/>
    </xf>
    <xf numFmtId="0" fontId="96" fillId="0" borderId="0" xfId="0" applyFont="1"/>
    <xf numFmtId="0" fontId="26" fillId="2" borderId="0" xfId="0" applyFont="1" applyFill="1"/>
    <xf numFmtId="0" fontId="4" fillId="2" borderId="20" xfId="0" applyFont="1" applyFill="1" applyBorder="1" applyAlignment="1">
      <alignment horizontal="left" vertical="top" wrapText="1"/>
    </xf>
    <xf numFmtId="1" fontId="12" fillId="13" borderId="0" xfId="0" applyNumberFormat="1" applyFont="1" applyFill="1" applyAlignment="1">
      <alignment vertical="center"/>
    </xf>
    <xf numFmtId="0" fontId="0" fillId="0" borderId="0" xfId="0" applyAlignment="1">
      <alignment horizontal="justify" vertical="top" wrapText="1"/>
    </xf>
    <xf numFmtId="0" fontId="19" fillId="2" borderId="3" xfId="0" applyFont="1" applyFill="1" applyBorder="1" applyAlignment="1" applyProtection="1">
      <alignment horizontal="left" vertical="top" wrapText="1"/>
      <protection locked="0"/>
    </xf>
    <xf numFmtId="0" fontId="10" fillId="13" borderId="0" xfId="0" applyFont="1" applyFill="1"/>
    <xf numFmtId="0" fontId="10" fillId="13" borderId="0" xfId="0" applyFont="1" applyFill="1" applyAlignment="1">
      <alignment horizontal="justify" vertical="top"/>
    </xf>
    <xf numFmtId="0" fontId="10" fillId="13" borderId="0" xfId="0" applyFont="1" applyFill="1" applyAlignment="1">
      <alignment horizontal="center" vertical="top"/>
    </xf>
    <xf numFmtId="0" fontId="10" fillId="13" borderId="0" xfId="0" applyFont="1" applyFill="1" applyAlignment="1">
      <alignment horizontal="justify" vertical="top" wrapText="1"/>
    </xf>
    <xf numFmtId="0" fontId="12" fillId="13" borderId="0" xfId="0" applyFont="1" applyFill="1" applyAlignment="1">
      <alignment vertical="center"/>
    </xf>
    <xf numFmtId="0" fontId="12" fillId="13" borderId="0" xfId="0" applyFont="1" applyFill="1" applyAlignment="1">
      <alignment horizontal="left" vertical="center"/>
    </xf>
    <xf numFmtId="0" fontId="10" fillId="13" borderId="0" xfId="0" applyFont="1" applyFill="1" applyAlignment="1">
      <alignment vertical="center" wrapText="1"/>
    </xf>
    <xf numFmtId="0" fontId="10" fillId="13" borderId="15" xfId="0" applyFont="1" applyFill="1" applyBorder="1" applyAlignment="1" applyProtection="1">
      <alignment horizontal="left" vertical="center" wrapText="1" indent="1"/>
      <protection locked="0"/>
    </xf>
    <xf numFmtId="0" fontId="10" fillId="13" borderId="20" xfId="0" applyFont="1" applyFill="1" applyBorder="1" applyAlignment="1" applyProtection="1">
      <alignment horizontal="left" vertical="center" wrapText="1" indent="1"/>
      <protection locked="0"/>
    </xf>
    <xf numFmtId="0" fontId="10" fillId="13" borderId="21" xfId="0" applyFont="1" applyFill="1" applyBorder="1" applyAlignment="1" applyProtection="1">
      <alignment horizontal="left" vertical="center" wrapText="1" indent="1"/>
      <protection locked="0"/>
    </xf>
    <xf numFmtId="0" fontId="12" fillId="13" borderId="0" xfId="0" applyFont="1" applyFill="1" applyAlignment="1">
      <alignment vertical="center" wrapText="1"/>
    </xf>
    <xf numFmtId="0" fontId="12" fillId="13" borderId="7" xfId="0" applyFont="1" applyFill="1" applyBorder="1" applyAlignment="1">
      <alignment vertical="center"/>
    </xf>
    <xf numFmtId="0" fontId="12" fillId="13" borderId="7" xfId="0" applyFont="1" applyFill="1" applyBorder="1" applyAlignment="1">
      <alignment vertical="center" wrapText="1"/>
    </xf>
    <xf numFmtId="0" fontId="10" fillId="13" borderId="7" xfId="0" applyFont="1" applyFill="1" applyBorder="1" applyAlignment="1" applyProtection="1">
      <alignment vertical="center" wrapText="1"/>
      <protection locked="0"/>
    </xf>
    <xf numFmtId="0" fontId="73" fillId="13" borderId="0" xfId="1" applyFont="1" applyFill="1" applyAlignment="1" applyProtection="1">
      <alignment vertical="center"/>
    </xf>
    <xf numFmtId="0" fontId="18" fillId="0" borderId="0" xfId="0" applyFont="1" applyAlignment="1">
      <alignment horizontal="justify" vertical="top"/>
    </xf>
    <xf numFmtId="0" fontId="4" fillId="0" borderId="0" xfId="0" applyFont="1" applyAlignment="1">
      <alignment horizontal="justify" vertical="top"/>
    </xf>
    <xf numFmtId="0" fontId="0" fillId="0" borderId="0" xfId="0" applyAlignment="1">
      <alignment horizontal="justify" vertical="top"/>
    </xf>
    <xf numFmtId="0" fontId="18" fillId="0" borderId="0" xfId="0" applyFont="1" applyAlignment="1">
      <alignment horizontal="justify" vertical="top" wrapText="1"/>
    </xf>
    <xf numFmtId="1" fontId="18" fillId="0" borderId="33" xfId="0" applyNumberFormat="1" applyFont="1" applyBorder="1" applyAlignment="1">
      <alignment horizontal="justify" vertical="top" wrapText="1"/>
    </xf>
    <xf numFmtId="1" fontId="18" fillId="0" borderId="62" xfId="0" applyNumberFormat="1" applyFont="1" applyBorder="1" applyAlignment="1">
      <alignment horizontal="justify" vertical="top" wrapText="1"/>
    </xf>
    <xf numFmtId="1" fontId="18" fillId="0" borderId="40" xfId="0" applyNumberFormat="1" applyFont="1" applyBorder="1" applyAlignment="1">
      <alignment horizontal="justify" vertical="top" wrapText="1"/>
    </xf>
    <xf numFmtId="1" fontId="18" fillId="0" borderId="25" xfId="0" applyNumberFormat="1" applyFont="1" applyBorder="1" applyAlignment="1">
      <alignment horizontal="justify" vertical="top" wrapText="1"/>
    </xf>
    <xf numFmtId="1" fontId="18" fillId="0" borderId="64" xfId="0" applyNumberFormat="1" applyFont="1" applyBorder="1" applyAlignment="1">
      <alignment horizontal="justify" vertical="top" wrapText="1"/>
    </xf>
    <xf numFmtId="0" fontId="14" fillId="0" borderId="28" xfId="0" applyFont="1" applyBorder="1" applyAlignment="1">
      <alignment horizontal="justify" vertical="top" wrapText="1"/>
    </xf>
    <xf numFmtId="1" fontId="18" fillId="0" borderId="16" xfId="0" applyNumberFormat="1" applyFont="1" applyBorder="1" applyAlignment="1">
      <alignment horizontal="justify" vertical="top" wrapText="1"/>
    </xf>
    <xf numFmtId="1" fontId="18" fillId="0" borderId="21" xfId="0" applyNumberFormat="1" applyFont="1" applyBorder="1" applyAlignment="1">
      <alignment horizontal="justify" vertical="top" wrapText="1"/>
    </xf>
    <xf numFmtId="0" fontId="18" fillId="0" borderId="5" xfId="0" applyFont="1" applyBorder="1" applyAlignment="1">
      <alignment horizontal="justify" vertical="top" wrapText="1"/>
    </xf>
    <xf numFmtId="1" fontId="18" fillId="0" borderId="5" xfId="0" applyNumberFormat="1" applyFont="1" applyBorder="1" applyAlignment="1">
      <alignment horizontal="justify" vertical="top" wrapText="1"/>
    </xf>
    <xf numFmtId="1" fontId="18" fillId="0" borderId="0" xfId="0" applyNumberFormat="1" applyFont="1" applyAlignment="1">
      <alignment horizontal="justify" vertical="top" wrapText="1"/>
    </xf>
    <xf numFmtId="1" fontId="18" fillId="0" borderId="2" xfId="0" applyNumberFormat="1" applyFont="1" applyBorder="1" applyAlignment="1">
      <alignment horizontal="justify" vertical="top" wrapText="1"/>
    </xf>
    <xf numFmtId="1" fontId="18" fillId="0" borderId="28" xfId="0" applyNumberFormat="1" applyFont="1" applyBorder="1" applyAlignment="1">
      <alignment horizontal="justify" vertical="top" wrapText="1"/>
    </xf>
    <xf numFmtId="0" fontId="0" fillId="0" borderId="5" xfId="0" applyBorder="1" applyAlignment="1">
      <alignment horizontal="justify" vertical="top"/>
    </xf>
    <xf numFmtId="0" fontId="0" fillId="0" borderId="6" xfId="0" applyBorder="1" applyAlignment="1">
      <alignment horizontal="justify" vertical="top"/>
    </xf>
    <xf numFmtId="0" fontId="0" fillId="0" borderId="9" xfId="0" applyBorder="1" applyAlignment="1">
      <alignment horizontal="justify" vertical="top"/>
    </xf>
    <xf numFmtId="0" fontId="14" fillId="0" borderId="59" xfId="0" applyFont="1" applyBorder="1" applyAlignment="1">
      <alignment horizontal="justify" vertical="top" wrapText="1"/>
    </xf>
    <xf numFmtId="0" fontId="14" fillId="0" borderId="52" xfId="0" applyFont="1" applyBorder="1" applyAlignment="1">
      <alignment horizontal="justify" vertical="top" wrapText="1"/>
    </xf>
    <xf numFmtId="0" fontId="18" fillId="0" borderId="63" xfId="0" applyFont="1" applyBorder="1" applyAlignment="1">
      <alignment horizontal="justify" vertical="top" wrapText="1"/>
    </xf>
    <xf numFmtId="1" fontId="18" fillId="0" borderId="65" xfId="0" applyNumberFormat="1" applyFont="1" applyBorder="1" applyAlignment="1">
      <alignment horizontal="justify" vertical="top" wrapText="1"/>
    </xf>
    <xf numFmtId="0" fontId="18" fillId="0" borderId="15" xfId="0" applyFont="1" applyBorder="1" applyAlignment="1">
      <alignment horizontal="justify" vertical="top" wrapText="1"/>
    </xf>
    <xf numFmtId="1" fontId="18" fillId="0" borderId="38" xfId="0" applyNumberFormat="1" applyFont="1" applyBorder="1" applyAlignment="1">
      <alignment horizontal="justify" vertical="top" wrapText="1"/>
    </xf>
    <xf numFmtId="0" fontId="18" fillId="0" borderId="22" xfId="0" applyFont="1" applyBorder="1" applyAlignment="1">
      <alignment horizontal="justify" vertical="top" wrapText="1"/>
    </xf>
    <xf numFmtId="1" fontId="18" fillId="0" borderId="18" xfId="0" applyNumberFormat="1" applyFont="1" applyBorder="1" applyAlignment="1">
      <alignment horizontal="justify" vertical="top" wrapText="1"/>
    </xf>
    <xf numFmtId="1" fontId="18" fillId="0" borderId="0" xfId="0" applyNumberFormat="1" applyFont="1" applyAlignment="1">
      <alignment horizontal="justify" vertical="top"/>
    </xf>
    <xf numFmtId="1" fontId="18" fillId="0" borderId="35" xfId="0" applyNumberFormat="1" applyFont="1" applyBorder="1" applyAlignment="1">
      <alignment horizontal="justify" vertical="top"/>
    </xf>
    <xf numFmtId="1" fontId="18" fillId="0" borderId="36" xfId="0" applyNumberFormat="1" applyFont="1" applyBorder="1" applyAlignment="1">
      <alignment horizontal="justify" vertical="top"/>
    </xf>
    <xf numFmtId="0" fontId="14" fillId="0" borderId="0" xfId="0" applyFont="1" applyAlignment="1">
      <alignment horizontal="justify" vertical="top"/>
    </xf>
    <xf numFmtId="0" fontId="38" fillId="0" borderId="0" xfId="0" applyFont="1" applyAlignment="1">
      <alignment horizontal="justify" vertical="top"/>
    </xf>
    <xf numFmtId="0" fontId="5" fillId="0" borderId="0" xfId="0" applyFont="1" applyAlignment="1">
      <alignment horizontal="justify" vertical="top"/>
    </xf>
    <xf numFmtId="0" fontId="0" fillId="2" borderId="0" xfId="0" applyFill="1" applyAlignment="1">
      <alignment horizontal="center"/>
    </xf>
    <xf numFmtId="0" fontId="97" fillId="0" borderId="0" xfId="0" applyFont="1" applyAlignment="1">
      <alignment vertical="top" wrapText="1"/>
    </xf>
    <xf numFmtId="0" fontId="10" fillId="13" borderId="0" xfId="0" applyFont="1" applyFill="1" applyAlignment="1">
      <alignment horizontal="center" vertical="center" wrapText="1"/>
    </xf>
    <xf numFmtId="0" fontId="77" fillId="13" borderId="0" xfId="0" applyFont="1" applyFill="1" applyAlignment="1">
      <alignment vertical="top" wrapText="1"/>
    </xf>
    <xf numFmtId="20" fontId="62" fillId="2" borderId="66" xfId="0" applyNumberFormat="1" applyFont="1" applyFill="1" applyBorder="1" applyAlignment="1" applyProtection="1">
      <alignment horizontal="center" vertical="center" wrapText="1"/>
      <protection locked="0"/>
    </xf>
    <xf numFmtId="0" fontId="10" fillId="13" borderId="0" xfId="0" applyFont="1" applyFill="1" applyAlignment="1">
      <alignment horizontal="center" vertical="center"/>
    </xf>
    <xf numFmtId="0" fontId="5" fillId="0" borderId="9" xfId="0" applyFont="1" applyBorder="1" applyAlignment="1">
      <alignment horizontal="center" vertical="center" wrapText="1"/>
    </xf>
    <xf numFmtId="0" fontId="5" fillId="0" borderId="32" xfId="0" applyFont="1" applyBorder="1" applyAlignment="1">
      <alignment horizontal="center" vertical="center" wrapText="1"/>
    </xf>
    <xf numFmtId="0" fontId="5" fillId="0" borderId="31" xfId="0" applyFont="1" applyBorder="1" applyAlignment="1">
      <alignment horizontal="center" vertical="center" wrapText="1"/>
    </xf>
    <xf numFmtId="0" fontId="5" fillId="0" borderId="43" xfId="0" applyFont="1" applyBorder="1" applyAlignment="1">
      <alignment horizontal="center" vertical="center" wrapText="1"/>
    </xf>
    <xf numFmtId="0" fontId="4" fillId="0" borderId="30" xfId="0" applyFont="1" applyBorder="1" applyAlignment="1">
      <alignment horizontal="center" vertical="center" wrapText="1"/>
    </xf>
    <xf numFmtId="1" fontId="4" fillId="0" borderId="33" xfId="0" applyNumberFormat="1" applyFont="1" applyBorder="1" applyAlignment="1">
      <alignment horizontal="center" vertical="center" wrapText="1"/>
    </xf>
    <xf numFmtId="1" fontId="4" fillId="0" borderId="60" xfId="0" applyNumberFormat="1" applyFont="1" applyBorder="1" applyAlignment="1">
      <alignment horizontal="center" vertical="center"/>
    </xf>
    <xf numFmtId="1" fontId="4" fillId="0" borderId="39" xfId="0" applyNumberFormat="1" applyFont="1" applyBorder="1" applyAlignment="1">
      <alignment horizontal="center" vertical="center"/>
    </xf>
    <xf numFmtId="0" fontId="4" fillId="0" borderId="51" xfId="0" applyFont="1" applyBorder="1" applyAlignment="1">
      <alignment horizontal="center" vertical="center" wrapText="1"/>
    </xf>
    <xf numFmtId="1" fontId="4" fillId="0" borderId="52" xfId="0" applyNumberFormat="1" applyFont="1" applyBorder="1" applyAlignment="1">
      <alignment horizontal="center" vertical="center" wrapText="1"/>
    </xf>
    <xf numFmtId="1" fontId="4" fillId="0" borderId="41" xfId="0" applyNumberFormat="1" applyFont="1" applyBorder="1" applyAlignment="1">
      <alignment horizontal="center" vertical="center"/>
    </xf>
    <xf numFmtId="1" fontId="4" fillId="0" borderId="62" xfId="0" applyNumberFormat="1" applyFont="1" applyBorder="1" applyAlignment="1">
      <alignment horizontal="center" vertical="center" wrapText="1"/>
    </xf>
    <xf numFmtId="1" fontId="4" fillId="0" borderId="40" xfId="0" applyNumberFormat="1" applyFont="1" applyBorder="1" applyAlignment="1">
      <alignment horizontal="center" vertical="center" wrapText="1"/>
    </xf>
    <xf numFmtId="1" fontId="4" fillId="0" borderId="25" xfId="0" applyNumberFormat="1" applyFont="1" applyBorder="1" applyAlignment="1">
      <alignment horizontal="center" vertical="center" wrapText="1"/>
    </xf>
    <xf numFmtId="1" fontId="4" fillId="0" borderId="64" xfId="0" applyNumberFormat="1" applyFont="1" applyBorder="1" applyAlignment="1">
      <alignment horizontal="center" vertical="center" wrapText="1"/>
    </xf>
    <xf numFmtId="0" fontId="4" fillId="0" borderId="37" xfId="0" applyFont="1" applyBorder="1" applyAlignment="1">
      <alignment horizontal="center" vertical="center" wrapText="1"/>
    </xf>
    <xf numFmtId="0" fontId="4" fillId="0" borderId="36" xfId="0" applyFont="1" applyBorder="1" applyAlignment="1">
      <alignment horizontal="center" vertical="center" wrapText="1"/>
    </xf>
    <xf numFmtId="1" fontId="4" fillId="0" borderId="16" xfId="0" applyNumberFormat="1" applyFont="1" applyBorder="1" applyAlignment="1">
      <alignment horizontal="center" vertical="center" wrapText="1"/>
    </xf>
    <xf numFmtId="0" fontId="4" fillId="0" borderId="67" xfId="0" applyFont="1" applyBorder="1" applyAlignment="1">
      <alignment horizontal="center" vertical="center" wrapText="1"/>
    </xf>
    <xf numFmtId="0" fontId="4" fillId="0" borderId="35" xfId="0" applyFont="1" applyBorder="1" applyAlignment="1">
      <alignment horizontal="center" vertical="center" wrapText="1"/>
    </xf>
    <xf numFmtId="1" fontId="4" fillId="0" borderId="68" xfId="0" applyNumberFormat="1" applyFont="1" applyBorder="1" applyAlignment="1">
      <alignment horizontal="center" vertical="center" wrapText="1"/>
    </xf>
    <xf numFmtId="1" fontId="4" fillId="0" borderId="69" xfId="0" applyNumberFormat="1" applyFont="1" applyBorder="1" applyAlignment="1">
      <alignment horizontal="center" vertical="center" wrapText="1"/>
    </xf>
    <xf numFmtId="1" fontId="4" fillId="0" borderId="39" xfId="0" applyNumberFormat="1" applyFont="1" applyBorder="1" applyAlignment="1">
      <alignment horizontal="center" vertical="center" wrapText="1"/>
    </xf>
    <xf numFmtId="1" fontId="4" fillId="0" borderId="29" xfId="0" applyNumberFormat="1" applyFont="1" applyBorder="1" applyAlignment="1">
      <alignment horizontal="center" vertical="center" wrapText="1"/>
    </xf>
    <xf numFmtId="1" fontId="4" fillId="0" borderId="1" xfId="0" applyNumberFormat="1" applyFont="1" applyBorder="1" applyAlignment="1">
      <alignment horizontal="center" vertical="center" wrapText="1"/>
    </xf>
    <xf numFmtId="1" fontId="4" fillId="0" borderId="2" xfId="0" applyNumberFormat="1" applyFont="1" applyBorder="1" applyAlignment="1">
      <alignment horizontal="center" vertical="center" wrapText="1"/>
    </xf>
    <xf numFmtId="1" fontId="4" fillId="0" borderId="28" xfId="0" applyNumberFormat="1" applyFont="1" applyBorder="1" applyAlignment="1">
      <alignment horizontal="center" vertical="center" wrapText="1"/>
    </xf>
    <xf numFmtId="0" fontId="5" fillId="0" borderId="6" xfId="0" applyFont="1" applyBorder="1" applyAlignment="1">
      <alignment horizontal="center" vertical="center" wrapText="1"/>
    </xf>
    <xf numFmtId="1" fontId="4" fillId="0" borderId="60" xfId="0" applyNumberFormat="1" applyFont="1" applyBorder="1" applyAlignment="1">
      <alignment horizontal="center" vertical="center" wrapText="1"/>
    </xf>
    <xf numFmtId="1" fontId="41" fillId="2" borderId="1" xfId="0" applyNumberFormat="1" applyFont="1" applyFill="1" applyBorder="1" applyAlignment="1" applyProtection="1">
      <alignment horizontal="center" vertical="center"/>
      <protection locked="0"/>
    </xf>
    <xf numFmtId="1" fontId="40" fillId="5" borderId="1" xfId="0" applyNumberFormat="1" applyFont="1" applyFill="1" applyBorder="1" applyAlignment="1">
      <alignment horizontal="center"/>
    </xf>
    <xf numFmtId="1" fontId="56" fillId="5" borderId="1" xfId="0" applyNumberFormat="1" applyFont="1" applyFill="1" applyBorder="1" applyAlignment="1">
      <alignment horizontal="center" vertical="center" wrapText="1"/>
    </xf>
    <xf numFmtId="1" fontId="40" fillId="5" borderId="19" xfId="0" applyNumberFormat="1" applyFont="1" applyFill="1" applyBorder="1" applyAlignment="1">
      <alignment horizontal="center" vertical="center"/>
    </xf>
    <xf numFmtId="1" fontId="4" fillId="0" borderId="0" xfId="0" applyNumberFormat="1" applyFont="1"/>
    <xf numFmtId="1" fontId="4" fillId="0" borderId="0" xfId="0" quotePrefix="1" applyNumberFormat="1" applyFont="1"/>
    <xf numFmtId="0" fontId="98" fillId="0" borderId="0" xfId="0" applyFont="1" applyAlignment="1">
      <alignment horizontal="left" vertical="top" wrapText="1"/>
    </xf>
    <xf numFmtId="166" fontId="18" fillId="0" borderId="0" xfId="0" applyNumberFormat="1" applyFont="1" applyAlignment="1">
      <alignment horizontal="left"/>
    </xf>
    <xf numFmtId="0" fontId="14" fillId="0" borderId="0" xfId="0" applyFont="1" applyAlignment="1">
      <alignment horizontal="justify"/>
    </xf>
    <xf numFmtId="0" fontId="4" fillId="0" borderId="0" xfId="0" applyFont="1" applyAlignment="1">
      <alignment horizontal="left" vertical="center"/>
    </xf>
    <xf numFmtId="0" fontId="4" fillId="0" borderId="0" xfId="0" applyFont="1" applyAlignment="1">
      <alignment horizontal="right" vertical="center" wrapText="1"/>
    </xf>
    <xf numFmtId="0" fontId="80" fillId="0" borderId="0" xfId="0" applyFont="1" applyAlignment="1">
      <alignment horizontal="left" vertical="center" wrapText="1"/>
    </xf>
    <xf numFmtId="0" fontId="5" fillId="0" borderId="0" xfId="0" applyFont="1" applyAlignment="1">
      <alignment horizontal="left" vertical="center" wrapText="1"/>
    </xf>
    <xf numFmtId="0" fontId="80" fillId="0" borderId="0" xfId="0" applyFont="1" applyAlignment="1">
      <alignment horizontal="left" vertical="center"/>
    </xf>
    <xf numFmtId="0" fontId="14" fillId="0" borderId="3" xfId="0" applyFont="1" applyBorder="1" applyAlignment="1">
      <alignment vertical="top"/>
    </xf>
    <xf numFmtId="173" fontId="0" fillId="2" borderId="0" xfId="0" applyNumberFormat="1" applyFill="1"/>
    <xf numFmtId="0" fontId="99" fillId="0" borderId="0" xfId="0" applyFont="1" applyAlignment="1">
      <alignment vertical="top" wrapText="1"/>
    </xf>
    <xf numFmtId="0" fontId="18" fillId="0" borderId="0" xfId="0" applyFont="1" applyAlignment="1">
      <alignment horizontal="right" vertical="top" wrapText="1"/>
    </xf>
    <xf numFmtId="0" fontId="83" fillId="0" borderId="0" xfId="0" applyFont="1" applyAlignment="1">
      <alignment horizontal="left" vertical="top" wrapText="1"/>
    </xf>
    <xf numFmtId="0" fontId="4" fillId="2" borderId="3" xfId="0" applyFont="1" applyFill="1" applyBorder="1" applyAlignment="1">
      <alignment horizontal="center" vertical="top" wrapText="1"/>
    </xf>
    <xf numFmtId="0" fontId="4" fillId="2" borderId="29" xfId="0" applyFont="1" applyFill="1" applyBorder="1" applyAlignment="1">
      <alignment horizontal="center" vertical="top" wrapText="1"/>
    </xf>
    <xf numFmtId="0" fontId="83" fillId="0" borderId="0" xfId="0" applyFont="1" applyAlignment="1">
      <alignment vertical="top" wrapText="1"/>
    </xf>
    <xf numFmtId="0" fontId="100" fillId="0" borderId="0" xfId="0" applyFont="1" applyAlignment="1">
      <alignment horizontal="right" vertical="top" wrapText="1"/>
    </xf>
    <xf numFmtId="0" fontId="5" fillId="16" borderId="0" xfId="0" applyFont="1" applyFill="1" applyAlignment="1">
      <alignment vertical="top" wrapText="1"/>
    </xf>
    <xf numFmtId="0" fontId="5" fillId="17" borderId="1" xfId="0" applyFont="1" applyFill="1" applyBorder="1" applyAlignment="1">
      <alignment horizontal="center" wrapText="1"/>
    </xf>
    <xf numFmtId="0" fontId="106" fillId="0" borderId="0" xfId="0" applyFont="1" applyAlignment="1">
      <alignment vertical="center"/>
    </xf>
    <xf numFmtId="0" fontId="107" fillId="8" borderId="61" xfId="0" applyFont="1" applyFill="1" applyBorder="1" applyAlignment="1">
      <alignment vertical="center"/>
    </xf>
    <xf numFmtId="0" fontId="107" fillId="14" borderId="35" xfId="0" applyFont="1" applyFill="1" applyBorder="1" applyAlignment="1">
      <alignment horizontal="center" vertical="center"/>
    </xf>
    <xf numFmtId="0" fontId="107" fillId="8" borderId="15" xfId="0" applyFont="1" applyFill="1" applyBorder="1" applyAlignment="1">
      <alignment vertical="center"/>
    </xf>
    <xf numFmtId="0" fontId="107" fillId="14" borderId="37" xfId="0" applyFont="1" applyFill="1" applyBorder="1" applyAlignment="1">
      <alignment horizontal="center" vertical="center"/>
    </xf>
    <xf numFmtId="0" fontId="107" fillId="8" borderId="70" xfId="0" applyFont="1" applyFill="1" applyBorder="1" applyAlignment="1">
      <alignment vertical="center"/>
    </xf>
    <xf numFmtId="0" fontId="107" fillId="14" borderId="71" xfId="0" applyFont="1" applyFill="1" applyBorder="1" applyAlignment="1">
      <alignment horizontal="center" vertical="center"/>
    </xf>
    <xf numFmtId="0" fontId="107" fillId="8" borderId="24" xfId="0" applyFont="1" applyFill="1" applyBorder="1" applyAlignment="1">
      <alignment vertical="center" wrapText="1"/>
    </xf>
    <xf numFmtId="0" fontId="107" fillId="14" borderId="36" xfId="0" applyFont="1" applyFill="1" applyBorder="1" applyAlignment="1">
      <alignment horizontal="center" vertical="center"/>
    </xf>
    <xf numFmtId="0" fontId="18" fillId="0" borderId="0" xfId="0" applyFont="1" applyAlignment="1">
      <alignment horizontal="left" vertical="top"/>
    </xf>
    <xf numFmtId="1" fontId="18" fillId="7" borderId="30" xfId="0" applyNumberFormat="1" applyFont="1" applyFill="1" applyBorder="1" applyAlignment="1">
      <alignment horizontal="center" vertical="center" wrapText="1"/>
    </xf>
    <xf numFmtId="1" fontId="18" fillId="7" borderId="37" xfId="0" applyNumberFormat="1" applyFont="1" applyFill="1" applyBorder="1" applyAlignment="1">
      <alignment horizontal="center" vertical="center" wrapText="1"/>
    </xf>
    <xf numFmtId="1" fontId="18" fillId="7" borderId="36" xfId="0" applyNumberFormat="1" applyFont="1" applyFill="1" applyBorder="1" applyAlignment="1">
      <alignment horizontal="center" vertical="center" wrapText="1"/>
    </xf>
    <xf numFmtId="165" fontId="43" fillId="2" borderId="35" xfId="0" applyNumberFormat="1" applyFont="1" applyFill="1" applyBorder="1" applyAlignment="1" applyProtection="1">
      <alignment horizontal="center"/>
      <protection locked="0"/>
    </xf>
    <xf numFmtId="165" fontId="43" fillId="2" borderId="36" xfId="0" applyNumberFormat="1" applyFont="1" applyFill="1" applyBorder="1" applyAlignment="1" applyProtection="1">
      <alignment horizontal="center"/>
      <protection locked="0"/>
    </xf>
    <xf numFmtId="1" fontId="10" fillId="10" borderId="72" xfId="0" applyNumberFormat="1" applyFont="1" applyFill="1" applyBorder="1" applyAlignment="1">
      <alignment horizontal="center" vertical="center"/>
    </xf>
    <xf numFmtId="1" fontId="10" fillId="2" borderId="10" xfId="0" applyNumberFormat="1" applyFont="1" applyFill="1" applyBorder="1" applyAlignment="1" applyProtection="1">
      <alignment horizontal="center" vertical="center"/>
      <protection locked="0"/>
    </xf>
    <xf numFmtId="1" fontId="10" fillId="2" borderId="72" xfId="0" applyNumberFormat="1" applyFont="1" applyFill="1" applyBorder="1" applyAlignment="1" applyProtection="1">
      <alignment horizontal="center" vertical="center"/>
      <protection locked="0"/>
    </xf>
    <xf numFmtId="1" fontId="10" fillId="11" borderId="11" xfId="0" applyNumberFormat="1" applyFont="1" applyFill="1" applyBorder="1" applyAlignment="1">
      <alignment horizontal="center" vertical="center"/>
    </xf>
    <xf numFmtId="1" fontId="10" fillId="10" borderId="11" xfId="0" applyNumberFormat="1" applyFont="1" applyFill="1" applyBorder="1" applyAlignment="1">
      <alignment horizontal="center" vertical="center"/>
    </xf>
    <xf numFmtId="1" fontId="4" fillId="0" borderId="30" xfId="0" applyNumberFormat="1" applyFont="1" applyBorder="1" applyAlignment="1">
      <alignment horizontal="center" vertical="center" wrapText="1"/>
    </xf>
    <xf numFmtId="0" fontId="10" fillId="13" borderId="0" xfId="0" applyFont="1" applyFill="1" applyAlignment="1" applyProtection="1">
      <alignment horizontal="left" vertical="center" wrapText="1" indent="1"/>
      <protection locked="0"/>
    </xf>
    <xf numFmtId="0" fontId="10" fillId="13" borderId="0" xfId="0" applyFont="1" applyFill="1" applyAlignment="1" applyProtection="1">
      <alignment vertical="center" wrapText="1"/>
      <protection locked="0"/>
    </xf>
    <xf numFmtId="0" fontId="0" fillId="8" borderId="71" xfId="0" applyFill="1" applyBorder="1"/>
    <xf numFmtId="1" fontId="72" fillId="0" borderId="0" xfId="0" applyNumberFormat="1" applyFont="1" applyAlignment="1">
      <alignment vertical="center" wrapText="1"/>
    </xf>
    <xf numFmtId="0" fontId="43" fillId="2" borderId="57" xfId="0" applyFont="1" applyFill="1" applyBorder="1" applyAlignment="1" applyProtection="1">
      <alignment horizontal="center" vertical="center"/>
      <protection locked="0"/>
    </xf>
    <xf numFmtId="1" fontId="40" fillId="2" borderId="48" xfId="0" applyNumberFormat="1" applyFont="1" applyFill="1" applyBorder="1" applyAlignment="1" applyProtection="1">
      <alignment horizontal="center" vertical="center"/>
      <protection locked="0"/>
    </xf>
    <xf numFmtId="1" fontId="56" fillId="2" borderId="46" xfId="0" applyNumberFormat="1" applyFont="1" applyFill="1" applyBorder="1" applyAlignment="1">
      <alignment horizontal="center" vertical="center"/>
    </xf>
    <xf numFmtId="0" fontId="4" fillId="13" borderId="0" xfId="0" applyFont="1" applyFill="1" applyAlignment="1">
      <alignment horizontal="center" vertical="center" wrapText="1"/>
    </xf>
    <xf numFmtId="20" fontId="108" fillId="0" borderId="66" xfId="0" applyNumberFormat="1" applyFont="1" applyBorder="1" applyAlignment="1" applyProtection="1">
      <alignment horizontal="center" vertical="center" wrapText="1"/>
      <protection locked="0"/>
    </xf>
    <xf numFmtId="0" fontId="108" fillId="0" borderId="9" xfId="0" applyFont="1" applyBorder="1" applyAlignment="1" applyProtection="1">
      <alignment horizontal="center" vertical="center"/>
      <protection locked="0"/>
    </xf>
    <xf numFmtId="0" fontId="7" fillId="0" borderId="1" xfId="0" applyFont="1" applyBorder="1" applyAlignment="1">
      <alignment horizontal="center" vertical="center" wrapText="1"/>
    </xf>
    <xf numFmtId="0" fontId="7" fillId="0" borderId="1" xfId="0" applyFont="1" applyBorder="1" applyAlignment="1">
      <alignment horizontal="center" vertical="center"/>
    </xf>
    <xf numFmtId="0" fontId="0" fillId="0" borderId="0" xfId="0" applyAlignment="1">
      <alignment wrapText="1"/>
    </xf>
    <xf numFmtId="0" fontId="0" fillId="0" borderId="0" xfId="0" applyAlignment="1">
      <alignment horizontal="right"/>
    </xf>
    <xf numFmtId="0" fontId="109" fillId="0" borderId="0" xfId="0" applyFont="1"/>
    <xf numFmtId="0" fontId="28" fillId="0" borderId="0" xfId="0" applyFont="1" applyAlignment="1">
      <alignment horizontal="right" vertical="top" wrapText="1"/>
    </xf>
    <xf numFmtId="14" fontId="4" fillId="0" borderId="0" xfId="0" applyNumberFormat="1" applyFont="1" applyAlignment="1">
      <alignment vertical="top" wrapText="1"/>
    </xf>
    <xf numFmtId="0" fontId="105" fillId="0" borderId="1" xfId="0" applyFont="1" applyBorder="1" applyAlignment="1">
      <alignment horizontal="center" wrapText="1" shrinkToFit="1"/>
    </xf>
    <xf numFmtId="0" fontId="105" fillId="0" borderId="1" xfId="0" applyFont="1" applyBorder="1" applyAlignment="1">
      <alignment vertical="top" wrapText="1" shrinkToFit="1"/>
    </xf>
    <xf numFmtId="14" fontId="18" fillId="0" borderId="1" xfId="0" applyNumberFormat="1" applyFont="1" applyBorder="1" applyAlignment="1">
      <alignment vertical="center" wrapText="1" shrinkToFit="1"/>
    </xf>
    <xf numFmtId="0" fontId="112" fillId="0" borderId="1" xfId="0" applyFont="1" applyBorder="1" applyAlignment="1">
      <alignment vertical="center" wrapText="1" shrinkToFit="1"/>
    </xf>
    <xf numFmtId="0" fontId="18" fillId="0" borderId="1" xfId="0" applyFont="1" applyBorder="1" applyAlignment="1">
      <alignment vertical="center" wrapText="1" shrinkToFit="1"/>
    </xf>
    <xf numFmtId="14" fontId="112" fillId="0" borderId="1" xfId="0" applyNumberFormat="1" applyFont="1" applyBorder="1" applyAlignment="1">
      <alignment vertical="center" wrapText="1" shrinkToFit="1"/>
    </xf>
    <xf numFmtId="49" fontId="110" fillId="0" borderId="1" xfId="0" applyNumberFormat="1" applyFont="1" applyBorder="1" applyAlignment="1">
      <alignment horizontal="center"/>
    </xf>
    <xf numFmtId="0" fontId="0" fillId="0" borderId="77" xfId="0" applyBorder="1" applyAlignment="1">
      <alignment vertical="top" wrapText="1"/>
    </xf>
    <xf numFmtId="0" fontId="0" fillId="0" borderId="29" xfId="0" applyBorder="1" applyAlignment="1">
      <alignment vertical="top" wrapText="1"/>
    </xf>
    <xf numFmtId="0" fontId="5" fillId="0" borderId="0" xfId="0" applyFont="1" applyAlignment="1" applyProtection="1">
      <alignment horizontal="center" vertical="top" wrapText="1"/>
      <protection locked="0"/>
    </xf>
    <xf numFmtId="0" fontId="28" fillId="19" borderId="0" xfId="0" applyFont="1" applyFill="1" applyAlignment="1">
      <alignment vertical="top" wrapText="1"/>
    </xf>
    <xf numFmtId="0" fontId="28" fillId="19" borderId="1" xfId="0" applyFont="1" applyFill="1" applyBorder="1" applyAlignment="1">
      <alignment horizontal="right" vertical="top" wrapText="1"/>
    </xf>
    <xf numFmtId="14" fontId="28" fillId="19" borderId="1" xfId="0" applyNumberFormat="1" applyFont="1" applyFill="1" applyBorder="1" applyAlignment="1">
      <alignment vertical="top" wrapText="1"/>
    </xf>
    <xf numFmtId="0" fontId="37" fillId="19" borderId="0" xfId="0" applyFont="1" applyFill="1" applyAlignment="1">
      <alignment vertical="top" wrapText="1"/>
    </xf>
    <xf numFmtId="14" fontId="37" fillId="19" borderId="0" xfId="0" applyNumberFormat="1" applyFont="1" applyFill="1" applyAlignment="1">
      <alignment vertical="top" wrapText="1"/>
    </xf>
    <xf numFmtId="0" fontId="4" fillId="19" borderId="1" xfId="0" applyFont="1" applyFill="1" applyBorder="1" applyAlignment="1">
      <alignment horizontal="right" vertical="top" wrapText="1"/>
    </xf>
    <xf numFmtId="14" fontId="4" fillId="19" borderId="1" xfId="0" applyNumberFormat="1" applyFont="1" applyFill="1" applyBorder="1" applyAlignment="1">
      <alignment vertical="top" wrapText="1"/>
    </xf>
    <xf numFmtId="0" fontId="18" fillId="19" borderId="0" xfId="0" applyFont="1" applyFill="1" applyAlignment="1">
      <alignment horizontal="right" vertical="top" wrapText="1"/>
    </xf>
    <xf numFmtId="0" fontId="38" fillId="19" borderId="9" xfId="0" applyFont="1" applyFill="1" applyBorder="1" applyAlignment="1" applyProtection="1">
      <alignment horizontal="left" vertical="top" wrapText="1"/>
      <protection locked="0"/>
    </xf>
    <xf numFmtId="0" fontId="18" fillId="19" borderId="4" xfId="0" applyFont="1" applyFill="1" applyBorder="1" applyAlignment="1" applyProtection="1">
      <alignment horizontal="right" vertical="top" wrapText="1"/>
      <protection locked="0"/>
    </xf>
    <xf numFmtId="0" fontId="4" fillId="19" borderId="0" xfId="0" applyFont="1" applyFill="1" applyAlignment="1">
      <alignment horizontal="left" wrapText="1"/>
    </xf>
    <xf numFmtId="49" fontId="5" fillId="19" borderId="3" xfId="0" applyNumberFormat="1" applyFont="1" applyFill="1" applyBorder="1" applyAlignment="1" applyProtection="1">
      <alignment horizontal="left" wrapText="1" shrinkToFit="1"/>
      <protection locked="0"/>
    </xf>
    <xf numFmtId="0" fontId="0" fillId="19" borderId="49" xfId="0" applyFill="1" applyBorder="1" applyAlignment="1">
      <alignment vertical="top" wrapText="1"/>
    </xf>
    <xf numFmtId="0" fontId="0" fillId="19" borderId="77" xfId="0" applyFill="1" applyBorder="1" applyAlignment="1">
      <alignment vertical="top" wrapText="1"/>
    </xf>
    <xf numFmtId="0" fontId="4" fillId="19" borderId="77" xfId="0" applyFont="1" applyFill="1" applyBorder="1" applyAlignment="1">
      <alignment vertical="top" wrapText="1"/>
    </xf>
    <xf numFmtId="0" fontId="90" fillId="0" borderId="0" xfId="0" applyFont="1"/>
    <xf numFmtId="165" fontId="11" fillId="7" borderId="29" xfId="0" applyNumberFormat="1" applyFont="1" applyFill="1" applyBorder="1" applyAlignment="1">
      <alignment horizontal="center"/>
    </xf>
    <xf numFmtId="165" fontId="11" fillId="7" borderId="2" xfId="0" applyNumberFormat="1" applyFont="1" applyFill="1" applyBorder="1" applyAlignment="1">
      <alignment horizontal="center"/>
    </xf>
    <xf numFmtId="165" fontId="10" fillId="2" borderId="11" xfId="0" applyNumberFormat="1" applyFont="1" applyFill="1" applyBorder="1" applyAlignment="1">
      <alignment horizontal="center" vertical="center"/>
    </xf>
    <xf numFmtId="1" fontId="40" fillId="2" borderId="65" xfId="0" applyNumberFormat="1" applyFont="1" applyFill="1" applyBorder="1" applyAlignment="1" applyProtection="1">
      <alignment horizontal="center" vertical="center"/>
      <protection locked="0"/>
    </xf>
    <xf numFmtId="1" fontId="56" fillId="2" borderId="65" xfId="0" applyNumberFormat="1" applyFont="1" applyFill="1" applyBorder="1" applyAlignment="1" applyProtection="1">
      <alignment horizontal="center" vertical="center"/>
      <protection locked="0"/>
    </xf>
    <xf numFmtId="0" fontId="0" fillId="0" borderId="3" xfId="0" applyBorder="1" applyProtection="1">
      <protection locked="0"/>
    </xf>
    <xf numFmtId="0" fontId="5" fillId="2" borderId="3" xfId="0" applyFont="1" applyFill="1" applyBorder="1" applyAlignment="1" applyProtection="1">
      <alignment wrapText="1"/>
      <protection locked="0"/>
    </xf>
    <xf numFmtId="0" fontId="5" fillId="19" borderId="3" xfId="0" applyFont="1" applyFill="1" applyBorder="1" applyAlignment="1" applyProtection="1">
      <alignment wrapText="1"/>
      <protection locked="0"/>
    </xf>
    <xf numFmtId="0" fontId="114" fillId="20" borderId="1" xfId="5" applyFont="1" applyFill="1" applyBorder="1" applyAlignment="1">
      <alignment horizontal="center" vertical="center"/>
    </xf>
    <xf numFmtId="0" fontId="2" fillId="0" borderId="0" xfId="5"/>
    <xf numFmtId="0" fontId="114" fillId="20" borderId="1" xfId="5" applyFont="1" applyFill="1" applyBorder="1" applyAlignment="1">
      <alignment horizontal="left" vertical="center" wrapText="1"/>
    </xf>
    <xf numFmtId="0" fontId="2" fillId="0" borderId="1" xfId="5" applyBorder="1" applyAlignment="1">
      <alignment horizontal="left" vertical="top" wrapText="1"/>
    </xf>
    <xf numFmtId="0" fontId="1" fillId="0" borderId="1" xfId="5" applyFont="1" applyBorder="1" applyAlignment="1">
      <alignment horizontal="left" vertical="top" wrapText="1"/>
    </xf>
    <xf numFmtId="14" fontId="2" fillId="0" borderId="1" xfId="5" applyNumberFormat="1" applyBorder="1" applyAlignment="1">
      <alignment horizontal="left" vertical="top" wrapText="1"/>
    </xf>
    <xf numFmtId="0" fontId="5" fillId="2" borderId="3" xfId="0" applyFont="1" applyFill="1" applyBorder="1" applyAlignment="1" applyProtection="1">
      <alignment horizontal="left" vertical="top" wrapText="1"/>
      <protection locked="0"/>
    </xf>
    <xf numFmtId="0" fontId="8" fillId="0" borderId="0" xfId="1">
      <alignment vertical="top"/>
      <protection locked="0"/>
    </xf>
    <xf numFmtId="14" fontId="115" fillId="19" borderId="0" xfId="0" applyNumberFormat="1" applyFont="1" applyFill="1" applyAlignment="1">
      <alignment vertical="top" wrapText="1"/>
    </xf>
    <xf numFmtId="1" fontId="116" fillId="2" borderId="0" xfId="0" applyNumberFormat="1" applyFont="1" applyFill="1" applyAlignment="1">
      <alignment horizontal="center" vertical="top" wrapText="1"/>
    </xf>
    <xf numFmtId="0" fontId="0" fillId="0" borderId="0" xfId="0" applyAlignment="1">
      <alignment horizontal="center" vertical="top" wrapText="1"/>
    </xf>
    <xf numFmtId="0" fontId="0" fillId="0" borderId="0" xfId="0" applyAlignment="1">
      <alignment vertical="top" wrapText="1"/>
    </xf>
    <xf numFmtId="0" fontId="66" fillId="0" borderId="4" xfId="0" applyFont="1" applyBorder="1" applyAlignment="1">
      <alignment vertical="top" wrapText="1"/>
    </xf>
    <xf numFmtId="0" fontId="0" fillId="0" borderId="4" xfId="0" applyBorder="1"/>
    <xf numFmtId="0" fontId="41" fillId="2" borderId="20" xfId="0" applyFont="1" applyFill="1" applyBorder="1" applyAlignment="1" applyProtection="1">
      <alignment horizontal="left" vertical="center" wrapText="1"/>
      <protection locked="0"/>
    </xf>
    <xf numFmtId="0" fontId="0" fillId="0" borderId="20" xfId="0" applyBorder="1" applyProtection="1">
      <protection locked="0"/>
    </xf>
    <xf numFmtId="0" fontId="51" fillId="0" borderId="0" xfId="0" applyFont="1" applyAlignment="1">
      <alignment horizontal="center" vertical="top" wrapText="1"/>
    </xf>
    <xf numFmtId="0" fontId="38" fillId="0" borderId="0" xfId="0" applyFont="1" applyAlignment="1">
      <alignment vertical="top" wrapText="1"/>
    </xf>
    <xf numFmtId="0" fontId="7" fillId="0" borderId="38" xfId="0" applyFont="1" applyBorder="1" applyAlignment="1">
      <alignment vertical="top" wrapText="1"/>
    </xf>
    <xf numFmtId="0" fontId="0" fillId="0" borderId="20" xfId="0" applyBorder="1"/>
    <xf numFmtId="0" fontId="0" fillId="0" borderId="16" xfId="0" applyBorder="1"/>
    <xf numFmtId="0" fontId="4" fillId="0" borderId="50" xfId="0" applyFont="1" applyBorder="1" applyAlignment="1" applyProtection="1">
      <alignment vertical="top" wrapText="1"/>
      <protection locked="0"/>
    </xf>
    <xf numFmtId="0" fontId="0" fillId="0" borderId="23" xfId="0" applyBorder="1" applyProtection="1">
      <protection locked="0"/>
    </xf>
    <xf numFmtId="0" fontId="0" fillId="0" borderId="52" xfId="0" applyBorder="1" applyProtection="1">
      <protection locked="0"/>
    </xf>
    <xf numFmtId="0" fontId="7" fillId="0" borderId="38" xfId="0" applyFont="1" applyBorder="1" applyAlignment="1">
      <alignment horizontal="left" vertical="top" wrapText="1"/>
    </xf>
    <xf numFmtId="0" fontId="4" fillId="2" borderId="3" xfId="0" applyFont="1" applyFill="1" applyBorder="1" applyAlignment="1" applyProtection="1">
      <alignment horizontal="left" vertical="top" wrapText="1"/>
      <protection locked="0"/>
    </xf>
    <xf numFmtId="0" fontId="0" fillId="0" borderId="3" xfId="0" applyBorder="1" applyProtection="1">
      <protection locked="0"/>
    </xf>
    <xf numFmtId="0" fontId="4" fillId="0" borderId="0" xfId="0" applyFont="1" applyAlignment="1">
      <alignment horizontal="left" vertical="top" wrapText="1"/>
    </xf>
    <xf numFmtId="0" fontId="4" fillId="0" borderId="48" xfId="0" applyFont="1" applyBorder="1" applyAlignment="1">
      <alignment vertical="top" wrapText="1"/>
    </xf>
    <xf numFmtId="0" fontId="0" fillId="0" borderId="56" xfId="0" applyBorder="1"/>
    <xf numFmtId="0" fontId="0" fillId="0" borderId="68" xfId="0" applyBorder="1"/>
    <xf numFmtId="0" fontId="5" fillId="0" borderId="0" xfId="0" applyFont="1" applyAlignment="1" applyProtection="1">
      <alignment horizontal="left" vertical="top" wrapText="1"/>
      <protection locked="0"/>
    </xf>
    <xf numFmtId="0" fontId="0" fillId="0" borderId="0" xfId="0" applyProtection="1">
      <protection locked="0"/>
    </xf>
    <xf numFmtId="0" fontId="40" fillId="2" borderId="41" xfId="0" applyFont="1" applyFill="1" applyBorder="1" applyAlignment="1" applyProtection="1">
      <alignment horizontal="center" vertical="top" wrapText="1"/>
      <protection locked="0"/>
    </xf>
    <xf numFmtId="0" fontId="0" fillId="0" borderId="64" xfId="0" applyBorder="1" applyProtection="1">
      <protection locked="0"/>
    </xf>
    <xf numFmtId="0" fontId="116" fillId="2" borderId="20" xfId="0" applyFont="1" applyFill="1" applyBorder="1" applyAlignment="1" applyProtection="1">
      <alignment horizontal="left" vertical="top" wrapText="1"/>
      <protection locked="0"/>
    </xf>
    <xf numFmtId="0" fontId="109" fillId="0" borderId="20" xfId="0" applyFont="1" applyBorder="1" applyProtection="1">
      <protection locked="0"/>
    </xf>
    <xf numFmtId="0" fontId="4" fillId="0" borderId="0" xfId="0" applyFont="1" applyAlignment="1">
      <alignment horizontal="center" vertical="top" wrapText="1"/>
    </xf>
    <xf numFmtId="0" fontId="4" fillId="2" borderId="46" xfId="0" applyFont="1" applyFill="1" applyBorder="1" applyAlignment="1" applyProtection="1">
      <alignment horizontal="center" vertical="top" wrapText="1"/>
      <protection locked="0"/>
    </xf>
    <xf numFmtId="0" fontId="0" fillId="0" borderId="69" xfId="0" applyBorder="1" applyProtection="1">
      <protection locked="0"/>
    </xf>
    <xf numFmtId="0" fontId="4" fillId="0" borderId="0" xfId="0" applyFont="1" applyAlignment="1">
      <alignment horizontal="left" vertical="center" wrapText="1"/>
    </xf>
    <xf numFmtId="0" fontId="7" fillId="0" borderId="0" xfId="0" applyFont="1" applyAlignment="1">
      <alignment vertical="top" wrapText="1"/>
    </xf>
    <xf numFmtId="0" fontId="5" fillId="2" borderId="3" xfId="0" applyFont="1" applyFill="1" applyBorder="1" applyAlignment="1" applyProtection="1">
      <alignment horizontal="left" wrapText="1"/>
      <protection locked="0"/>
    </xf>
    <xf numFmtId="0" fontId="4" fillId="18" borderId="20" xfId="0" applyFont="1" applyFill="1" applyBorder="1" applyAlignment="1">
      <alignment horizontal="left" vertical="top" wrapText="1"/>
    </xf>
    <xf numFmtId="0" fontId="28" fillId="0" borderId="0" xfId="0" applyFont="1" applyAlignment="1">
      <alignment vertical="top" wrapText="1"/>
    </xf>
    <xf numFmtId="0" fontId="4" fillId="2" borderId="39" xfId="0" applyFont="1" applyFill="1" applyBorder="1" applyAlignment="1" applyProtection="1">
      <alignment horizontal="center" vertical="top" wrapText="1"/>
      <protection locked="0"/>
    </xf>
    <xf numFmtId="0" fontId="0" fillId="0" borderId="21" xfId="0" applyBorder="1" applyProtection="1">
      <protection locked="0"/>
    </xf>
    <xf numFmtId="0" fontId="51" fillId="0" borderId="0" xfId="0" applyFont="1" applyAlignment="1">
      <alignment horizontal="center" vertical="center"/>
    </xf>
    <xf numFmtId="0" fontId="4" fillId="18" borderId="3" xfId="0" applyFont="1" applyFill="1" applyBorder="1" applyAlignment="1" applyProtection="1">
      <alignment horizontal="left" vertical="top" wrapText="1" shrinkToFit="1"/>
      <protection locked="0"/>
    </xf>
    <xf numFmtId="0" fontId="66" fillId="0" borderId="0" xfId="0" applyFont="1" applyAlignment="1">
      <alignment vertical="top" wrapText="1"/>
    </xf>
    <xf numFmtId="0" fontId="51" fillId="0" borderId="0" xfId="0" applyFont="1" applyAlignment="1">
      <alignment horizontal="center" vertical="center" wrapText="1"/>
    </xf>
    <xf numFmtId="0" fontId="5" fillId="2" borderId="0" xfId="0" applyFont="1" applyFill="1" applyAlignment="1">
      <alignment horizontal="center" vertical="top" wrapText="1"/>
    </xf>
    <xf numFmtId="0" fontId="12" fillId="0" borderId="0" xfId="0" applyFont="1" applyAlignment="1">
      <alignment horizontal="center" vertical="top" wrapText="1"/>
    </xf>
    <xf numFmtId="0" fontId="14" fillId="2" borderId="73" xfId="0" applyFont="1" applyFill="1" applyBorder="1" applyAlignment="1" applyProtection="1">
      <alignment horizontal="left" vertical="top" wrapText="1" shrinkToFit="1"/>
      <protection locked="0"/>
    </xf>
    <xf numFmtId="0" fontId="0" fillId="0" borderId="73" xfId="0" applyBorder="1" applyProtection="1">
      <protection locked="0"/>
    </xf>
    <xf numFmtId="0" fontId="5" fillId="2" borderId="79" xfId="0" applyFont="1" applyFill="1" applyBorder="1" applyAlignment="1" applyProtection="1">
      <alignment horizontal="left" wrapText="1"/>
      <protection locked="0"/>
    </xf>
    <xf numFmtId="0" fontId="18" fillId="0" borderId="0" xfId="0" quotePrefix="1" applyFont="1" applyAlignment="1">
      <alignment horizontal="center" wrapText="1"/>
    </xf>
    <xf numFmtId="0" fontId="4" fillId="2" borderId="3" xfId="0" applyFont="1" applyFill="1" applyBorder="1" applyAlignment="1" applyProtection="1">
      <alignment horizontal="center" vertical="center" wrapText="1"/>
      <protection locked="0"/>
    </xf>
    <xf numFmtId="0" fontId="5" fillId="0" borderId="0" xfId="0" applyFont="1" applyAlignment="1">
      <alignment horizontal="center" vertical="top" wrapText="1"/>
    </xf>
    <xf numFmtId="0" fontId="5" fillId="2" borderId="20" xfId="0" applyFont="1" applyFill="1" applyBorder="1" applyAlignment="1" applyProtection="1">
      <alignment horizontal="left" vertical="top" wrapText="1"/>
      <protection locked="0"/>
    </xf>
    <xf numFmtId="0" fontId="7" fillId="0" borderId="0" xfId="0" applyFont="1" applyAlignment="1" applyProtection="1">
      <alignment vertical="top" wrapText="1"/>
      <protection locked="0"/>
    </xf>
    <xf numFmtId="0" fontId="100" fillId="0" borderId="0" xfId="0" applyFont="1" applyAlignment="1">
      <alignment horizontal="center" vertical="top" wrapText="1"/>
    </xf>
    <xf numFmtId="0" fontId="4" fillId="0" borderId="38" xfId="0" applyFont="1" applyBorder="1" applyAlignment="1">
      <alignment vertical="top" wrapText="1"/>
    </xf>
    <xf numFmtId="0" fontId="5" fillId="2" borderId="3" xfId="0" applyFont="1" applyFill="1" applyBorder="1" applyAlignment="1" applyProtection="1">
      <alignment horizontal="left" vertical="center" wrapText="1"/>
      <protection locked="0"/>
    </xf>
    <xf numFmtId="0" fontId="51" fillId="0" borderId="0" xfId="0" applyFont="1" applyAlignment="1">
      <alignment horizontal="center"/>
    </xf>
    <xf numFmtId="0" fontId="5" fillId="0" borderId="0" xfId="0" applyFont="1" applyAlignment="1">
      <alignment horizontal="right" vertical="top"/>
    </xf>
    <xf numFmtId="0" fontId="4" fillId="18" borderId="3" xfId="0" applyFont="1" applyFill="1" applyBorder="1" applyAlignment="1">
      <alignment horizontal="left" vertical="center" wrapText="1"/>
    </xf>
    <xf numFmtId="0" fontId="0" fillId="0" borderId="3" xfId="0" applyBorder="1"/>
    <xf numFmtId="0" fontId="81" fillId="0" borderId="0" xfId="0" applyFont="1" applyAlignment="1">
      <alignment horizontal="left" vertical="center" wrapText="1"/>
    </xf>
    <xf numFmtId="0" fontId="97" fillId="0" borderId="0" xfId="0" applyFont="1" applyAlignment="1">
      <alignment horizontal="justify" vertical="top" wrapText="1"/>
    </xf>
    <xf numFmtId="0" fontId="7" fillId="0" borderId="0" xfId="0" applyFont="1" applyAlignment="1">
      <alignment horizontal="justify" vertical="top" wrapText="1"/>
    </xf>
    <xf numFmtId="2" fontId="15" fillId="0" borderId="7" xfId="0" applyNumberFormat="1" applyFont="1" applyBorder="1" applyAlignment="1">
      <alignment horizontal="center" vertical="center"/>
    </xf>
    <xf numFmtId="1" fontId="0" fillId="0" borderId="0" xfId="0" applyNumberFormat="1"/>
    <xf numFmtId="165" fontId="0" fillId="0" borderId="0" xfId="0" applyNumberFormat="1"/>
    <xf numFmtId="0" fontId="0" fillId="0" borderId="7" xfId="0" applyBorder="1"/>
    <xf numFmtId="0" fontId="42" fillId="10" borderId="42" xfId="0" applyFont="1" applyFill="1" applyBorder="1" applyAlignment="1">
      <alignment horizontal="center" vertical="center" wrapText="1"/>
    </xf>
    <xf numFmtId="0" fontId="0" fillId="0" borderId="59" xfId="0" applyBorder="1"/>
    <xf numFmtId="0" fontId="42" fillId="10" borderId="43" xfId="0" applyFont="1" applyFill="1" applyBorder="1" applyAlignment="1">
      <alignment horizontal="center" vertical="center" wrapText="1"/>
    </xf>
    <xf numFmtId="0" fontId="0" fillId="0" borderId="47" xfId="0" applyBorder="1"/>
    <xf numFmtId="1" fontId="42" fillId="4" borderId="0" xfId="0" applyNumberFormat="1" applyFont="1" applyFill="1" applyAlignment="1">
      <alignment horizontal="right"/>
    </xf>
    <xf numFmtId="0" fontId="44" fillId="5" borderId="11" xfId="0" applyFont="1" applyFill="1" applyBorder="1" applyAlignment="1">
      <alignment horizontal="center" vertical="center"/>
    </xf>
    <xf numFmtId="0" fontId="0" fillId="0" borderId="13" xfId="0" applyBorder="1"/>
    <xf numFmtId="0" fontId="0" fillId="0" borderId="14" xfId="0" applyBorder="1"/>
    <xf numFmtId="0" fontId="42" fillId="4" borderId="22" xfId="0" applyFont="1" applyFill="1" applyBorder="1" applyAlignment="1">
      <alignment horizontal="center"/>
    </xf>
    <xf numFmtId="0" fontId="0" fillId="0" borderId="23" xfId="0" applyBorder="1"/>
    <xf numFmtId="0" fontId="101" fillId="4" borderId="11" xfId="0" applyFont="1" applyFill="1" applyBorder="1" applyAlignment="1">
      <alignment horizontal="center" vertical="center" wrapText="1"/>
    </xf>
    <xf numFmtId="1" fontId="4" fillId="0" borderId="0" xfId="0" applyNumberFormat="1" applyFont="1" applyAlignment="1">
      <alignment horizontal="center"/>
    </xf>
    <xf numFmtId="0" fontId="0" fillId="0" borderId="0" xfId="0"/>
    <xf numFmtId="1" fontId="4" fillId="0" borderId="51" xfId="0" applyNumberFormat="1" applyFont="1" applyBorder="1" applyAlignment="1">
      <alignment horizontal="center"/>
    </xf>
    <xf numFmtId="0" fontId="0" fillId="0" borderId="28" xfId="0" applyBorder="1"/>
    <xf numFmtId="1" fontId="4" fillId="0" borderId="11" xfId="0" applyNumberFormat="1" applyFont="1" applyBorder="1" applyAlignment="1">
      <alignment horizontal="center" vertical="top"/>
    </xf>
    <xf numFmtId="1" fontId="44" fillId="4" borderId="7" xfId="0" applyNumberFormat="1" applyFont="1" applyFill="1" applyBorder="1" applyAlignment="1">
      <alignment horizontal="left" vertical="center" wrapText="1"/>
    </xf>
    <xf numFmtId="1" fontId="46" fillId="5" borderId="5" xfId="0" applyNumberFormat="1" applyFont="1" applyFill="1" applyBorder="1" applyAlignment="1">
      <alignment horizontal="left"/>
    </xf>
    <xf numFmtId="0" fontId="0" fillId="0" borderId="5" xfId="0" applyBorder="1"/>
    <xf numFmtId="0" fontId="42" fillId="10" borderId="10" xfId="0" applyFont="1" applyFill="1" applyBorder="1" applyAlignment="1">
      <alignment horizontal="center" vertical="center" wrapText="1"/>
    </xf>
    <xf numFmtId="165" fontId="69" fillId="4" borderId="78" xfId="0" applyNumberFormat="1" applyFont="1" applyFill="1" applyBorder="1" applyAlignment="1">
      <alignment horizontal="center" vertical="center" wrapText="1"/>
    </xf>
    <xf numFmtId="0" fontId="0" fillId="0" borderId="8" xfId="0" applyBorder="1"/>
    <xf numFmtId="0" fontId="0" fillId="0" borderId="75" xfId="0" applyBorder="1"/>
    <xf numFmtId="1" fontId="4" fillId="0" borderId="11" xfId="0" applyNumberFormat="1" applyFont="1" applyBorder="1" applyAlignment="1">
      <alignment horizontal="center"/>
    </xf>
    <xf numFmtId="0" fontId="59" fillId="5" borderId="22" xfId="0" applyFont="1" applyFill="1" applyBorder="1" applyAlignment="1">
      <alignment horizontal="center"/>
    </xf>
    <xf numFmtId="0" fontId="46" fillId="5" borderId="5" xfId="0" applyFont="1" applyFill="1" applyBorder="1" applyAlignment="1">
      <alignment horizontal="left"/>
    </xf>
    <xf numFmtId="0" fontId="42" fillId="10" borderId="51" xfId="0" applyFont="1" applyFill="1" applyBorder="1" applyAlignment="1">
      <alignment horizontal="center" vertical="center" wrapText="1"/>
    </xf>
    <xf numFmtId="0" fontId="0" fillId="0" borderId="51" xfId="0" applyBorder="1"/>
    <xf numFmtId="0" fontId="46" fillId="5" borderId="9" xfId="0" applyFont="1" applyFill="1" applyBorder="1" applyAlignment="1">
      <alignment horizontal="left"/>
    </xf>
    <xf numFmtId="0" fontId="0" fillId="0" borderId="6" xfId="0" applyBorder="1"/>
    <xf numFmtId="1" fontId="72" fillId="0" borderId="7" xfId="0" applyNumberFormat="1" applyFont="1" applyBorder="1" applyAlignment="1">
      <alignment horizontal="center" vertical="center" wrapText="1"/>
    </xf>
    <xf numFmtId="0" fontId="48" fillId="0" borderId="0" xfId="0" applyFont="1"/>
    <xf numFmtId="1" fontId="44" fillId="4" borderId="11" xfId="0" applyNumberFormat="1" applyFont="1" applyFill="1" applyBorder="1" applyAlignment="1" applyProtection="1">
      <alignment horizontal="center"/>
      <protection locked="0"/>
    </xf>
    <xf numFmtId="0" fontId="0" fillId="0" borderId="13" xfId="0" applyBorder="1" applyProtection="1">
      <protection locked="0"/>
    </xf>
    <xf numFmtId="0" fontId="0" fillId="0" borderId="14" xfId="0" applyBorder="1" applyProtection="1">
      <protection locked="0"/>
    </xf>
    <xf numFmtId="1" fontId="42" fillId="10" borderId="23" xfId="0" applyNumberFormat="1" applyFont="1" applyFill="1" applyBorder="1" applyAlignment="1">
      <alignment horizontal="right" vertical="center" wrapText="1"/>
    </xf>
    <xf numFmtId="1" fontId="42" fillId="4" borderId="16" xfId="0" applyNumberFormat="1" applyFont="1" applyFill="1" applyBorder="1" applyAlignment="1">
      <alignment horizontal="right"/>
    </xf>
    <xf numFmtId="0" fontId="71" fillId="5" borderId="9" xfId="0" applyFont="1" applyFill="1" applyBorder="1" applyAlignment="1">
      <alignment horizontal="center" vertical="top" wrapText="1"/>
    </xf>
    <xf numFmtId="1" fontId="44" fillId="5" borderId="61" xfId="0" applyNumberFormat="1" applyFont="1" applyFill="1" applyBorder="1" applyAlignment="1">
      <alignment horizontal="right"/>
    </xf>
    <xf numFmtId="1" fontId="42" fillId="4" borderId="3" xfId="0" applyNumberFormat="1" applyFont="1" applyFill="1" applyBorder="1" applyAlignment="1">
      <alignment horizontal="right"/>
    </xf>
    <xf numFmtId="1" fontId="67" fillId="5" borderId="13" xfId="0" applyNumberFormat="1" applyFont="1" applyFill="1" applyBorder="1" applyAlignment="1">
      <alignment horizontal="center" vertical="center" wrapText="1"/>
    </xf>
    <xf numFmtId="0" fontId="44" fillId="5" borderId="51" xfId="0" applyFont="1" applyFill="1" applyBorder="1" applyAlignment="1">
      <alignment horizontal="left" vertical="top" wrapText="1" readingOrder="1"/>
    </xf>
    <xf numFmtId="0" fontId="0" fillId="0" borderId="22" xfId="0" applyBorder="1"/>
    <xf numFmtId="0" fontId="46" fillId="5" borderId="10" xfId="0" applyFont="1" applyFill="1" applyBorder="1" applyAlignment="1">
      <alignment horizontal="left"/>
    </xf>
    <xf numFmtId="0" fontId="42" fillId="10" borderId="22" xfId="0" applyFont="1" applyFill="1" applyBorder="1" applyAlignment="1">
      <alignment horizontal="right"/>
    </xf>
    <xf numFmtId="1" fontId="46" fillId="5" borderId="9" xfId="0" applyNumberFormat="1" applyFont="1" applyFill="1" applyBorder="1"/>
    <xf numFmtId="1" fontId="46" fillId="5" borderId="6" xfId="0" applyNumberFormat="1" applyFont="1" applyFill="1" applyBorder="1" applyAlignment="1">
      <alignment horizontal="left"/>
    </xf>
    <xf numFmtId="1" fontId="46" fillId="5" borderId="9" xfId="0" applyNumberFormat="1" applyFont="1" applyFill="1" applyBorder="1" applyAlignment="1">
      <alignment horizontal="left"/>
    </xf>
    <xf numFmtId="0" fontId="44" fillId="4" borderId="0" xfId="0" applyFont="1" applyFill="1" applyAlignment="1">
      <alignment horizontal="center" vertical="center" wrapText="1"/>
    </xf>
    <xf numFmtId="1" fontId="44" fillId="10" borderId="11" xfId="0" applyNumberFormat="1" applyFont="1" applyFill="1" applyBorder="1" applyAlignment="1">
      <alignment horizontal="center" vertical="center"/>
    </xf>
    <xf numFmtId="0" fontId="46" fillId="2" borderId="48" xfId="0" applyFont="1" applyFill="1" applyBorder="1" applyAlignment="1" applyProtection="1">
      <alignment horizontal="left"/>
      <protection locked="0"/>
    </xf>
    <xf numFmtId="0" fontId="0" fillId="0" borderId="56" xfId="0" applyBorder="1" applyProtection="1">
      <protection locked="0"/>
    </xf>
    <xf numFmtId="0" fontId="0" fillId="0" borderId="68" xfId="0" applyBorder="1" applyProtection="1">
      <protection locked="0"/>
    </xf>
    <xf numFmtId="165" fontId="43" fillId="10" borderId="9" xfId="0" applyNumberFormat="1" applyFont="1" applyFill="1" applyBorder="1" applyAlignment="1" applyProtection="1">
      <alignment horizontal="center" vertical="center" wrapText="1"/>
      <protection locked="0"/>
    </xf>
    <xf numFmtId="0" fontId="0" fillId="0" borderId="51" xfId="0" applyBorder="1" applyProtection="1">
      <protection locked="0"/>
    </xf>
    <xf numFmtId="1" fontId="27" fillId="7" borderId="6" xfId="0" applyNumberFormat="1" applyFont="1" applyFill="1" applyBorder="1" applyAlignment="1">
      <alignment horizontal="left" vertical="center" wrapText="1"/>
    </xf>
    <xf numFmtId="0" fontId="5" fillId="3" borderId="1" xfId="0" applyFont="1" applyFill="1" applyBorder="1" applyAlignment="1">
      <alignment horizontal="center" vertical="center" wrapText="1"/>
    </xf>
    <xf numFmtId="0" fontId="43" fillId="5" borderId="34" xfId="0" applyFont="1" applyFill="1" applyBorder="1" applyAlignment="1">
      <alignment horizontal="left" wrapText="1"/>
    </xf>
    <xf numFmtId="0" fontId="43" fillId="0" borderId="0" xfId="0" applyFont="1"/>
    <xf numFmtId="1" fontId="46" fillId="5" borderId="6" xfId="0" applyNumberFormat="1" applyFont="1" applyFill="1" applyBorder="1"/>
    <xf numFmtId="1" fontId="5" fillId="3" borderId="19" xfId="0" applyNumberFormat="1" applyFont="1" applyFill="1" applyBorder="1" applyAlignment="1">
      <alignment horizontal="center" vertical="top" wrapText="1"/>
    </xf>
    <xf numFmtId="0" fontId="0" fillId="0" borderId="74" xfId="0" applyBorder="1"/>
    <xf numFmtId="0" fontId="44" fillId="5" borderId="38" xfId="0" applyFont="1" applyFill="1" applyBorder="1" applyAlignment="1">
      <alignment horizontal="center" vertical="center"/>
    </xf>
    <xf numFmtId="0" fontId="7" fillId="2" borderId="9" xfId="0" applyFont="1" applyFill="1" applyBorder="1" applyAlignment="1" applyProtection="1">
      <alignment horizontal="left" vertical="top"/>
      <protection locked="0"/>
    </xf>
    <xf numFmtId="0" fontId="0" fillId="0" borderId="7" xfId="0" applyBorder="1" applyProtection="1">
      <protection locked="0"/>
    </xf>
    <xf numFmtId="0" fontId="0" fillId="0" borderId="8" xfId="0" applyBorder="1" applyProtection="1">
      <protection locked="0"/>
    </xf>
    <xf numFmtId="0" fontId="0" fillId="0" borderId="22" xfId="0" applyBorder="1" applyProtection="1">
      <protection locked="0"/>
    </xf>
    <xf numFmtId="0" fontId="0" fillId="0" borderId="28" xfId="0" applyBorder="1" applyProtection="1">
      <protection locked="0"/>
    </xf>
    <xf numFmtId="0" fontId="45" fillId="5" borderId="51" xfId="0" applyFont="1" applyFill="1" applyBorder="1" applyAlignment="1">
      <alignment horizontal="center" wrapText="1"/>
    </xf>
    <xf numFmtId="0" fontId="61" fillId="4" borderId="11" xfId="0" applyFont="1" applyFill="1" applyBorder="1" applyAlignment="1">
      <alignment horizontal="right" vertical="center" wrapText="1"/>
    </xf>
    <xf numFmtId="2" fontId="6" fillId="0" borderId="7" xfId="0" applyNumberFormat="1" applyFont="1" applyBorder="1" applyAlignment="1">
      <alignment horizontal="left"/>
    </xf>
    <xf numFmtId="0" fontId="61" fillId="7" borderId="9" xfId="0" applyFont="1" applyFill="1" applyBorder="1" applyAlignment="1">
      <alignment horizontal="left" vertical="center" wrapText="1"/>
    </xf>
    <xf numFmtId="0" fontId="43" fillId="5" borderId="76" xfId="0" applyFont="1" applyFill="1" applyBorder="1" applyAlignment="1">
      <alignment horizontal="right" wrapText="1"/>
    </xf>
    <xf numFmtId="0" fontId="0" fillId="0" borderId="44" xfId="0" applyBorder="1"/>
    <xf numFmtId="0" fontId="42" fillId="10" borderId="31" xfId="0" applyFont="1" applyFill="1" applyBorder="1" applyAlignment="1">
      <alignment horizontal="center" vertical="center" wrapText="1"/>
    </xf>
    <xf numFmtId="0" fontId="0" fillId="0" borderId="50" xfId="0" applyBorder="1"/>
    <xf numFmtId="165" fontId="42" fillId="10" borderId="11" xfId="0" applyNumberFormat="1" applyFont="1" applyFill="1" applyBorder="1" applyAlignment="1">
      <alignment horizontal="center"/>
    </xf>
    <xf numFmtId="2" fontId="42" fillId="10" borderId="24" xfId="0" applyNumberFormat="1" applyFont="1" applyFill="1" applyBorder="1" applyAlignment="1">
      <alignment horizontal="justify" vertical="center"/>
    </xf>
    <xf numFmtId="0" fontId="0" fillId="0" borderId="27" xfId="0" applyBorder="1"/>
    <xf numFmtId="2" fontId="47" fillId="10" borderId="9" xfId="0" applyNumberFormat="1" applyFont="1" applyFill="1" applyBorder="1" applyAlignment="1">
      <alignment horizontal="center" vertical="center" wrapText="1"/>
    </xf>
    <xf numFmtId="165" fontId="61" fillId="10" borderId="11" xfId="0" applyNumberFormat="1" applyFont="1" applyFill="1" applyBorder="1" applyAlignment="1">
      <alignment horizontal="center" vertical="center"/>
    </xf>
    <xf numFmtId="0" fontId="47" fillId="5" borderId="9" xfId="0" applyFont="1" applyFill="1" applyBorder="1" applyAlignment="1">
      <alignment horizontal="center"/>
    </xf>
    <xf numFmtId="1" fontId="44" fillId="4" borderId="51" xfId="0" applyNumberFormat="1" applyFont="1" applyFill="1" applyBorder="1" applyAlignment="1" applyProtection="1">
      <alignment horizontal="center"/>
      <protection locked="0"/>
    </xf>
    <xf numFmtId="169" fontId="46" fillId="5" borderId="6" xfId="0" applyNumberFormat="1" applyFont="1" applyFill="1" applyBorder="1" applyAlignment="1">
      <alignment horizontal="left"/>
    </xf>
    <xf numFmtId="0" fontId="5" fillId="0" borderId="0" xfId="0" applyFont="1" applyAlignment="1">
      <alignment horizontal="center"/>
    </xf>
    <xf numFmtId="0" fontId="0" fillId="0" borderId="0" xfId="0" applyAlignment="1">
      <alignment horizontal="center"/>
    </xf>
    <xf numFmtId="0" fontId="12" fillId="6" borderId="1" xfId="0" applyFont="1" applyFill="1" applyBorder="1" applyAlignment="1">
      <alignment horizontal="center" vertical="center" wrapText="1"/>
    </xf>
    <xf numFmtId="0" fontId="0" fillId="0" borderId="29" xfId="0" applyBorder="1"/>
    <xf numFmtId="0" fontId="44" fillId="10" borderId="61" xfId="0" applyFont="1" applyFill="1" applyBorder="1" applyAlignment="1">
      <alignment horizontal="justify" vertical="center"/>
    </xf>
    <xf numFmtId="1" fontId="46" fillId="5" borderId="23" xfId="0" applyNumberFormat="1" applyFont="1" applyFill="1" applyBorder="1" applyAlignment="1">
      <alignment horizontal="left"/>
    </xf>
    <xf numFmtId="0" fontId="46" fillId="2" borderId="40" xfId="0" applyFont="1" applyFill="1" applyBorder="1" applyAlignment="1" applyProtection="1">
      <alignment horizontal="left"/>
      <protection locked="0"/>
    </xf>
    <xf numFmtId="0" fontId="0" fillId="0" borderId="27" xfId="0" applyBorder="1" applyProtection="1">
      <protection locked="0"/>
    </xf>
    <xf numFmtId="0" fontId="0" fillId="0" borderId="25" xfId="0" applyBorder="1" applyProtection="1">
      <protection locked="0"/>
    </xf>
    <xf numFmtId="0" fontId="42" fillId="10" borderId="7" xfId="0" applyFont="1" applyFill="1" applyBorder="1" applyAlignment="1">
      <alignment horizontal="right"/>
    </xf>
    <xf numFmtId="0" fontId="61" fillId="5" borderId="11" xfId="0" applyFont="1" applyFill="1" applyBorder="1" applyAlignment="1">
      <alignment horizontal="left"/>
    </xf>
    <xf numFmtId="1" fontId="46" fillId="5" borderId="5" xfId="0" applyNumberFormat="1" applyFont="1" applyFill="1" applyBorder="1"/>
    <xf numFmtId="0" fontId="44" fillId="5" borderId="1" xfId="0" applyFont="1" applyFill="1" applyBorder="1" applyAlignment="1">
      <alignment horizontal="center" vertical="center"/>
    </xf>
    <xf numFmtId="0" fontId="44" fillId="4" borderId="8" xfId="0" applyFont="1" applyFill="1" applyBorder="1" applyAlignment="1">
      <alignment horizontal="right" vertical="center" wrapText="1"/>
    </xf>
    <xf numFmtId="0" fontId="42" fillId="10" borderId="9" xfId="0" applyFont="1" applyFill="1" applyBorder="1" applyAlignment="1">
      <alignment horizontal="center" vertical="center" wrapText="1"/>
    </xf>
    <xf numFmtId="0" fontId="42" fillId="10" borderId="61" xfId="0" applyFont="1" applyFill="1" applyBorder="1" applyAlignment="1">
      <alignment horizontal="justify" vertical="center"/>
    </xf>
    <xf numFmtId="0" fontId="44" fillId="5" borderId="9" xfId="0" applyFont="1" applyFill="1" applyBorder="1" applyAlignment="1">
      <alignment horizontal="left" vertical="top"/>
    </xf>
    <xf numFmtId="0" fontId="61" fillId="10" borderId="9" xfId="0" applyFont="1" applyFill="1" applyBorder="1" applyAlignment="1">
      <alignment horizontal="left" vertical="center"/>
    </xf>
    <xf numFmtId="2" fontId="49" fillId="10" borderId="24" xfId="0" applyNumberFormat="1" applyFont="1" applyFill="1" applyBorder="1" applyAlignment="1">
      <alignment horizontal="justify" vertical="center"/>
    </xf>
    <xf numFmtId="0" fontId="44" fillId="4" borderId="22" xfId="0" applyFont="1" applyFill="1" applyBorder="1" applyAlignment="1">
      <alignment horizontal="center"/>
    </xf>
    <xf numFmtId="0" fontId="12" fillId="6" borderId="9" xfId="0" applyFont="1" applyFill="1" applyBorder="1" applyAlignment="1">
      <alignment horizontal="center" vertical="center" wrapText="1"/>
    </xf>
    <xf numFmtId="0" fontId="49" fillId="10" borderId="61" xfId="0" applyFont="1" applyFill="1" applyBorder="1" applyAlignment="1">
      <alignment horizontal="justify" vertical="center"/>
    </xf>
    <xf numFmtId="1" fontId="42" fillId="4" borderId="29" xfId="0" applyNumberFormat="1" applyFont="1" applyFill="1" applyBorder="1" applyAlignment="1">
      <alignment horizontal="right"/>
    </xf>
    <xf numFmtId="0" fontId="0" fillId="0" borderId="33" xfId="0" applyBorder="1"/>
    <xf numFmtId="1" fontId="57" fillId="3" borderId="19" xfId="0" applyNumberFormat="1" applyFont="1" applyFill="1" applyBorder="1" applyAlignment="1">
      <alignment horizontal="center" vertical="center" wrapText="1"/>
    </xf>
    <xf numFmtId="2" fontId="13" fillId="0" borderId="7" xfId="0" applyNumberFormat="1" applyFont="1" applyBorder="1" applyAlignment="1">
      <alignment horizontal="left"/>
    </xf>
    <xf numFmtId="0" fontId="57" fillId="3" borderId="1" xfId="0" applyFont="1" applyFill="1" applyBorder="1" applyAlignment="1">
      <alignment horizontal="center" vertical="center" wrapText="1"/>
    </xf>
    <xf numFmtId="20" fontId="56" fillId="0" borderId="9" xfId="0" applyNumberFormat="1" applyFont="1" applyBorder="1" applyAlignment="1">
      <alignment horizontal="center" vertical="center" wrapText="1"/>
    </xf>
    <xf numFmtId="0" fontId="0" fillId="2" borderId="0" xfId="0" applyFill="1" applyAlignment="1">
      <alignment horizontal="center" vertical="center" wrapText="1"/>
    </xf>
    <xf numFmtId="0" fontId="0" fillId="2" borderId="0" xfId="0" applyFill="1"/>
    <xf numFmtId="0" fontId="85" fillId="2" borderId="9" xfId="0" applyFont="1" applyFill="1" applyBorder="1" applyAlignment="1">
      <alignment horizontal="center" vertical="center" wrapText="1"/>
    </xf>
    <xf numFmtId="173" fontId="0" fillId="2" borderId="0" xfId="0" applyNumberFormat="1" applyFill="1" applyAlignment="1">
      <alignment horizontal="center"/>
    </xf>
    <xf numFmtId="0" fontId="5" fillId="2" borderId="11" xfId="0" applyFont="1" applyFill="1" applyBorder="1" applyAlignment="1">
      <alignment horizontal="center" vertical="center" wrapText="1"/>
    </xf>
    <xf numFmtId="0" fontId="19" fillId="13" borderId="0" xfId="0" applyFont="1" applyFill="1" applyAlignment="1">
      <alignment horizontal="center" vertical="top"/>
    </xf>
    <xf numFmtId="20" fontId="108" fillId="0" borderId="9" xfId="0" applyNumberFormat="1" applyFont="1" applyBorder="1" applyAlignment="1" applyProtection="1">
      <alignment horizontal="center" vertical="center" wrapText="1"/>
      <protection locked="0"/>
    </xf>
    <xf numFmtId="0" fontId="0" fillId="0" borderId="5" xfId="0" applyBorder="1" applyProtection="1">
      <protection locked="0"/>
    </xf>
    <xf numFmtId="0" fontId="0" fillId="0" borderId="6" xfId="0" applyBorder="1" applyProtection="1">
      <protection locked="0"/>
    </xf>
    <xf numFmtId="0" fontId="4" fillId="13" borderId="0" xfId="0" applyFont="1" applyFill="1" applyAlignment="1">
      <alignment horizontal="center" vertical="center" wrapText="1"/>
    </xf>
    <xf numFmtId="0" fontId="10" fillId="13" borderId="0" xfId="0" applyFont="1" applyFill="1" applyAlignment="1">
      <alignment horizontal="justify" vertical="top" wrapText="1"/>
    </xf>
    <xf numFmtId="49" fontId="4" fillId="13" borderId="0" xfId="0" applyNumberFormat="1" applyFont="1" applyFill="1" applyAlignment="1">
      <alignment horizontal="center" vertical="center" wrapText="1"/>
    </xf>
    <xf numFmtId="0" fontId="9" fillId="13" borderId="0" xfId="0" applyFont="1" applyFill="1" applyAlignment="1">
      <alignment horizontal="center" vertical="top"/>
    </xf>
    <xf numFmtId="0" fontId="5" fillId="2" borderId="9" xfId="0" applyFont="1" applyFill="1" applyBorder="1" applyAlignment="1">
      <alignment horizontal="center" vertical="center" wrapText="1"/>
    </xf>
    <xf numFmtId="0" fontId="4" fillId="13" borderId="4" xfId="0" applyFont="1" applyFill="1" applyBorder="1" applyAlignment="1">
      <alignment horizontal="center" vertical="center" wrapText="1"/>
    </xf>
    <xf numFmtId="0" fontId="40" fillId="8" borderId="9" xfId="0" applyFont="1" applyFill="1" applyBorder="1" applyAlignment="1">
      <alignment horizontal="center"/>
    </xf>
    <xf numFmtId="0" fontId="10" fillId="13" borderId="0" xfId="0" applyFont="1" applyFill="1" applyAlignment="1">
      <alignment horizontal="center" vertical="top"/>
    </xf>
    <xf numFmtId="49" fontId="108" fillId="0" borderId="9" xfId="0" applyNumberFormat="1" applyFont="1" applyBorder="1" applyAlignment="1" applyProtection="1">
      <alignment horizontal="center" vertical="center" wrapText="1"/>
      <protection locked="0"/>
    </xf>
    <xf numFmtId="0" fontId="12" fillId="13" borderId="0" xfId="0" applyFont="1" applyFill="1" applyAlignment="1">
      <alignment horizontal="center" vertical="top" wrapText="1"/>
    </xf>
    <xf numFmtId="0" fontId="10" fillId="13" borderId="0" xfId="0" applyFont="1" applyFill="1" applyAlignment="1" applyProtection="1">
      <alignment horizontal="justify" vertical="top" wrapText="1"/>
      <protection locked="0"/>
    </xf>
    <xf numFmtId="0" fontId="108" fillId="0" borderId="9" xfId="0" applyFont="1" applyBorder="1" applyAlignment="1" applyProtection="1">
      <alignment horizontal="center" vertical="center" wrapText="1"/>
      <protection locked="0"/>
    </xf>
    <xf numFmtId="0" fontId="113" fillId="0" borderId="0" xfId="3"/>
    <xf numFmtId="20" fontId="56" fillId="8" borderId="9" xfId="0" applyNumberFormat="1" applyFont="1" applyFill="1" applyBorder="1" applyAlignment="1">
      <alignment horizontal="center" vertical="center" wrapText="1"/>
    </xf>
    <xf numFmtId="0" fontId="12" fillId="13" borderId="0" xfId="0" applyFont="1" applyFill="1" applyAlignment="1">
      <alignment horizontal="justify" vertical="top"/>
    </xf>
    <xf numFmtId="0" fontId="10" fillId="13" borderId="62" xfId="0" applyFont="1" applyFill="1" applyBorder="1" applyAlignment="1" applyProtection="1">
      <alignment horizontal="left" vertical="center" wrapText="1" indent="1"/>
      <protection locked="0"/>
    </xf>
    <xf numFmtId="0" fontId="0" fillId="0" borderId="62" xfId="0" applyBorder="1" applyProtection="1">
      <protection locked="0"/>
    </xf>
    <xf numFmtId="0" fontId="10" fillId="13" borderId="37" xfId="0" applyFont="1" applyFill="1" applyBorder="1" applyAlignment="1" applyProtection="1">
      <alignment horizontal="center" vertical="center" wrapText="1"/>
      <protection locked="0"/>
    </xf>
    <xf numFmtId="0" fontId="10" fillId="13" borderId="15" xfId="0" applyFont="1" applyFill="1" applyBorder="1" applyAlignment="1" applyProtection="1">
      <alignment horizontal="left" vertical="center" wrapText="1" indent="1"/>
      <protection locked="0"/>
    </xf>
    <xf numFmtId="0" fontId="10" fillId="13" borderId="0" xfId="0" applyFont="1" applyFill="1" applyAlignment="1">
      <alignment horizontal="left" vertical="center" wrapText="1"/>
    </xf>
    <xf numFmtId="0" fontId="10" fillId="13" borderId="24" xfId="0" applyFont="1" applyFill="1" applyBorder="1" applyAlignment="1" applyProtection="1">
      <alignment horizontal="left" vertical="center" wrapText="1" indent="1"/>
      <protection locked="0"/>
    </xf>
    <xf numFmtId="0" fontId="10" fillId="13" borderId="37" xfId="0" applyFont="1" applyFill="1" applyBorder="1" applyAlignment="1" applyProtection="1">
      <alignment horizontal="left" vertical="center" wrapText="1" indent="1"/>
      <protection locked="0"/>
    </xf>
    <xf numFmtId="1" fontId="10" fillId="13" borderId="0" xfId="0" applyNumberFormat="1" applyFont="1" applyFill="1" applyAlignment="1">
      <alignment horizontal="center" vertical="center"/>
    </xf>
    <xf numFmtId="1" fontId="10" fillId="13" borderId="0" xfId="0" applyNumberFormat="1" applyFont="1" applyFill="1" applyAlignment="1">
      <alignment horizontal="left" vertical="center"/>
    </xf>
    <xf numFmtId="0" fontId="10" fillId="13" borderId="65" xfId="0" applyFont="1" applyFill="1" applyBorder="1" applyAlignment="1" applyProtection="1">
      <alignment horizontal="left" vertical="center" wrapText="1" indent="1"/>
      <protection locked="0"/>
    </xf>
    <xf numFmtId="0" fontId="0" fillId="0" borderId="65" xfId="0" applyBorder="1" applyProtection="1">
      <protection locked="0"/>
    </xf>
    <xf numFmtId="1" fontId="12" fillId="13" borderId="0" xfId="0" applyNumberFormat="1" applyFont="1" applyFill="1" applyAlignment="1">
      <alignment horizontal="left" vertical="center"/>
    </xf>
    <xf numFmtId="0" fontId="74" fillId="13" borderId="0" xfId="0" applyFont="1" applyFill="1" applyAlignment="1">
      <alignment horizontal="left" vertical="center"/>
    </xf>
    <xf numFmtId="0" fontId="38" fillId="0" borderId="0" xfId="0" applyFont="1"/>
    <xf numFmtId="0" fontId="77" fillId="13" borderId="0" xfId="0" applyFont="1" applyFill="1" applyAlignment="1">
      <alignment horizontal="justify" vertical="top" wrapText="1"/>
    </xf>
    <xf numFmtId="0" fontId="8" fillId="13" borderId="0" xfId="1" applyFill="1" applyAlignment="1" applyProtection="1">
      <alignment horizontal="left" vertical="center"/>
    </xf>
    <xf numFmtId="174" fontId="10" fillId="13" borderId="0" xfId="0" applyNumberFormat="1" applyFont="1" applyFill="1" applyAlignment="1">
      <alignment horizontal="left" vertical="center"/>
    </xf>
    <xf numFmtId="0" fontId="12" fillId="13" borderId="10" xfId="0" applyFont="1" applyFill="1" applyBorder="1" applyAlignment="1">
      <alignment horizontal="center" vertical="center" wrapText="1"/>
    </xf>
    <xf numFmtId="0" fontId="8" fillId="13" borderId="0" xfId="1" applyFill="1" applyAlignment="1" applyProtection="1">
      <alignment horizontal="left" vertical="center" wrapText="1"/>
    </xf>
    <xf numFmtId="0" fontId="10" fillId="13" borderId="36" xfId="0" applyFont="1" applyFill="1" applyBorder="1" applyAlignment="1" applyProtection="1">
      <alignment horizontal="left" vertical="center" wrapText="1" indent="1"/>
      <protection locked="0"/>
    </xf>
    <xf numFmtId="0" fontId="12" fillId="13" borderId="0" xfId="0" applyFont="1" applyFill="1" applyAlignment="1">
      <alignment horizontal="left" vertical="center"/>
    </xf>
    <xf numFmtId="1" fontId="12" fillId="13" borderId="0" xfId="0" applyNumberFormat="1" applyFont="1" applyFill="1" applyAlignment="1">
      <alignment horizontal="center" vertical="center"/>
    </xf>
    <xf numFmtId="0" fontId="10" fillId="13" borderId="51" xfId="0" applyFont="1" applyFill="1" applyBorder="1" applyAlignment="1" applyProtection="1">
      <alignment horizontal="left" vertical="center" wrapText="1" indent="1"/>
      <protection locked="0"/>
    </xf>
    <xf numFmtId="0" fontId="10" fillId="13" borderId="61" xfId="0" applyFont="1" applyFill="1" applyBorder="1" applyAlignment="1" applyProtection="1">
      <alignment horizontal="left" vertical="center" wrapText="1" indent="1"/>
      <protection locked="0"/>
    </xf>
    <xf numFmtId="0" fontId="12" fillId="13" borderId="10" xfId="0" applyFont="1" applyFill="1" applyBorder="1" applyAlignment="1">
      <alignment horizontal="center" vertical="center"/>
    </xf>
    <xf numFmtId="0" fontId="12" fillId="13" borderId="9" xfId="0" applyFont="1" applyFill="1" applyBorder="1" applyAlignment="1">
      <alignment horizontal="center" vertical="center" wrapText="1"/>
    </xf>
    <xf numFmtId="0" fontId="10" fillId="13" borderId="63" xfId="0" applyFont="1" applyFill="1" applyBorder="1" applyAlignment="1" applyProtection="1">
      <alignment horizontal="left" vertical="center" wrapText="1" indent="1"/>
      <protection locked="0"/>
    </xf>
    <xf numFmtId="0" fontId="10" fillId="13" borderId="51" xfId="0" applyFont="1" applyFill="1" applyBorder="1" applyAlignment="1" applyProtection="1">
      <alignment horizontal="center" vertical="center" wrapText="1"/>
      <protection locked="0"/>
    </xf>
    <xf numFmtId="0" fontId="12" fillId="0" borderId="9" xfId="0" applyFont="1" applyBorder="1" applyAlignment="1">
      <alignment horizontal="center" vertical="top" wrapText="1"/>
    </xf>
    <xf numFmtId="0" fontId="7" fillId="0" borderId="1" xfId="0" applyFont="1" applyBorder="1" applyAlignment="1">
      <alignment horizontal="center" vertical="center" wrapText="1"/>
    </xf>
    <xf numFmtId="0" fontId="11" fillId="0" borderId="0" xfId="0" applyFont="1"/>
    <xf numFmtId="0" fontId="11" fillId="0" borderId="0" xfId="0" applyFont="1" applyAlignment="1">
      <alignment horizontal="right"/>
    </xf>
    <xf numFmtId="0" fontId="11" fillId="0" borderId="0" xfId="0" applyFont="1" applyAlignment="1">
      <alignment horizontal="left"/>
    </xf>
    <xf numFmtId="0" fontId="30" fillId="0" borderId="1" xfId="0" applyFont="1" applyBorder="1" applyAlignment="1">
      <alignment horizontal="center" vertical="center" wrapText="1"/>
    </xf>
    <xf numFmtId="0" fontId="4" fillId="0" borderId="0" xfId="0" applyFont="1" applyAlignment="1">
      <alignment horizontal="justify" vertical="top" wrapText="1"/>
    </xf>
    <xf numFmtId="0" fontId="68" fillId="0" borderId="0" xfId="0" applyFont="1" applyAlignment="1">
      <alignment horizontal="right" vertical="center"/>
    </xf>
    <xf numFmtId="1" fontId="12" fillId="0" borderId="0" xfId="0" applyNumberFormat="1" applyFont="1" applyAlignment="1">
      <alignment horizontal="left"/>
    </xf>
    <xf numFmtId="1" fontId="24" fillId="13" borderId="0" xfId="0" applyNumberFormat="1" applyFont="1" applyFill="1" applyAlignment="1">
      <alignment horizontal="right"/>
    </xf>
    <xf numFmtId="0" fontId="11" fillId="0" borderId="0" xfId="0" applyFont="1" applyAlignment="1">
      <alignment vertical="top" wrapText="1"/>
    </xf>
    <xf numFmtId="0" fontId="4" fillId="0" borderId="1" xfId="0" applyFont="1" applyBorder="1" applyAlignment="1">
      <alignment horizontal="center" vertical="center" wrapText="1"/>
    </xf>
    <xf numFmtId="0" fontId="7" fillId="0" borderId="0" xfId="0" applyFont="1" applyAlignment="1">
      <alignment horizontal="justify" vertical="center" wrapText="1"/>
    </xf>
    <xf numFmtId="166" fontId="7" fillId="0" borderId="0" xfId="0" applyNumberFormat="1" applyFont="1" applyAlignment="1">
      <alignment horizontal="left"/>
    </xf>
    <xf numFmtId="0" fontId="12" fillId="0" borderId="0" xfId="0" applyFont="1"/>
    <xf numFmtId="0" fontId="14" fillId="0" borderId="0" xfId="0" applyFont="1" applyAlignment="1">
      <alignment horizontal="justify" vertical="top" wrapText="1"/>
    </xf>
    <xf numFmtId="0" fontId="10" fillId="0" borderId="0" xfId="0" applyFont="1"/>
    <xf numFmtId="0" fontId="14" fillId="0" borderId="0" xfId="0" applyFont="1" applyAlignment="1">
      <alignment horizontal="left" vertical="center"/>
    </xf>
    <xf numFmtId="0" fontId="7" fillId="0" borderId="1" xfId="0" applyFont="1" applyBorder="1" applyAlignment="1">
      <alignment horizontal="center" vertical="center"/>
    </xf>
    <xf numFmtId="0" fontId="5" fillId="0" borderId="0" xfId="0" applyFont="1"/>
    <xf numFmtId="0" fontId="36" fillId="0" borderId="0" xfId="0" applyFont="1" applyAlignment="1">
      <alignment horizontal="left" vertical="center" wrapText="1"/>
    </xf>
    <xf numFmtId="0" fontId="5" fillId="0" borderId="0" xfId="0" applyFont="1" applyAlignment="1">
      <alignment horizontal="justify" vertical="top" wrapText="1"/>
    </xf>
    <xf numFmtId="0" fontId="12" fillId="0" borderId="0" xfId="0" applyFont="1" applyAlignment="1">
      <alignment horizontal="left" vertical="top" wrapText="1"/>
    </xf>
    <xf numFmtId="0" fontId="25" fillId="4" borderId="0" xfId="0" applyFont="1" applyFill="1" applyAlignment="1">
      <alignment horizontal="left" vertical="center"/>
    </xf>
    <xf numFmtId="0" fontId="12" fillId="0" borderId="9" xfId="0" applyFont="1" applyBorder="1" applyAlignment="1">
      <alignment horizontal="center" wrapText="1"/>
    </xf>
    <xf numFmtId="0" fontId="22" fillId="4" borderId="0" xfId="0" applyFont="1" applyFill="1" applyAlignment="1">
      <alignment horizontal="left" vertical="center"/>
    </xf>
    <xf numFmtId="0" fontId="6" fillId="0" borderId="0" xfId="0" applyFont="1" applyAlignment="1">
      <alignment horizontal="center" vertical="center" wrapText="1"/>
    </xf>
    <xf numFmtId="0" fontId="31" fillId="0" borderId="1" xfId="0" applyFont="1" applyBorder="1"/>
    <xf numFmtId="1" fontId="14" fillId="13" borderId="0" xfId="0" applyNumberFormat="1" applyFont="1" applyFill="1" applyAlignment="1">
      <alignment horizontal="center" wrapText="1"/>
    </xf>
    <xf numFmtId="0" fontId="37" fillId="0" borderId="0" xfId="0" applyFont="1" applyAlignment="1">
      <alignment horizontal="justify" vertical="center" wrapText="1"/>
    </xf>
    <xf numFmtId="0" fontId="4" fillId="0" borderId="0" xfId="0" applyFont="1" applyAlignment="1">
      <alignment horizontal="center"/>
    </xf>
    <xf numFmtId="0" fontId="0" fillId="0" borderId="0" xfId="0" applyAlignment="1">
      <alignment horizontal="right"/>
    </xf>
    <xf numFmtId="174" fontId="0" fillId="0" borderId="0" xfId="0" applyNumberFormat="1" applyAlignment="1">
      <alignment horizontal="right"/>
    </xf>
    <xf numFmtId="0" fontId="0" fillId="0" borderId="0" xfId="0" applyAlignment="1">
      <alignment horizontal="center" wrapText="1"/>
    </xf>
    <xf numFmtId="0" fontId="5" fillId="0" borderId="0" xfId="0" applyFont="1" applyAlignment="1">
      <alignment horizontal="left"/>
    </xf>
    <xf numFmtId="0" fontId="14" fillId="0" borderId="0" xfId="0" applyFont="1" applyAlignment="1">
      <alignment horizontal="center" vertical="center"/>
    </xf>
    <xf numFmtId="0" fontId="40" fillId="0" borderId="9" xfId="0" applyFont="1" applyBorder="1" applyAlignment="1">
      <alignment horizontal="center"/>
    </xf>
    <xf numFmtId="49" fontId="102" fillId="2" borderId="6" xfId="0" applyNumberFormat="1" applyFont="1" applyFill="1" applyBorder="1" applyAlignment="1">
      <alignment horizontal="left"/>
    </xf>
    <xf numFmtId="0" fontId="14" fillId="6" borderId="9" xfId="0" applyFont="1" applyFill="1" applyBorder="1" applyAlignment="1">
      <alignment horizontal="left" vertical="center"/>
    </xf>
    <xf numFmtId="20" fontId="62" fillId="2" borderId="9" xfId="0" applyNumberFormat="1" applyFont="1" applyFill="1" applyBorder="1" applyAlignment="1" applyProtection="1">
      <alignment horizontal="center" vertical="center" wrapText="1"/>
      <protection locked="0"/>
    </xf>
    <xf numFmtId="0" fontId="10" fillId="13" borderId="0" xfId="0" applyFont="1" applyFill="1" applyAlignment="1">
      <alignment horizontal="justify" vertical="top"/>
    </xf>
    <xf numFmtId="49" fontId="111" fillId="2" borderId="6" xfId="0" applyNumberFormat="1" applyFont="1" applyFill="1" applyBorder="1" applyAlignment="1">
      <alignment horizontal="left"/>
    </xf>
    <xf numFmtId="0" fontId="5" fillId="0" borderId="11" xfId="0" applyFont="1" applyBorder="1" applyAlignment="1">
      <alignment horizontal="center" vertical="center" wrapText="1"/>
    </xf>
    <xf numFmtId="0" fontId="5" fillId="0" borderId="9" xfId="0" applyFont="1" applyBorder="1" applyAlignment="1">
      <alignment horizontal="center" vertical="center" wrapText="1"/>
    </xf>
    <xf numFmtId="49" fontId="62" fillId="2" borderId="9" xfId="0" applyNumberFormat="1" applyFont="1" applyFill="1" applyBorder="1" applyAlignment="1" applyProtection="1">
      <alignment horizontal="center" vertical="center" wrapText="1"/>
      <protection locked="0"/>
    </xf>
    <xf numFmtId="0" fontId="12" fillId="13" borderId="0" xfId="0" applyFont="1" applyFill="1" applyAlignment="1">
      <alignment horizontal="center" wrapText="1"/>
    </xf>
    <xf numFmtId="20" fontId="4" fillId="13" borderId="4" xfId="0" applyNumberFormat="1" applyFont="1" applyFill="1" applyBorder="1" applyAlignment="1">
      <alignment horizontal="center" vertical="center" wrapText="1"/>
    </xf>
    <xf numFmtId="0" fontId="0" fillId="0" borderId="0" xfId="0" applyAlignment="1">
      <alignment horizontal="center" vertical="center" wrapText="1"/>
    </xf>
    <xf numFmtId="0" fontId="10" fillId="0" borderId="0" xfId="0" applyFont="1" applyAlignment="1">
      <alignment vertical="top" wrapText="1"/>
    </xf>
    <xf numFmtId="0" fontId="10" fillId="0" borderId="0" xfId="0" applyFont="1" applyAlignment="1">
      <alignment horizontal="right"/>
    </xf>
    <xf numFmtId="0" fontId="10" fillId="0" borderId="0" xfId="0" applyFont="1" applyAlignment="1">
      <alignment horizontal="left"/>
    </xf>
    <xf numFmtId="166" fontId="18" fillId="0" borderId="0" xfId="0" applyNumberFormat="1" applyFont="1" applyAlignment="1">
      <alignment horizontal="left"/>
    </xf>
    <xf numFmtId="0" fontId="4" fillId="0" borderId="0" xfId="0" applyFont="1"/>
    <xf numFmtId="0" fontId="18" fillId="0" borderId="0" xfId="0" applyFont="1" applyAlignment="1">
      <alignment horizontal="justify" vertical="top" wrapText="1"/>
    </xf>
    <xf numFmtId="0" fontId="104" fillId="6" borderId="9" xfId="0" applyFont="1" applyFill="1" applyBorder="1" applyAlignment="1">
      <alignment horizontal="center"/>
    </xf>
    <xf numFmtId="0" fontId="18" fillId="0" borderId="0" xfId="0" applyFont="1" applyAlignment="1">
      <alignment horizontal="justify" vertical="center" wrapText="1"/>
    </xf>
    <xf numFmtId="0" fontId="79" fillId="0" borderId="0" xfId="0" applyFont="1" applyAlignment="1">
      <alignment horizontal="justify" vertical="top" wrapText="1"/>
    </xf>
    <xf numFmtId="0" fontId="6" fillId="0" borderId="0" xfId="0" applyFont="1" applyAlignment="1">
      <alignment horizontal="left" vertical="center"/>
    </xf>
    <xf numFmtId="0" fontId="6" fillId="0" borderId="0" xfId="0" applyFont="1" applyAlignment="1">
      <alignment horizontal="center" wrapText="1"/>
    </xf>
    <xf numFmtId="0" fontId="18" fillId="0" borderId="0" xfId="0" applyFont="1"/>
    <xf numFmtId="0" fontId="14" fillId="0" borderId="0" xfId="0" applyFont="1"/>
    <xf numFmtId="0" fontId="76" fillId="0" borderId="0" xfId="0" applyFont="1" applyAlignment="1">
      <alignment horizontal="justify" vertical="top" wrapText="1"/>
    </xf>
    <xf numFmtId="0" fontId="14" fillId="0" borderId="0" xfId="0" applyFont="1" applyAlignment="1">
      <alignment horizontal="left" vertical="top" wrapText="1"/>
    </xf>
    <xf numFmtId="0" fontId="9" fillId="0" borderId="0" xfId="0" applyFont="1" applyAlignment="1">
      <alignment horizontal="right" vertical="top"/>
    </xf>
    <xf numFmtId="0" fontId="14" fillId="0" borderId="0" xfId="0" applyFont="1" applyAlignment="1">
      <alignment horizontal="left"/>
    </xf>
    <xf numFmtId="0" fontId="18" fillId="0" borderId="0" xfId="0" applyFont="1" applyAlignment="1">
      <alignment vertical="center" wrapText="1"/>
    </xf>
    <xf numFmtId="1" fontId="14" fillId="15" borderId="9" xfId="0" applyNumberFormat="1" applyFont="1" applyFill="1" applyBorder="1" applyAlignment="1">
      <alignment horizontal="center" vertical="center" wrapText="1"/>
    </xf>
    <xf numFmtId="1" fontId="14" fillId="0" borderId="0" xfId="0" applyNumberFormat="1" applyFont="1" applyAlignment="1">
      <alignment horizontal="left"/>
    </xf>
    <xf numFmtId="1" fontId="103" fillId="15" borderId="9" xfId="0" applyNumberFormat="1" applyFont="1" applyFill="1" applyBorder="1" applyAlignment="1">
      <alignment horizontal="right"/>
    </xf>
    <xf numFmtId="0" fontId="0" fillId="0" borderId="0" xfId="0" applyAlignment="1">
      <alignment horizontal="left" vertical="top"/>
    </xf>
    <xf numFmtId="0" fontId="0" fillId="0" borderId="0" xfId="0" applyAlignment="1">
      <alignment horizontal="justify" vertical="top"/>
    </xf>
    <xf numFmtId="0" fontId="18" fillId="0" borderId="0" xfId="0" applyFont="1" applyAlignment="1">
      <alignment horizontal="justify" vertical="top"/>
    </xf>
    <xf numFmtId="0" fontId="18" fillId="0" borderId="8" xfId="0" applyFont="1" applyBorder="1" applyAlignment="1">
      <alignment horizontal="left" vertical="top"/>
    </xf>
    <xf numFmtId="0" fontId="5" fillId="0" borderId="51" xfId="0" applyFont="1" applyBorder="1" applyAlignment="1">
      <alignment horizontal="center" vertical="center" wrapText="1"/>
    </xf>
    <xf numFmtId="1" fontId="78" fillId="0" borderId="51" xfId="0" applyNumberFormat="1" applyFont="1" applyBorder="1" applyAlignment="1">
      <alignment horizontal="center" vertical="center"/>
    </xf>
    <xf numFmtId="2" fontId="0" fillId="0" borderId="0" xfId="0" applyNumberFormat="1" applyAlignment="1">
      <alignment horizontal="justify" vertical="top"/>
    </xf>
    <xf numFmtId="0" fontId="4" fillId="0" borderId="0" xfId="0" applyFont="1" applyAlignment="1">
      <alignment horizontal="justify" vertical="top"/>
    </xf>
    <xf numFmtId="0" fontId="0" fillId="8" borderId="10" xfId="0" applyFill="1" applyBorder="1" applyAlignment="1">
      <alignment horizontal="left" vertical="top"/>
    </xf>
    <xf numFmtId="0" fontId="4" fillId="0" borderId="1" xfId="0" applyFont="1" applyBorder="1" applyAlignment="1">
      <alignment horizontal="justify" vertical="center" wrapText="1"/>
    </xf>
    <xf numFmtId="0" fontId="14" fillId="0" borderId="6" xfId="0" applyFont="1" applyBorder="1" applyAlignment="1">
      <alignment horizontal="justify" vertical="top" wrapText="1"/>
    </xf>
    <xf numFmtId="0" fontId="14" fillId="0" borderId="51" xfId="0" applyFont="1" applyBorder="1" applyAlignment="1">
      <alignment horizontal="justify" vertical="top" wrapText="1"/>
    </xf>
    <xf numFmtId="0" fontId="18" fillId="0" borderId="14" xfId="0" applyFont="1" applyBorder="1" applyAlignment="1">
      <alignment horizontal="left" vertical="top"/>
    </xf>
    <xf numFmtId="1" fontId="18" fillId="0" borderId="0" xfId="0" applyNumberFormat="1" applyFont="1" applyAlignment="1">
      <alignment horizontal="center" vertical="center"/>
    </xf>
    <xf numFmtId="0" fontId="18" fillId="0" borderId="0" xfId="0" applyFont="1" applyAlignment="1">
      <alignment horizontal="left" vertical="top"/>
    </xf>
    <xf numFmtId="0" fontId="18" fillId="0" borderId="8" xfId="0" applyFont="1" applyBorder="1" applyAlignment="1">
      <alignment horizontal="right" vertical="center"/>
    </xf>
    <xf numFmtId="0" fontId="18" fillId="0" borderId="0" xfId="0" applyFont="1" applyAlignment="1">
      <alignment horizontal="center" vertical="center"/>
    </xf>
    <xf numFmtId="0" fontId="38" fillId="0" borderId="0" xfId="0" applyFont="1" applyAlignment="1">
      <alignment horizontal="justify" vertical="top"/>
    </xf>
    <xf numFmtId="0" fontId="14" fillId="0" borderId="11" xfId="0" applyFont="1" applyBorder="1" applyAlignment="1">
      <alignment horizontal="justify" vertical="top" wrapText="1"/>
    </xf>
    <xf numFmtId="0" fontId="14" fillId="0" borderId="10" xfId="0" applyFont="1" applyBorder="1" applyAlignment="1">
      <alignment horizontal="justify" vertical="top" wrapText="1"/>
    </xf>
    <xf numFmtId="0" fontId="0" fillId="0" borderId="0" xfId="0" applyAlignment="1">
      <alignment horizontal="justify" vertical="top" wrapText="1"/>
    </xf>
    <xf numFmtId="0" fontId="18" fillId="0" borderId="3" xfId="0" applyFont="1" applyBorder="1" applyAlignment="1">
      <alignment horizontal="center" vertical="top"/>
    </xf>
    <xf numFmtId="0" fontId="0" fillId="0" borderId="13" xfId="0" applyBorder="1" applyAlignment="1">
      <alignment horizontal="left" vertical="top"/>
    </xf>
    <xf numFmtId="0" fontId="75" fillId="0" borderId="0" xfId="0" applyFont="1" applyAlignment="1">
      <alignment horizontal="justify" vertical="top" wrapText="1"/>
    </xf>
    <xf numFmtId="1" fontId="18" fillId="0" borderId="7" xfId="0" applyNumberFormat="1" applyFont="1" applyBorder="1" applyAlignment="1">
      <alignment horizontal="left" vertical="center"/>
    </xf>
    <xf numFmtId="0" fontId="18" fillId="0" borderId="0" xfId="0" applyFont="1" applyAlignment="1">
      <alignment horizontal="center" vertical="top" wrapText="1"/>
    </xf>
    <xf numFmtId="0" fontId="18" fillId="0" borderId="4" xfId="0" applyFont="1" applyBorder="1" applyAlignment="1">
      <alignment horizontal="center" vertical="top" wrapText="1"/>
    </xf>
    <xf numFmtId="0" fontId="18" fillId="0" borderId="0" xfId="0" applyFont="1" applyAlignment="1">
      <alignment horizontal="right" vertical="top"/>
    </xf>
    <xf numFmtId="0" fontId="18" fillId="0" borderId="0" xfId="0" applyFont="1" applyAlignment="1">
      <alignment horizontal="left" vertical="top" wrapText="1"/>
    </xf>
    <xf numFmtId="0" fontId="6" fillId="0" borderId="0" xfId="0" applyFont="1" applyAlignment="1">
      <alignment horizontal="center" vertical="top"/>
    </xf>
    <xf numFmtId="0" fontId="14" fillId="0" borderId="0" xfId="0" applyFont="1" applyAlignment="1">
      <alignment horizontal="right" vertical="top"/>
    </xf>
    <xf numFmtId="0" fontId="5" fillId="0" borderId="0" xfId="0" applyFont="1" applyAlignment="1">
      <alignment horizontal="justify" vertical="top"/>
    </xf>
    <xf numFmtId="0" fontId="14" fillId="0" borderId="0" xfId="0" applyFont="1" applyAlignment="1">
      <alignment horizontal="justify" vertical="top"/>
    </xf>
    <xf numFmtId="1" fontId="78" fillId="0" borderId="11" xfId="0" applyNumberFormat="1" applyFont="1" applyBorder="1" applyAlignment="1">
      <alignment horizontal="center" vertical="center"/>
    </xf>
  </cellXfs>
  <cellStyles count="6">
    <cellStyle name="Hipervínculo" xfId="1" builtinId="8"/>
    <cellStyle name="Hyperlink" xfId="3" xr:uid="{00000000-0005-0000-0000-000003000000}"/>
    <cellStyle name="Millares" xfId="2" builtinId="3"/>
    <cellStyle name="Normal" xfId="0" builtinId="0"/>
    <cellStyle name="Normal 2" xfId="4" xr:uid="{A11094B3-57CC-4EC8-A922-A76D59A0E152}"/>
    <cellStyle name="Normal 3" xfId="5" xr:uid="{B0D43761-928D-4CA3-80FE-2B8B8DC47EBD}"/>
  </cellStyles>
  <dxfs count="46">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bottom style="thin">
          <color indexed="64"/>
        </bottom>
      </border>
    </dxf>
    <dxf>
      <border>
        <left style="thin">
          <color indexed="64"/>
        </left>
        <right style="thin">
          <color indexed="64"/>
        </right>
        <top style="thin">
          <color indexed="64"/>
        </top>
        <bottom/>
      </border>
    </dxf>
    <dxf>
      <border>
        <left style="thin">
          <color indexed="64"/>
        </left>
        <right style="thin">
          <color indexed="64"/>
        </right>
        <top style="thin">
          <color indexed="64"/>
        </top>
        <bottom style="thin">
          <color indexed="64"/>
        </bottom>
      </border>
    </dxf>
    <dxf>
      <border>
        <left style="thin">
          <color indexed="64"/>
        </left>
        <right style="thin">
          <color indexed="64"/>
        </right>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font>
        <b/>
        <i/>
        <condense val="0"/>
        <extend val="0"/>
        <color indexed="10"/>
      </font>
    </dxf>
    <dxf>
      <font>
        <b/>
        <condense val="0"/>
        <extend val="0"/>
        <color indexed="10"/>
      </font>
    </dxf>
    <dxf>
      <font>
        <b/>
        <condense val="0"/>
        <extend val="0"/>
        <color indexed="10"/>
      </font>
      <fill>
        <patternFill>
          <bgColor indexed="65"/>
        </patternFill>
      </fill>
    </dxf>
    <dxf>
      <font>
        <b/>
        <condense val="0"/>
        <extend val="0"/>
        <color indexed="10"/>
      </font>
      <fill>
        <patternFill>
          <bgColor indexed="65"/>
        </patternFill>
      </fill>
    </dxf>
    <dxf>
      <font>
        <b/>
        <condense val="0"/>
        <extend val="0"/>
        <color indexed="10"/>
      </font>
      <fill>
        <patternFill>
          <bgColor indexed="65"/>
        </patternFill>
      </fill>
    </dxf>
    <dxf>
      <font>
        <b/>
        <condense val="0"/>
        <extend val="0"/>
        <color indexed="10"/>
      </font>
      <fill>
        <patternFill>
          <bgColor indexed="65"/>
        </patternFill>
      </fill>
    </dxf>
    <dxf>
      <font>
        <b/>
        <condense val="0"/>
        <extend val="0"/>
        <color indexed="10"/>
      </font>
      <fill>
        <patternFill>
          <bgColor indexed="65"/>
        </patternFill>
      </fill>
    </dxf>
    <dxf>
      <font>
        <b/>
        <i/>
        <condense val="0"/>
        <extend val="0"/>
        <color indexed="10"/>
      </font>
    </dxf>
    <dxf>
      <font>
        <b/>
        <condense val="0"/>
        <extend val="0"/>
        <color indexed="10"/>
      </font>
    </dxf>
    <dxf>
      <font>
        <b/>
        <condense val="0"/>
        <extend val="0"/>
        <color indexed="10"/>
      </font>
      <fill>
        <patternFill>
          <bgColor indexed="13"/>
        </patternFill>
      </fill>
    </dxf>
    <dxf>
      <font>
        <b/>
        <condense val="0"/>
        <extend val="0"/>
        <color indexed="10"/>
      </font>
      <fill>
        <patternFill>
          <bgColor indexed="13"/>
        </patternFill>
      </fill>
    </dxf>
    <dxf>
      <font>
        <b/>
        <condense val="0"/>
        <extend val="0"/>
        <color indexed="10"/>
      </font>
      <fill>
        <patternFill>
          <bgColor indexed="13"/>
        </patternFill>
      </fill>
    </dxf>
    <dxf>
      <fill>
        <patternFill>
          <bgColor indexed="13"/>
        </patternFill>
      </fill>
    </dxf>
    <dxf>
      <font>
        <b/>
        <i/>
        <condense val="0"/>
        <extend val="0"/>
        <color indexed="10"/>
      </font>
    </dxf>
    <dxf>
      <fill>
        <patternFill>
          <bgColor indexed="13"/>
        </patternFill>
      </fill>
    </dxf>
    <dxf>
      <font>
        <b/>
        <condense val="0"/>
        <extend val="0"/>
        <color indexed="10"/>
      </font>
    </dxf>
    <dxf>
      <fill>
        <patternFill>
          <bgColor indexed="34"/>
        </patternFill>
      </fill>
    </dxf>
    <dxf>
      <font>
        <b/>
        <condense val="0"/>
        <extend val="0"/>
        <color indexed="10"/>
      </font>
    </dxf>
    <dxf>
      <font>
        <b/>
        <condense val="0"/>
        <extend val="0"/>
        <color indexed="10"/>
      </font>
    </dxf>
    <dxf>
      <font>
        <b/>
        <condense val="0"/>
        <extend val="0"/>
        <color indexed="10"/>
      </font>
    </dxf>
    <dxf>
      <font>
        <b/>
        <condense val="0"/>
        <extend val="0"/>
        <color indexed="10"/>
      </font>
    </dxf>
    <dxf>
      <font>
        <b/>
        <condense val="0"/>
        <extend val="0"/>
        <color indexed="10"/>
      </font>
    </dxf>
    <dxf>
      <font>
        <b/>
        <condense val="0"/>
        <extend val="0"/>
        <color indexed="10"/>
      </font>
    </dxf>
    <dxf>
      <font>
        <b/>
        <condense val="0"/>
        <extend val="0"/>
        <color indexed="10"/>
      </font>
    </dxf>
    <dxf>
      <font>
        <b/>
        <condense val="0"/>
        <extend val="0"/>
        <color indexed="10"/>
      </font>
    </dxf>
    <dxf>
      <font>
        <condense val="0"/>
        <extend val="0"/>
        <color indexed="13"/>
      </font>
      <fill>
        <patternFill>
          <bgColor indexed="10"/>
        </patternFill>
      </fill>
    </dxf>
    <dxf>
      <font>
        <b/>
        <condense val="0"/>
        <extend val="0"/>
        <color indexed="10"/>
      </font>
    </dxf>
    <dxf>
      <font>
        <b/>
        <condense val="0"/>
        <extend val="0"/>
        <color indexed="10"/>
      </font>
    </dxf>
    <dxf>
      <font>
        <b/>
        <condense val="0"/>
        <extend val="0"/>
        <color indexed="10"/>
      </font>
    </dxf>
    <dxf>
      <font>
        <b/>
        <condense val="0"/>
        <extend val="0"/>
        <color indexed="10"/>
      </font>
    </dxf>
    <dxf>
      <font>
        <b/>
        <condense val="0"/>
        <extend val="0"/>
        <color indexed="10"/>
      </font>
      <fill>
        <patternFill>
          <bgColor indexed="26"/>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microsoft.com/office/2017/10/relationships/person" Target="persons/person.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1" Type="http://schemas.openxmlformats.org/officeDocument/2006/relationships/image" Target="../media/image1.png"/></Relationships>
</file>

<file path=xl/drawings/_rels/drawing3.xml.rels><?xml version="1.0" encoding="UTF-8" standalone="yes"?>
<Relationships xmlns="http://schemas.openxmlformats.org/package/2006/relationships"><Relationship Id="rId1" Type="http://schemas.openxmlformats.org/officeDocument/2006/relationships/image" Target="../media/image1.png"/></Relationships>
</file>

<file path=xl/drawings/_rels/drawing4.xml.rels><?xml version="1.0" encoding="UTF-8" standalone="yes"?>
<Relationships xmlns="http://schemas.openxmlformats.org/package/2006/relationships"><Relationship Id="rId1" Type="http://schemas.openxmlformats.org/officeDocument/2006/relationships/image" Target="../media/image2.jpeg"/></Relationships>
</file>

<file path=xl/drawings/_rels/drawing5.xml.rels><?xml version="1.0" encoding="UTF-8" standalone="yes"?>
<Relationships xmlns="http://schemas.openxmlformats.org/package/2006/relationships"><Relationship Id="rId2" Type="http://schemas.openxmlformats.org/officeDocument/2006/relationships/image" Target="../media/image4.png"/><Relationship Id="rId1" Type="http://schemas.openxmlformats.org/officeDocument/2006/relationships/image" Target="../media/image3.jpe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0</xdr:rowOff>
    </xdr:from>
    <xdr:to>
      <xdr:col>7</xdr:col>
      <xdr:colOff>804012</xdr:colOff>
      <xdr:row>5</xdr:row>
      <xdr:rowOff>133350</xdr:rowOff>
    </xdr:to>
    <xdr:pic>
      <xdr:nvPicPr>
        <xdr:cNvPr id="6624" name="Imagen 1">
          <a:extLst>
            <a:ext uri="{FF2B5EF4-FFF2-40B4-BE49-F238E27FC236}">
              <a16:creationId xmlns:a16="http://schemas.microsoft.com/office/drawing/2014/main" id="{00000000-0008-0000-0300-0000E0190000}"/>
            </a:ext>
          </a:extLst>
        </xdr:cNvPr>
        <xdr:cNvPicPr>
          <a:picLocks noChangeAspect="1"/>
        </xdr:cNvPicPr>
      </xdr:nvPicPr>
      <xdr:blipFill>
        <a:blip xmlns:r="http://schemas.openxmlformats.org/officeDocument/2006/relationships" r:embed="rId1"/>
        <a:srcRect/>
        <a:stretch>
          <a:fillRect/>
        </a:stretch>
      </xdr:blipFill>
      <xdr:spPr bwMode="auto">
        <a:xfrm>
          <a:off x="0" y="0"/>
          <a:ext cx="6738087" cy="1085850"/>
        </a:xfrm>
        <a:prstGeom prst="rect">
          <a:avLst/>
        </a:prstGeom>
        <a:noFill/>
        <a:ln>
          <a:noFill/>
          <a:prstDash val="solid"/>
        </a:ln>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0</xdr:colOff>
      <xdr:row>0</xdr:row>
      <xdr:rowOff>0</xdr:rowOff>
    </xdr:from>
    <xdr:to>
      <xdr:col>7</xdr:col>
      <xdr:colOff>614813</xdr:colOff>
      <xdr:row>7</xdr:row>
      <xdr:rowOff>0</xdr:rowOff>
    </xdr:to>
    <xdr:pic>
      <xdr:nvPicPr>
        <xdr:cNvPr id="7646" name="Imagen 1">
          <a:extLst>
            <a:ext uri="{FF2B5EF4-FFF2-40B4-BE49-F238E27FC236}">
              <a16:creationId xmlns:a16="http://schemas.microsoft.com/office/drawing/2014/main" id="{00000000-0008-0000-0400-0000DE1D0000}"/>
            </a:ext>
          </a:extLst>
        </xdr:cNvPr>
        <xdr:cNvPicPr>
          <a:picLocks noChangeAspect="1"/>
        </xdr:cNvPicPr>
      </xdr:nvPicPr>
      <xdr:blipFill>
        <a:blip xmlns:r="http://schemas.openxmlformats.org/officeDocument/2006/relationships" r:embed="rId1"/>
        <a:srcRect/>
        <a:stretch>
          <a:fillRect/>
        </a:stretch>
      </xdr:blipFill>
      <xdr:spPr bwMode="auto">
        <a:xfrm>
          <a:off x="0" y="0"/>
          <a:ext cx="6910838" cy="1333500"/>
        </a:xfrm>
        <a:prstGeom prst="rect">
          <a:avLst/>
        </a:prstGeom>
        <a:noFill/>
        <a:ln>
          <a:noFill/>
          <a:prstDash val="solid"/>
        </a:ln>
      </xdr:spPr>
    </xdr:pic>
    <xdr:clientData/>
  </xdr:twoCellAnchor>
  <xdr:twoCellAnchor editAs="oneCell">
    <xdr:from>
      <xdr:col>1</xdr:col>
      <xdr:colOff>0</xdr:colOff>
      <xdr:row>123</xdr:row>
      <xdr:rowOff>0</xdr:rowOff>
    </xdr:from>
    <xdr:to>
      <xdr:col>8</xdr:col>
      <xdr:colOff>600075</xdr:colOff>
      <xdr:row>132</xdr:row>
      <xdr:rowOff>47625</xdr:rowOff>
    </xdr:to>
    <xdr:pic>
      <xdr:nvPicPr>
        <xdr:cNvPr id="7647" name="Imagen 1">
          <a:extLst>
            <a:ext uri="{FF2B5EF4-FFF2-40B4-BE49-F238E27FC236}">
              <a16:creationId xmlns:a16="http://schemas.microsoft.com/office/drawing/2014/main" id="{00000000-0008-0000-0400-0000DF1D0000}"/>
            </a:ext>
          </a:extLst>
        </xdr:cNvPr>
        <xdr:cNvPicPr>
          <a:picLocks noChangeAspect="1"/>
        </xdr:cNvPicPr>
      </xdr:nvPicPr>
      <xdr:blipFill>
        <a:blip xmlns:r="http://schemas.openxmlformats.org/officeDocument/2006/relationships" r:embed="rId1"/>
        <a:srcRect/>
        <a:stretch>
          <a:fillRect/>
        </a:stretch>
      </xdr:blipFill>
      <xdr:spPr bwMode="auto">
        <a:xfrm>
          <a:off x="647700" y="18107025"/>
          <a:ext cx="6896100" cy="1504950"/>
        </a:xfrm>
        <a:prstGeom prst="rect">
          <a:avLst/>
        </a:prstGeom>
        <a:noFill/>
        <a:ln>
          <a:noFill/>
          <a:prstDash val="solid"/>
        </a:ln>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0</xdr:col>
      <xdr:colOff>0</xdr:colOff>
      <xdr:row>0</xdr:row>
      <xdr:rowOff>0</xdr:rowOff>
    </xdr:from>
    <xdr:to>
      <xdr:col>7</xdr:col>
      <xdr:colOff>249247</xdr:colOff>
      <xdr:row>2</xdr:row>
      <xdr:rowOff>476250</xdr:rowOff>
    </xdr:to>
    <xdr:pic>
      <xdr:nvPicPr>
        <xdr:cNvPr id="2" name="Imagen 1">
          <a:extLst>
            <a:ext uri="{FF2B5EF4-FFF2-40B4-BE49-F238E27FC236}">
              <a16:creationId xmlns:a16="http://schemas.microsoft.com/office/drawing/2014/main" id="{C4544F10-F816-44B2-82F1-85A6F063B953}"/>
            </a:ext>
          </a:extLst>
        </xdr:cNvPr>
        <xdr:cNvPicPr>
          <a:picLocks noChangeAspect="1"/>
        </xdr:cNvPicPr>
      </xdr:nvPicPr>
      <xdr:blipFill>
        <a:blip xmlns:r="http://schemas.openxmlformats.org/officeDocument/2006/relationships" r:embed="rId1"/>
        <a:srcRect/>
        <a:stretch>
          <a:fillRect/>
        </a:stretch>
      </xdr:blipFill>
      <xdr:spPr bwMode="auto">
        <a:xfrm>
          <a:off x="0" y="0"/>
          <a:ext cx="5726122" cy="1104900"/>
        </a:xfrm>
        <a:prstGeom prst="rect">
          <a:avLst/>
        </a:prstGeom>
        <a:noFill/>
        <a:ln>
          <a:noFill/>
          <a:prstDash val="solid"/>
        </a:ln>
      </xdr:spPr>
    </xdr:pic>
    <xdr:clientData/>
  </xdr:twoCellAnchor>
</xdr:wsDr>
</file>

<file path=xl/drawings/drawing4.xml><?xml version="1.0" encoding="utf-8"?>
<xdr:wsDr xmlns:xdr="http://schemas.openxmlformats.org/drawingml/2006/spreadsheetDrawing" xmlns:a="http://schemas.openxmlformats.org/drawingml/2006/main">
  <xdr:twoCellAnchor editAs="oneCell">
    <xdr:from>
      <xdr:col>0</xdr:col>
      <xdr:colOff>0</xdr:colOff>
      <xdr:row>0</xdr:row>
      <xdr:rowOff>0</xdr:rowOff>
    </xdr:from>
    <xdr:to>
      <xdr:col>0</xdr:col>
      <xdr:colOff>1000125</xdr:colOff>
      <xdr:row>7</xdr:row>
      <xdr:rowOff>123825</xdr:rowOff>
    </xdr:to>
    <xdr:pic>
      <xdr:nvPicPr>
        <xdr:cNvPr id="16404" name="Imagen 1" descr="C:\Users\Leandro\AppData\Local\Packages\Microsoft.Windows.Photos_8wekyb3d8bbwe\TempState\ShareServiceTempFolder\10_A_Isologotipo_institucional_sin_denominacion_byn_fondo_blanco.jpeg">
          <a:extLst>
            <a:ext uri="{FF2B5EF4-FFF2-40B4-BE49-F238E27FC236}">
              <a16:creationId xmlns:a16="http://schemas.microsoft.com/office/drawing/2014/main" id="{00000000-0008-0000-0700-0000144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0" y="0"/>
          <a:ext cx="1000125" cy="1257300"/>
        </a:xfrm>
        <a:prstGeom prst="rect">
          <a:avLst/>
        </a:prstGeom>
        <a:noFill/>
        <a:ln>
          <a:noFill/>
          <a:prstDash val="solid"/>
        </a:ln>
      </xdr:spPr>
    </xdr:pic>
    <xdr:clientData/>
  </xdr:twoCellAnchor>
</xdr:wsDr>
</file>

<file path=xl/drawings/drawing5.xml><?xml version="1.0" encoding="utf-8"?>
<xdr:wsDr xmlns:xdr="http://schemas.openxmlformats.org/drawingml/2006/spreadsheetDrawing" xmlns:a="http://schemas.openxmlformats.org/drawingml/2006/main">
  <xdr:twoCellAnchor editAs="oneCell">
    <xdr:from>
      <xdr:col>0</xdr:col>
      <xdr:colOff>19050</xdr:colOff>
      <xdr:row>60</xdr:row>
      <xdr:rowOff>19050</xdr:rowOff>
    </xdr:from>
    <xdr:to>
      <xdr:col>7</xdr:col>
      <xdr:colOff>800100</xdr:colOff>
      <xdr:row>66</xdr:row>
      <xdr:rowOff>142875</xdr:rowOff>
    </xdr:to>
    <xdr:pic>
      <xdr:nvPicPr>
        <xdr:cNvPr id="9765" name="Imagen 3">
          <a:extLst>
            <a:ext uri="{FF2B5EF4-FFF2-40B4-BE49-F238E27FC236}">
              <a16:creationId xmlns:a16="http://schemas.microsoft.com/office/drawing/2014/main" id="{00000000-0008-0000-0800-000025260000}"/>
            </a:ext>
          </a:extLst>
        </xdr:cNvPr>
        <xdr:cNvPicPr>
          <a:picLocks noChangeAspect="1" noChangeArrowheads="1"/>
        </xdr:cNvPicPr>
      </xdr:nvPicPr>
      <xdr:blipFill>
        <a:blip xmlns:r="http://schemas.openxmlformats.org/officeDocument/2006/relationships" r:embed="rId1" cstate="print"/>
        <a:srcRect l="5569" t="-6735" r="6390" b="6735"/>
        <a:stretch>
          <a:fillRect/>
        </a:stretch>
      </xdr:blipFill>
      <xdr:spPr bwMode="auto">
        <a:xfrm>
          <a:off x="19050" y="10096500"/>
          <a:ext cx="6715125" cy="1238250"/>
        </a:xfrm>
        <a:prstGeom prst="rect">
          <a:avLst/>
        </a:prstGeom>
        <a:noFill/>
        <a:ln>
          <a:noFill/>
          <a:prstDash val="solid"/>
        </a:ln>
      </xdr:spPr>
    </xdr:pic>
    <xdr:clientData/>
  </xdr:twoCellAnchor>
  <xdr:twoCellAnchor editAs="oneCell">
    <xdr:from>
      <xdr:col>0</xdr:col>
      <xdr:colOff>28575</xdr:colOff>
      <xdr:row>2</xdr:row>
      <xdr:rowOff>28575</xdr:rowOff>
    </xdr:from>
    <xdr:to>
      <xdr:col>8</xdr:col>
      <xdr:colOff>19050</xdr:colOff>
      <xdr:row>60</xdr:row>
      <xdr:rowOff>9525</xdr:rowOff>
    </xdr:to>
    <xdr:pic>
      <xdr:nvPicPr>
        <xdr:cNvPr id="9766" name="Imagen 1">
          <a:extLst>
            <a:ext uri="{FF2B5EF4-FFF2-40B4-BE49-F238E27FC236}">
              <a16:creationId xmlns:a16="http://schemas.microsoft.com/office/drawing/2014/main" id="{00000000-0008-0000-0800-000026260000}"/>
            </a:ext>
          </a:extLst>
        </xdr:cNvPr>
        <xdr:cNvPicPr>
          <a:picLocks noChangeAspect="1"/>
        </xdr:cNvPicPr>
      </xdr:nvPicPr>
      <xdr:blipFill>
        <a:blip xmlns:r="http://schemas.openxmlformats.org/officeDocument/2006/relationships" r:embed="rId2" cstate="print"/>
        <a:srcRect/>
        <a:stretch>
          <a:fillRect/>
        </a:stretch>
      </xdr:blipFill>
      <xdr:spPr bwMode="auto">
        <a:xfrm>
          <a:off x="28575" y="28575"/>
          <a:ext cx="6772275" cy="10058400"/>
        </a:xfrm>
        <a:prstGeom prst="rect">
          <a:avLst/>
        </a:prstGeom>
        <a:noFill/>
        <a:ln>
          <a:noFill/>
          <a:prstDash val="solid"/>
        </a:ln>
      </xdr:spPr>
    </xdr:pic>
    <xdr:clientData/>
  </xdr:twoCellAnchor>
</xdr:wsDr>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Tema de 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bwMode="auto">
        <a:xfrm>
          <a:off x="0" y="0"/>
          <a:ext cx="1" cy="1"/>
        </a:xfrm>
        <a:custGeom>
          <a:avLst/>
          <a:gdLst/>
          <a:ahLst/>
          <a:cxnLst/>
          <a:rect l="0" t="0" r="0" b="0"/>
          <a:pathLst/>
        </a:custGeom>
        <a:solidFill>
          <a:srgbClr val="FFFFFF"/>
        </a:solidFill>
        <a:ln w="9525" cap="flat" cmpd="sng" algn="ctr">
          <a:solidFill>
            <a:srgbClr val="000000"/>
          </a:solidFill>
          <a:prstDash val="solid"/>
          <a:round/>
          <a:headEnd type="none" w="med" len="med"/>
          <a:tailEnd type="none" w="med" len="med"/>
        </a:ln>
        <a:effectLst/>
      </a:spPr>
      <a:bodyPr vertOverflow="clip" wrap="square" lIns="18288" tIns="0" rIns="0" bIns="0" upright="1"/>
      <a:lstStyle/>
    </a:spDef>
    <a:lnDef>
      <a:spPr bwMode="auto">
        <a:xfrm>
          <a:off x="0" y="0"/>
          <a:ext cx="1" cy="1"/>
        </a:xfrm>
        <a:custGeom>
          <a:avLst/>
          <a:gdLst/>
          <a:ahLst/>
          <a:cxnLst/>
          <a:rect l="0" t="0" r="0" b="0"/>
          <a:pathLst/>
        </a:custGeom>
        <a:solidFill>
          <a:srgbClr val="FFFFFF"/>
        </a:solidFill>
        <a:ln w="9525" cap="flat" cmpd="sng" algn="ctr">
          <a:solidFill>
            <a:srgbClr val="000000"/>
          </a:solidFill>
          <a:prstDash val="solid"/>
          <a:round/>
          <a:headEnd type="none" w="med" len="med"/>
          <a:tailEnd type="none" w="med" len="med"/>
        </a:ln>
        <a:effectLst/>
      </a:spPr>
      <a:bodyPr vertOverflow="clip" wrap="square" lIns="18288" tIns="0" rIns="0" bIns="0" upright="1"/>
      <a:lstStyle/>
    </a:lnDef>
  </a:objectDefaults>
  <a:extraClrSchemeLst/>
</a:theme>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8" Type="http://schemas.openxmlformats.org/officeDocument/2006/relationships/hyperlink" Target="mailto:jfiguero@inti.gob.ar" TargetMode="External"/><Relationship Id="rId13" Type="http://schemas.openxmlformats.org/officeDocument/2006/relationships/hyperlink" Target="mailto:lpiedrabuena@inti.gob.ar%20TE:%200341%20153695196" TargetMode="External"/><Relationship Id="rId18" Type="http://schemas.openxmlformats.org/officeDocument/2006/relationships/hyperlink" Target="mailto:jaraujo@inti.gob.ar%20TE:%200379-154207685" TargetMode="External"/><Relationship Id="rId3" Type="http://schemas.openxmlformats.org/officeDocument/2006/relationships/hyperlink" Target="mailto:avagnina@inti.gob.ar%20-%20TE%20011-1566509752" TargetMode="External"/><Relationship Id="rId21" Type="http://schemas.openxmlformats.org/officeDocument/2006/relationships/hyperlink" Target="mailto:apucci@inti.gob.ar" TargetMode="External"/><Relationship Id="rId7" Type="http://schemas.openxmlformats.org/officeDocument/2006/relationships/hyperlink" Target="mailto:elafon@inti.gob.ar%20-%20TE%20011-1557272544" TargetMode="External"/><Relationship Id="rId12" Type="http://schemas.openxmlformats.org/officeDocument/2006/relationships/hyperlink" Target="mailto:agerman@inti.gob.ar%20TE:%200341%20152%20132372" TargetMode="External"/><Relationship Id="rId17" Type="http://schemas.openxmlformats.org/officeDocument/2006/relationships/hyperlink" Target="mailto:gzanutti@inti.gob.ar%20TE:%200342%20155%20494338" TargetMode="External"/><Relationship Id="rId2" Type="http://schemas.openxmlformats.org/officeDocument/2006/relationships/hyperlink" Target="mailto:oguillen@inti.gob.ar%20-%20TE%20011-1533107309" TargetMode="External"/><Relationship Id="rId16" Type="http://schemas.openxmlformats.org/officeDocument/2006/relationships/hyperlink" Target="mailto:piascik@inti.gob.ar%20TE:%200342%20154%20731405" TargetMode="External"/><Relationship Id="rId20" Type="http://schemas.openxmlformats.org/officeDocument/2006/relationships/hyperlink" Target="mailto:quednosayde@inti.gob.ar" TargetMode="External"/><Relationship Id="rId1" Type="http://schemas.openxmlformats.org/officeDocument/2006/relationships/hyperlink" Target="mailto:grottola@inti.gob.ar%201133556773" TargetMode="External"/><Relationship Id="rId6" Type="http://schemas.openxmlformats.org/officeDocument/2006/relationships/hyperlink" Target="mailto:mbaulies@inti.gob.ar%20-%20TE%200351-158141793" TargetMode="External"/><Relationship Id="rId11" Type="http://schemas.openxmlformats.org/officeDocument/2006/relationships/hyperlink" Target="mailto:maroveri@inti.gob.ar%20-%20TE%20011-1560378645" TargetMode="External"/><Relationship Id="rId5" Type="http://schemas.openxmlformats.org/officeDocument/2006/relationships/hyperlink" Target="mailto:mpagot@inti.gob.ar%20-%20TE%20011-1557281013" TargetMode="External"/><Relationship Id="rId15" Type="http://schemas.openxmlformats.org/officeDocument/2006/relationships/hyperlink" Target="mailto:dquevedo@inti.gob.ar%20%20-%20%20TE:%200341%20155%20967156" TargetMode="External"/><Relationship Id="rId23" Type="http://schemas.openxmlformats.org/officeDocument/2006/relationships/comments" Target="../comments2.xml"/><Relationship Id="rId10" Type="http://schemas.openxmlformats.org/officeDocument/2006/relationships/hyperlink" Target="mailto:pcornet@inti.gob.ar%20-%20TE%20011-1557279865" TargetMode="External"/><Relationship Id="rId19" Type="http://schemas.openxmlformats.org/officeDocument/2006/relationships/hyperlink" Target="mailto:psiklosi@inti.gob.ar%202615774172" TargetMode="External"/><Relationship Id="rId4" Type="http://schemas.openxmlformats.org/officeDocument/2006/relationships/hyperlink" Target="mailto:saks@inti.gob.ar%20-%20TE%20011-1557294873" TargetMode="External"/><Relationship Id="rId9" Type="http://schemas.openxmlformats.org/officeDocument/2006/relationships/hyperlink" Target="mailto:gdenot@inti.gob.ar%20-%20TE%20011-1557284370" TargetMode="External"/><Relationship Id="rId14" Type="http://schemas.openxmlformats.org/officeDocument/2006/relationships/hyperlink" Target="mailto:garroyo@inti.gob.ar%20TE:%200341%20152297176" TargetMode="External"/><Relationship Id="rId22"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mailto:aldo.nievas@trivento.com%202613376542" TargetMode="External"/><Relationship Id="rId1" Type="http://schemas.openxmlformats.org/officeDocument/2006/relationships/hyperlink" Target="mailto:aldo.nievas@trivento.com%202613376542" TargetMode="External"/><Relationship Id="rId4" Type="http://schemas.openxmlformats.org/officeDocument/2006/relationships/drawing" Target="../drawings/drawing1.xml"/></Relationships>
</file>

<file path=xl/worksheets/_rels/sheet5.xml.rels><?xml version="1.0" encoding="UTF-8" standalone="yes"?>
<Relationships xmlns="http://schemas.openxmlformats.org/package/2006/relationships"><Relationship Id="rId3" Type="http://schemas.openxmlformats.org/officeDocument/2006/relationships/printerSettings" Target="../printerSettings/printerSettings3.bin"/><Relationship Id="rId2" Type="http://schemas.openxmlformats.org/officeDocument/2006/relationships/hyperlink" Target="https://www.argentina.gob.ar/empresas-acreditadascertificadas" TargetMode="External"/><Relationship Id="rId1" Type="http://schemas.openxmlformats.org/officeDocument/2006/relationships/hyperlink" Target="https://www.inti.gob.ar/areas/metrologia-y-calidad/metrologia/metrologia-legal/empresas-reparadoras-auditadas" TargetMode="External"/><Relationship Id="rId4" Type="http://schemas.openxmlformats.org/officeDocument/2006/relationships/drawing" Target="../drawings/drawing2.xml"/></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4.bin"/></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9.xml.rels><?xml version="1.0" encoding="UTF-8" standalone="yes"?>
<Relationships xmlns="http://schemas.openxmlformats.org/package/2006/relationships"><Relationship Id="rId3" Type="http://schemas.openxmlformats.org/officeDocument/2006/relationships/drawing" Target="../drawings/drawing5.xml"/><Relationship Id="rId2" Type="http://schemas.openxmlformats.org/officeDocument/2006/relationships/printerSettings" Target="../printerSettings/printerSettings5.bin"/><Relationship Id="rId1" Type="http://schemas.openxmlformats.org/officeDocument/2006/relationships/hyperlink" Target="mailto:=@'Acta%20Verificaci&#243;n%20'!K19:L19" TargetMode="External"/><Relationship Id="rId5" Type="http://schemas.openxmlformats.org/officeDocument/2006/relationships/comments" Target="../comments3.xml"/><Relationship Id="rId4" Type="http://schemas.openxmlformats.org/officeDocument/2006/relationships/vmlDrawing" Target="../drawings/vmlDrawing3.vml"/></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4371F7D-60C5-41CE-8872-EA9AA25126AB}">
  <dimension ref="A1:B35"/>
  <sheetViews>
    <sheetView workbookViewId="0">
      <pane ySplit="1" topLeftCell="A7" activePane="bottomLeft" state="frozen"/>
      <selection pane="bottomLeft" activeCell="B29" sqref="B29"/>
    </sheetView>
  </sheetViews>
  <sheetFormatPr baseColWidth="10" defaultColWidth="9.140625" defaultRowHeight="15" x14ac:dyDescent="0.25"/>
  <cols>
    <col min="1" max="1" width="45.7109375" style="755" customWidth="1"/>
    <col min="2" max="2" width="60.7109375" style="755" customWidth="1"/>
    <col min="3" max="16384" width="9.140625" style="755"/>
  </cols>
  <sheetData>
    <row r="1" spans="1:2" ht="24.95" customHeight="1" x14ac:dyDescent="0.25">
      <c r="A1" s="754" t="s">
        <v>684</v>
      </c>
      <c r="B1" s="754" t="s">
        <v>685</v>
      </c>
    </row>
    <row r="2" spans="1:2" ht="24.95" customHeight="1" x14ac:dyDescent="0.25">
      <c r="A2" s="756" t="s">
        <v>741</v>
      </c>
      <c r="B2" s="759">
        <v>45658</v>
      </c>
    </row>
    <row r="3" spans="1:2" x14ac:dyDescent="0.25">
      <c r="A3" s="756" t="s">
        <v>686</v>
      </c>
      <c r="B3" s="758" t="s">
        <v>735</v>
      </c>
    </row>
    <row r="4" spans="1:2" x14ac:dyDescent="0.25">
      <c r="A4" s="756" t="s">
        <v>687</v>
      </c>
      <c r="B4" s="757" t="s">
        <v>736</v>
      </c>
    </row>
    <row r="5" spans="1:2" x14ac:dyDescent="0.25">
      <c r="A5" s="756" t="s">
        <v>688</v>
      </c>
      <c r="B5" s="757" t="s">
        <v>30</v>
      </c>
    </row>
    <row r="6" spans="1:2" x14ac:dyDescent="0.25">
      <c r="A6" s="756" t="s">
        <v>689</v>
      </c>
      <c r="B6" s="757" t="s">
        <v>690</v>
      </c>
    </row>
    <row r="7" spans="1:2" ht="30" x14ac:dyDescent="0.25">
      <c r="A7" s="756" t="s">
        <v>691</v>
      </c>
      <c r="B7" s="757" t="s">
        <v>692</v>
      </c>
    </row>
    <row r="8" spans="1:2" x14ac:dyDescent="0.25">
      <c r="A8" s="756" t="s">
        <v>693</v>
      </c>
      <c r="B8" s="757" t="s">
        <v>30</v>
      </c>
    </row>
    <row r="9" spans="1:2" x14ac:dyDescent="0.25">
      <c r="A9" s="756" t="s">
        <v>694</v>
      </c>
      <c r="B9" s="757" t="s">
        <v>30</v>
      </c>
    </row>
    <row r="10" spans="1:2" x14ac:dyDescent="0.25">
      <c r="A10" s="756" t="s">
        <v>695</v>
      </c>
      <c r="B10" s="757" t="s">
        <v>696</v>
      </c>
    </row>
    <row r="11" spans="1:2" x14ac:dyDescent="0.25">
      <c r="A11" s="756" t="s">
        <v>697</v>
      </c>
      <c r="B11" s="757" t="s">
        <v>698</v>
      </c>
    </row>
    <row r="12" spans="1:2" x14ac:dyDescent="0.25">
      <c r="A12" s="756" t="s">
        <v>699</v>
      </c>
      <c r="B12" s="757" t="s">
        <v>0</v>
      </c>
    </row>
    <row r="13" spans="1:2" x14ac:dyDescent="0.25">
      <c r="A13" s="756" t="s">
        <v>700</v>
      </c>
      <c r="B13" s="757" t="s">
        <v>1</v>
      </c>
    </row>
    <row r="14" spans="1:2" x14ac:dyDescent="0.25">
      <c r="A14" s="756" t="s">
        <v>701</v>
      </c>
      <c r="B14" s="757" t="s">
        <v>702</v>
      </c>
    </row>
    <row r="15" spans="1:2" x14ac:dyDescent="0.25">
      <c r="A15" s="756" t="s">
        <v>703</v>
      </c>
      <c r="B15" s="757" t="s">
        <v>704</v>
      </c>
    </row>
    <row r="16" spans="1:2" x14ac:dyDescent="0.25">
      <c r="A16" s="756" t="s">
        <v>705</v>
      </c>
      <c r="B16" s="757" t="s">
        <v>706</v>
      </c>
    </row>
    <row r="17" spans="1:2" x14ac:dyDescent="0.25">
      <c r="A17" s="756" t="s">
        <v>707</v>
      </c>
      <c r="B17" s="757" t="s">
        <v>737</v>
      </c>
    </row>
    <row r="18" spans="1:2" x14ac:dyDescent="0.25">
      <c r="A18" s="756" t="s">
        <v>708</v>
      </c>
      <c r="B18" s="757" t="s">
        <v>709</v>
      </c>
    </row>
    <row r="19" spans="1:2" x14ac:dyDescent="0.25">
      <c r="A19" s="756" t="s">
        <v>2</v>
      </c>
      <c r="B19" s="757" t="s">
        <v>673</v>
      </c>
    </row>
    <row r="20" spans="1:2" x14ac:dyDescent="0.25">
      <c r="A20" s="756" t="s">
        <v>710</v>
      </c>
      <c r="B20" s="757" t="s">
        <v>711</v>
      </c>
    </row>
    <row r="21" spans="1:2" x14ac:dyDescent="0.25">
      <c r="A21" s="756" t="s">
        <v>712</v>
      </c>
      <c r="B21" s="757" t="s">
        <v>713</v>
      </c>
    </row>
    <row r="22" spans="1:2" x14ac:dyDescent="0.25">
      <c r="A22" s="756" t="s">
        <v>714</v>
      </c>
      <c r="B22" s="757" t="s">
        <v>715</v>
      </c>
    </row>
    <row r="23" spans="1:2" x14ac:dyDescent="0.25">
      <c r="A23" s="756" t="s">
        <v>716</v>
      </c>
      <c r="B23" s="757" t="s">
        <v>711</v>
      </c>
    </row>
    <row r="24" spans="1:2" x14ac:dyDescent="0.25">
      <c r="A24" s="756" t="s">
        <v>717</v>
      </c>
      <c r="B24" s="757" t="s">
        <v>3</v>
      </c>
    </row>
    <row r="25" spans="1:2" x14ac:dyDescent="0.25">
      <c r="A25" s="756" t="s">
        <v>718</v>
      </c>
      <c r="B25" s="757" t="s">
        <v>719</v>
      </c>
    </row>
    <row r="26" spans="1:2" x14ac:dyDescent="0.25">
      <c r="A26" s="756" t="s">
        <v>720</v>
      </c>
      <c r="B26" s="757" t="s">
        <v>721</v>
      </c>
    </row>
    <row r="27" spans="1:2" x14ac:dyDescent="0.25">
      <c r="A27" s="756" t="s">
        <v>722</v>
      </c>
      <c r="B27" s="757" t="s">
        <v>4</v>
      </c>
    </row>
    <row r="28" spans="1:2" x14ac:dyDescent="0.25">
      <c r="A28" s="756" t="s">
        <v>723</v>
      </c>
      <c r="B28" s="757" t="s">
        <v>702</v>
      </c>
    </row>
    <row r="29" spans="1:2" x14ac:dyDescent="0.25">
      <c r="A29" s="756" t="s">
        <v>724</v>
      </c>
      <c r="B29" s="757" t="s">
        <v>704</v>
      </c>
    </row>
    <row r="30" spans="1:2" x14ac:dyDescent="0.25">
      <c r="A30" s="756" t="s">
        <v>725</v>
      </c>
      <c r="B30" s="757" t="s">
        <v>726</v>
      </c>
    </row>
    <row r="31" spans="1:2" x14ac:dyDescent="0.25">
      <c r="A31" s="756" t="s">
        <v>727</v>
      </c>
      <c r="B31" s="757" t="s">
        <v>738</v>
      </c>
    </row>
    <row r="32" spans="1:2" x14ac:dyDescent="0.25">
      <c r="A32" s="756" t="s">
        <v>728</v>
      </c>
      <c r="B32" s="757" t="s">
        <v>729</v>
      </c>
    </row>
    <row r="33" spans="1:2" x14ac:dyDescent="0.25">
      <c r="A33" s="756" t="s">
        <v>730</v>
      </c>
      <c r="B33" s="757" t="s">
        <v>673</v>
      </c>
    </row>
    <row r="34" spans="1:2" x14ac:dyDescent="0.25">
      <c r="A34" s="756" t="s">
        <v>731</v>
      </c>
      <c r="B34" s="757" t="s">
        <v>732</v>
      </c>
    </row>
    <row r="35" spans="1:2" x14ac:dyDescent="0.25">
      <c r="A35" s="756" t="s">
        <v>733</v>
      </c>
      <c r="B35" s="757" t="s">
        <v>734</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Hoja1"/>
  <dimension ref="A1:S73"/>
  <sheetViews>
    <sheetView showGridLines="0" tabSelected="1" defaultGridColor="0" view="pageBreakPreview" topLeftCell="A17" colorId="8" zoomScale="115" zoomScaleNormal="75" zoomScaleSheetLayoutView="115" workbookViewId="0">
      <selection activeCell="B33" sqref="B33"/>
    </sheetView>
  </sheetViews>
  <sheetFormatPr baseColWidth="10" defaultColWidth="13.7109375" defaultRowHeight="12.75" x14ac:dyDescent="0.2"/>
  <cols>
    <col min="1" max="1" width="24.7109375" style="25" customWidth="1"/>
    <col min="2" max="2" width="23.42578125" style="25" customWidth="1"/>
    <col min="3" max="3" width="11.28515625" style="25" customWidth="1"/>
    <col min="4" max="4" width="16.42578125" style="25" customWidth="1"/>
    <col min="5" max="5" width="16" style="25" customWidth="1"/>
    <col min="6" max="6" width="13.140625" style="25" customWidth="1"/>
    <col min="7" max="7" width="17.85546875" style="25" customWidth="1"/>
    <col min="8" max="8" width="13.7109375" style="25" customWidth="1"/>
    <col min="9" max="9" width="25.85546875" style="25" customWidth="1"/>
    <col min="10" max="11" width="13.7109375" style="25" customWidth="1"/>
    <col min="12" max="12" width="67.7109375" style="25" customWidth="1"/>
    <col min="13" max="13" width="13.7109375" style="25" customWidth="1"/>
    <col min="14" max="14" width="29.85546875" style="25" customWidth="1"/>
    <col min="15" max="15" width="13.7109375" style="25" customWidth="1"/>
    <col min="16" max="16" width="44.42578125" style="25" customWidth="1"/>
    <col min="17" max="18" width="13.7109375" style="25" customWidth="1"/>
    <col min="19" max="19" width="45.7109375" style="25" customWidth="1"/>
    <col min="20" max="20" width="13.7109375" style="25" customWidth="1"/>
    <col min="21" max="16384" width="13.7109375" style="25"/>
  </cols>
  <sheetData>
    <row r="1" spans="1:19" ht="15.75" customHeight="1" x14ac:dyDescent="0.2">
      <c r="A1" s="806" t="s">
        <v>5</v>
      </c>
      <c r="B1" s="765"/>
      <c r="C1" s="765"/>
      <c r="D1" s="765"/>
      <c r="E1" s="765"/>
      <c r="F1" s="765"/>
      <c r="G1" s="765"/>
      <c r="I1" s="352"/>
      <c r="S1" s="25" t="s">
        <v>6</v>
      </c>
    </row>
    <row r="2" spans="1:19" ht="17.25" customHeight="1" x14ac:dyDescent="0.2">
      <c r="D2" s="681" t="s">
        <v>7</v>
      </c>
      <c r="E2" s="681" t="s">
        <v>8</v>
      </c>
      <c r="F2" s="681" t="s">
        <v>9</v>
      </c>
      <c r="H2" s="678"/>
      <c r="I2" s="679" t="s">
        <v>10</v>
      </c>
      <c r="J2" s="815" t="str">
        <f>CONCATENATE(D3, " de ",E3, " de ",F3)</f>
        <v>1 de enero de 2025</v>
      </c>
      <c r="K2" s="765"/>
      <c r="L2" s="678"/>
      <c r="S2" s="25" t="s">
        <v>11</v>
      </c>
    </row>
    <row r="3" spans="1:19" ht="12.75" customHeight="1" x14ac:dyDescent="0.2">
      <c r="C3" s="491" t="s">
        <v>12</v>
      </c>
      <c r="D3" s="676">
        <f>IFERROR(DAY(_xlfn.XLOOKUP("Fecha estimada de verificación",'datos vpe'!A:A,'datos vpe'!B:B,"")),"")</f>
        <v>1</v>
      </c>
      <c r="E3" s="677" t="str">
        <f>IFERROR(TEXT(_xlfn.XLOOKUP("Fecha estimada de verificación",'datos vpe'!A:A,'datos vpe'!B:B,""),"mmmm"),"")</f>
        <v>enero</v>
      </c>
      <c r="F3" s="676">
        <f>IFERROR(YEAR(_xlfn.XLOOKUP("Fecha estimada de verificación",'datos vpe'!A:A,'datos vpe'!B:B,"")),"")</f>
        <v>2025</v>
      </c>
      <c r="H3" s="675"/>
      <c r="I3" s="679" t="s">
        <v>13</v>
      </c>
      <c r="J3" s="815" t="str">
        <f>CONCATENATE(D3, " de ",E3, " de ",F3+2)</f>
        <v>1 de enero de 2027</v>
      </c>
      <c r="K3" s="765"/>
      <c r="L3" s="675"/>
    </row>
    <row r="4" spans="1:19" s="22" customFormat="1" ht="12.75" customHeight="1" x14ac:dyDescent="0.2">
      <c r="A4" s="491" t="s">
        <v>14</v>
      </c>
      <c r="B4" s="572" t="str">
        <f>'datos vpe'!B3</f>
        <v>307-64088</v>
      </c>
      <c r="C4" s="23" t="s">
        <v>15</v>
      </c>
      <c r="D4" s="811" t="str">
        <f>'datos vpe'!B11</f>
        <v>COSTA DE ARAUJO</v>
      </c>
      <c r="E4" s="780"/>
      <c r="F4" s="23"/>
      <c r="G4" s="223"/>
      <c r="H4" s="822"/>
      <c r="I4" s="795"/>
      <c r="J4" s="795"/>
      <c r="K4" s="795"/>
      <c r="L4" s="795"/>
      <c r="S4" s="25" t="s">
        <v>16</v>
      </c>
    </row>
    <row r="5" spans="1:19" s="22" customFormat="1" ht="12.75" customHeight="1" x14ac:dyDescent="0.2">
      <c r="A5" s="23" t="str">
        <f>IF(ISBLANK(B17),"",VLOOKUP('Identificación del Instrumento'!$B$17,$L$28:$Q$31,6,FALSE))</f>
        <v>VPE Nº:</v>
      </c>
      <c r="B5" s="569" t="str">
        <f>'datos vpe'!B4</f>
        <v>93084</v>
      </c>
      <c r="C5" s="23" t="s">
        <v>17</v>
      </c>
      <c r="D5" s="811" t="s">
        <v>0</v>
      </c>
      <c r="E5" s="780"/>
      <c r="F5" s="23"/>
      <c r="G5" s="223"/>
      <c r="H5" s="823"/>
      <c r="I5" s="795"/>
      <c r="J5" s="623"/>
      <c r="S5" s="25" t="s">
        <v>18</v>
      </c>
    </row>
    <row r="6" spans="1:19" ht="12" customHeight="1" x14ac:dyDescent="0.2">
      <c r="A6" s="21"/>
      <c r="B6" s="21"/>
      <c r="C6" s="22"/>
      <c r="D6" s="21"/>
      <c r="E6" s="21"/>
      <c r="F6" s="21"/>
      <c r="G6" s="21"/>
      <c r="H6" s="765"/>
      <c r="I6" s="765"/>
      <c r="J6" s="673"/>
      <c r="K6" s="77"/>
      <c r="L6" s="77"/>
      <c r="S6" s="25" t="s">
        <v>19</v>
      </c>
    </row>
    <row r="7" spans="1:19" ht="12.75" customHeight="1" x14ac:dyDescent="0.2">
      <c r="A7" s="824" t="s">
        <v>20</v>
      </c>
      <c r="B7" s="765"/>
      <c r="C7" s="765"/>
      <c r="D7" s="765"/>
      <c r="E7" s="765"/>
      <c r="F7" s="765"/>
      <c r="G7" s="765"/>
      <c r="H7" s="765"/>
      <c r="I7" s="765"/>
      <c r="J7" s="623"/>
      <c r="K7" s="77"/>
      <c r="L7" s="77"/>
      <c r="S7" s="25" t="s">
        <v>21</v>
      </c>
    </row>
    <row r="8" spans="1:19" ht="12.75" customHeight="1" x14ac:dyDescent="0.2">
      <c r="A8" s="765"/>
      <c r="B8" s="765"/>
      <c r="C8" s="765"/>
      <c r="D8" s="765"/>
      <c r="E8" s="765"/>
      <c r="F8" s="765"/>
      <c r="G8" s="765"/>
      <c r="H8" s="765"/>
      <c r="I8" s="765"/>
      <c r="J8" s="623"/>
      <c r="K8" s="77"/>
      <c r="L8" s="421" t="s">
        <v>22</v>
      </c>
      <c r="M8" s="25">
        <v>2</v>
      </c>
      <c r="N8" s="401"/>
      <c r="S8" s="25" t="s">
        <v>23</v>
      </c>
    </row>
    <row r="9" spans="1:19" ht="12.75" customHeight="1" x14ac:dyDescent="0.2">
      <c r="A9" s="765"/>
      <c r="B9" s="765"/>
      <c r="C9" s="765"/>
      <c r="D9" s="765"/>
      <c r="E9" s="765"/>
      <c r="F9" s="765"/>
      <c r="G9" s="765"/>
      <c r="H9" s="765"/>
      <c r="I9" s="765"/>
      <c r="J9" s="623"/>
      <c r="K9" s="77"/>
      <c r="L9" s="421" t="s">
        <v>24</v>
      </c>
      <c r="M9" s="25">
        <v>1</v>
      </c>
      <c r="N9" s="401"/>
      <c r="S9" s="25" t="s">
        <v>25</v>
      </c>
    </row>
    <row r="10" spans="1:19" ht="15.75" customHeight="1" x14ac:dyDescent="0.2">
      <c r="A10" s="765"/>
      <c r="B10" s="765"/>
      <c r="C10" s="765"/>
      <c r="D10" s="765"/>
      <c r="E10" s="765"/>
      <c r="F10" s="765"/>
      <c r="G10" s="765"/>
      <c r="H10" s="517"/>
      <c r="I10" s="517"/>
      <c r="J10" s="226"/>
      <c r="K10" s="77"/>
      <c r="L10" s="421" t="s">
        <v>26</v>
      </c>
      <c r="N10" s="402"/>
      <c r="S10" s="25" t="s">
        <v>27</v>
      </c>
    </row>
    <row r="11" spans="1:19" ht="15.75" customHeight="1" x14ac:dyDescent="0.2">
      <c r="A11" s="22"/>
      <c r="B11" s="814"/>
      <c r="C11" s="786"/>
      <c r="D11" s="786"/>
      <c r="E11" s="786"/>
      <c r="F11" s="786"/>
      <c r="G11" s="786"/>
      <c r="H11" s="517"/>
      <c r="I11" s="517"/>
      <c r="J11" s="226"/>
      <c r="K11" s="77"/>
      <c r="L11" s="77" t="s">
        <v>28</v>
      </c>
      <c r="N11" s="401"/>
      <c r="S11" s="25" t="s">
        <v>29</v>
      </c>
    </row>
    <row r="12" spans="1:19" ht="15.75" customHeight="1" x14ac:dyDescent="0.2">
      <c r="A12" s="22"/>
      <c r="B12" s="23"/>
      <c r="C12" s="729"/>
      <c r="D12" s="22"/>
      <c r="E12" s="23"/>
      <c r="F12" s="729"/>
      <c r="G12" s="22"/>
      <c r="H12" s="517"/>
      <c r="I12" s="517"/>
      <c r="J12" s="25" t="s">
        <v>30</v>
      </c>
      <c r="L12" s="77" t="s">
        <v>28</v>
      </c>
      <c r="N12" s="401"/>
      <c r="S12" s="25" t="s">
        <v>31</v>
      </c>
    </row>
    <row r="13" spans="1:19" ht="15.75" customHeight="1" x14ac:dyDescent="0.2">
      <c r="A13" s="22"/>
      <c r="B13" s="22"/>
      <c r="C13" s="22"/>
      <c r="D13" s="22"/>
      <c r="E13" s="22"/>
      <c r="F13" s="22"/>
      <c r="G13" s="22"/>
      <c r="H13" s="517"/>
      <c r="I13" s="517"/>
      <c r="L13" s="77" t="s">
        <v>28</v>
      </c>
      <c r="N13" s="401"/>
      <c r="S13" s="25" t="s">
        <v>32</v>
      </c>
    </row>
    <row r="14" spans="1:19" ht="12.75" customHeight="1" x14ac:dyDescent="0.2">
      <c r="A14" s="795" t="s">
        <v>33</v>
      </c>
      <c r="B14" s="765"/>
      <c r="C14" s="779" t="str">
        <f>'datos vpe'!B6</f>
        <v>Marolio S.A.</v>
      </c>
      <c r="D14" s="780"/>
      <c r="E14" s="780"/>
      <c r="F14" s="780"/>
      <c r="G14" s="780"/>
      <c r="H14" s="517"/>
      <c r="I14" s="517"/>
      <c r="L14" s="77" t="s">
        <v>34</v>
      </c>
      <c r="N14" s="402" t="s">
        <v>30</v>
      </c>
      <c r="S14" s="25" t="s">
        <v>0</v>
      </c>
    </row>
    <row r="15" spans="1:19" x14ac:dyDescent="0.2">
      <c r="A15" s="352" t="s">
        <v>35</v>
      </c>
      <c r="B15" s="779" t="str">
        <f>'datos vpe'!B7</f>
        <v>Empedrado 2531 - Ciudad Autónoma de Buenos Aires - Buenos Aires</v>
      </c>
      <c r="C15" s="780"/>
      <c r="D15" s="780"/>
      <c r="E15" s="780"/>
      <c r="F15" s="780"/>
      <c r="G15" s="780"/>
      <c r="S15" s="25" t="s">
        <v>36</v>
      </c>
    </row>
    <row r="16" spans="1:19" ht="12" customHeight="1" x14ac:dyDescent="0.2">
      <c r="A16" s="24" t="str">
        <f>CONCATENATE(IF(F16="Ciudad Autónoma de Buenos Aires","","Localidad: "))</f>
        <v/>
      </c>
      <c r="B16" s="813"/>
      <c r="C16" s="769"/>
      <c r="D16" s="769"/>
      <c r="E16" s="65" t="str">
        <f>CONCATENATE(IF(F16="Ciudad Autónoma de Buenos Aires"," Localidad: "," Provincia: "))</f>
        <v xml:space="preserve"> Localidad: </v>
      </c>
      <c r="F16" s="789" t="s">
        <v>19</v>
      </c>
      <c r="G16" s="790"/>
      <c r="J16" s="412"/>
      <c r="S16" s="25" t="s">
        <v>37</v>
      </c>
    </row>
    <row r="17" spans="1:19" ht="22.5" customHeight="1" x14ac:dyDescent="0.2">
      <c r="A17" s="215" t="s">
        <v>38</v>
      </c>
      <c r="B17" s="768" t="s">
        <v>24</v>
      </c>
      <c r="C17" s="769"/>
      <c r="D17" s="769"/>
      <c r="E17" s="507" t="s">
        <v>39</v>
      </c>
      <c r="F17" s="768" t="s">
        <v>24</v>
      </c>
      <c r="G17" s="769"/>
      <c r="J17" s="412"/>
      <c r="S17" s="25" t="s">
        <v>40</v>
      </c>
    </row>
    <row r="18" spans="1:19" ht="15.75" customHeight="1" x14ac:dyDescent="0.2">
      <c r="A18" s="794" t="s">
        <v>41</v>
      </c>
      <c r="B18" s="765"/>
      <c r="C18" s="820" t="s">
        <v>42</v>
      </c>
      <c r="D18" s="821"/>
      <c r="E18" s="821"/>
      <c r="F18" s="821"/>
      <c r="G18" s="821"/>
      <c r="H18" s="680"/>
      <c r="S18" s="25" t="s">
        <v>43</v>
      </c>
    </row>
    <row r="19" spans="1:19" x14ac:dyDescent="0.2">
      <c r="A19" s="352" t="s">
        <v>44</v>
      </c>
      <c r="B19" s="802" t="str">
        <f>'datos vpe'!B10</f>
        <v>RUTA PROVINCIAL Nº 20 S/N</v>
      </c>
      <c r="C19" s="780"/>
      <c r="D19" s="780"/>
      <c r="E19" s="780"/>
      <c r="F19" s="780"/>
      <c r="G19" s="780"/>
      <c r="H19" s="680"/>
      <c r="I19" s="25" t="b">
        <f>AND(ISBLANK(F20),ISBLANK(B19))</f>
        <v>0</v>
      </c>
      <c r="S19" s="25" t="s">
        <v>45</v>
      </c>
    </row>
    <row r="20" spans="1:19" x14ac:dyDescent="0.2">
      <c r="A20" s="24" t="str">
        <f>CONCATENATE(IF(F20="Ciudad Autónoma de Buenos Aires","","Localidad (*): "))</f>
        <v xml:space="preserve">Localidad (*): </v>
      </c>
      <c r="B20" s="797" t="str">
        <f>'datos vpe'!B11</f>
        <v>COSTA DE ARAUJO</v>
      </c>
      <c r="C20" s="773"/>
      <c r="D20" s="773"/>
      <c r="E20" s="65" t="str">
        <f>CONCATENATE(IF(F20="Ciudad Autónoma de Buenos Aires"," Localidad: (*) "," Provincia (*): "))</f>
        <v xml:space="preserve"> Provincia (*): </v>
      </c>
      <c r="F20" s="797" t="str">
        <f>D5</f>
        <v>Mendoza</v>
      </c>
      <c r="G20" s="773"/>
      <c r="H20" s="680"/>
      <c r="I20" s="506"/>
      <c r="S20" s="25" t="s">
        <v>46</v>
      </c>
    </row>
    <row r="21" spans="1:19" ht="12.75" customHeight="1" thickBot="1" x14ac:dyDescent="0.25">
      <c r="A21" s="798" t="s">
        <v>47</v>
      </c>
      <c r="B21" s="765"/>
      <c r="C21" s="765"/>
      <c r="D21" s="765"/>
      <c r="E21" s="765"/>
      <c r="F21" s="22"/>
      <c r="G21" s="22"/>
      <c r="S21" s="25" t="s">
        <v>48</v>
      </c>
    </row>
    <row r="22" spans="1:19" ht="12.75" customHeight="1" thickBot="1" x14ac:dyDescent="0.25">
      <c r="A22" s="24" t="s">
        <v>49</v>
      </c>
      <c r="B22" s="817" t="s">
        <v>1</v>
      </c>
      <c r="C22" s="780"/>
      <c r="D22" s="780"/>
      <c r="E22" s="780"/>
      <c r="F22" s="780"/>
      <c r="G22" s="780"/>
      <c r="J22" s="216">
        <f>IF(ISBLANK(B22),"",VLOOKUP(B22,$K$40:$O$51,5,FALSE))</f>
        <v>1</v>
      </c>
      <c r="S22" s="25" t="s">
        <v>50</v>
      </c>
    </row>
    <row r="23" spans="1:19" s="21" customFormat="1" ht="18.75" customHeight="1" thickBot="1" x14ac:dyDescent="0.25">
      <c r="A23" s="737" t="s">
        <v>51</v>
      </c>
      <c r="B23" s="738" t="str">
        <f>'datos vpe'!B14</f>
        <v>INDUSTRIAL SYSTEMS S.A.</v>
      </c>
      <c r="C23" s="739" t="s">
        <v>52</v>
      </c>
      <c r="D23" s="738" t="str">
        <f>'datos vpe'!B28</f>
        <v>INDUSTRIAL SYSTEMS S.A.</v>
      </c>
      <c r="E23" s="674" t="s">
        <v>53</v>
      </c>
      <c r="F23" s="807" t="s">
        <v>4</v>
      </c>
      <c r="G23" s="808"/>
      <c r="S23" s="21" t="s">
        <v>54</v>
      </c>
    </row>
    <row r="24" spans="1:19" ht="16.5" customHeight="1" x14ac:dyDescent="0.2">
      <c r="A24" s="495" t="s">
        <v>55</v>
      </c>
      <c r="B24" s="796" t="str">
        <f>'datos vpe'!B15</f>
        <v>BIANCHETTI</v>
      </c>
      <c r="C24" s="796"/>
      <c r="D24" s="796"/>
      <c r="E24" s="355" t="s">
        <v>52</v>
      </c>
      <c r="F24" s="760" t="str">
        <f>'datos vpe'!B29</f>
        <v>BIANCHETTI</v>
      </c>
      <c r="G24" s="751"/>
      <c r="H24" s="21"/>
      <c r="S24" s="25" t="s">
        <v>56</v>
      </c>
    </row>
    <row r="25" spans="1:19" ht="14.25" x14ac:dyDescent="0.2">
      <c r="A25" s="495" t="s">
        <v>57</v>
      </c>
      <c r="B25" s="809" t="str">
        <f>'datos vpe'!B16</f>
        <v>TruckTRONIX 8020</v>
      </c>
      <c r="C25" s="809"/>
      <c r="D25" s="809"/>
      <c r="E25" s="355" t="s">
        <v>52</v>
      </c>
      <c r="F25" s="752" t="str">
        <f>'datos vpe'!B30</f>
        <v>PB 10.000</v>
      </c>
      <c r="G25" s="751"/>
      <c r="H25" s="21"/>
      <c r="S25" s="25" t="s">
        <v>58</v>
      </c>
    </row>
    <row r="26" spans="1:19" ht="14.25" x14ac:dyDescent="0.2">
      <c r="A26" s="495" t="s">
        <v>59</v>
      </c>
      <c r="B26" s="809" t="str">
        <f>'datos vpe'!B17</f>
        <v>28082017214</v>
      </c>
      <c r="C26" s="809"/>
      <c r="D26" s="809"/>
      <c r="E26" s="355" t="s">
        <v>52</v>
      </c>
      <c r="F26" s="752" t="str">
        <f>'datos vpe'!B31</f>
        <v>28082017215</v>
      </c>
      <c r="G26" s="751"/>
      <c r="H26" s="21"/>
    </row>
    <row r="27" spans="1:19" ht="12.75" customHeight="1" x14ac:dyDescent="0.2">
      <c r="A27" s="495" t="s">
        <v>60</v>
      </c>
      <c r="B27" s="809" t="str">
        <f>'datos vpe'!B18</f>
        <v>BF.80-2172</v>
      </c>
      <c r="C27" s="809"/>
      <c r="D27" s="809"/>
      <c r="E27" s="355" t="s">
        <v>52</v>
      </c>
      <c r="F27" s="752" t="str">
        <f>'datos vpe'!B32</f>
        <v>BF.60-1624</v>
      </c>
      <c r="G27" s="751"/>
      <c r="H27" s="21"/>
    </row>
    <row r="28" spans="1:19" ht="14.25" x14ac:dyDescent="0.2">
      <c r="A28" s="740" t="s">
        <v>2</v>
      </c>
      <c r="B28" s="753" t="str">
        <f>'datos vpe'!B19</f>
        <v>Argentina</v>
      </c>
      <c r="C28" s="751"/>
      <c r="D28" s="751"/>
      <c r="E28" s="355" t="s">
        <v>52</v>
      </c>
      <c r="F28" s="753" t="str">
        <f>'datos vpe'!B33</f>
        <v>Argentina</v>
      </c>
      <c r="G28" s="741"/>
      <c r="H28" s="21"/>
      <c r="K28" s="77" t="s">
        <v>3</v>
      </c>
      <c r="L28" s="421" t="s">
        <v>22</v>
      </c>
      <c r="M28" s="77" t="s">
        <v>4</v>
      </c>
      <c r="N28" s="25">
        <v>10</v>
      </c>
      <c r="O28" s="77" t="s">
        <v>61</v>
      </c>
      <c r="P28" s="212" t="s">
        <v>62</v>
      </c>
      <c r="Q28" s="352" t="s">
        <v>63</v>
      </c>
    </row>
    <row r="29" spans="1:19" ht="12.75" customHeight="1" x14ac:dyDescent="0.2">
      <c r="A29" s="791" t="s">
        <v>64</v>
      </c>
      <c r="B29" s="765"/>
      <c r="C29" s="765"/>
      <c r="D29" s="763">
        <v>80000</v>
      </c>
      <c r="E29" s="22" t="s">
        <v>65</v>
      </c>
      <c r="F29" s="528">
        <f>IF(COUNTA(F30,B30)=2,VLOOKUP(F30,K38:L39,2,FALSE)*D30,"")</f>
        <v>1000</v>
      </c>
      <c r="G29" s="22" t="s">
        <v>66</v>
      </c>
      <c r="K29" s="77" t="s">
        <v>67</v>
      </c>
      <c r="L29" s="421" t="s">
        <v>24</v>
      </c>
      <c r="M29" s="77" t="s">
        <v>68</v>
      </c>
      <c r="N29" s="25">
        <v>20</v>
      </c>
      <c r="O29" s="77" t="s">
        <v>69</v>
      </c>
      <c r="P29" s="212" t="s">
        <v>24</v>
      </c>
      <c r="Q29" s="352" t="s">
        <v>70</v>
      </c>
    </row>
    <row r="30" spans="1:19" ht="12.75" customHeight="1" x14ac:dyDescent="0.2">
      <c r="A30" s="23" t="s">
        <v>71</v>
      </c>
      <c r="B30" s="763">
        <v>20</v>
      </c>
      <c r="C30" s="24" t="str">
        <f>IF($F$23="Mecánica","kg           d=dt=","kg   dd=dt=")</f>
        <v>kg   dd=dt=</v>
      </c>
      <c r="D30" s="528">
        <f>IF(B30&lt;&gt;0,B30,"")</f>
        <v>20</v>
      </c>
      <c r="E30" s="22" t="s">
        <v>72</v>
      </c>
      <c r="F30" s="529" t="s">
        <v>3</v>
      </c>
      <c r="G30" s="22"/>
      <c r="I30" s="352" t="str">
        <f>IF($F$23="Mecánica","d=dt=","dd=dt=")</f>
        <v>dd=dt=</v>
      </c>
      <c r="K30" s="77"/>
      <c r="L30" s="421" t="s">
        <v>26</v>
      </c>
      <c r="M30" s="77" t="s">
        <v>73</v>
      </c>
      <c r="N30" s="25">
        <v>0.1</v>
      </c>
      <c r="P30" s="212" t="s">
        <v>74</v>
      </c>
      <c r="Q30" s="25" t="s">
        <v>30</v>
      </c>
    </row>
    <row r="31" spans="1:19" ht="27.75" customHeight="1" x14ac:dyDescent="0.2">
      <c r="A31" s="730" t="s">
        <v>75</v>
      </c>
      <c r="B31" s="731" t="str">
        <f>'datos vpe'!B25</f>
        <v>237/2010</v>
      </c>
      <c r="C31" s="58"/>
      <c r="D31" s="58"/>
      <c r="E31" s="718" t="s">
        <v>52</v>
      </c>
      <c r="F31" s="735" t="str">
        <f>'datos vpe'!B34</f>
        <v>607/1999</v>
      </c>
      <c r="G31" s="22"/>
      <c r="L31" s="421" t="s">
        <v>34</v>
      </c>
      <c r="N31" s="25">
        <v>1</v>
      </c>
      <c r="P31" s="212" t="s">
        <v>76</v>
      </c>
      <c r="Q31" s="352" t="s">
        <v>63</v>
      </c>
    </row>
    <row r="32" spans="1:19" ht="42.75" customHeight="1" x14ac:dyDescent="0.2">
      <c r="A32" s="730" t="s">
        <v>77</v>
      </c>
      <c r="B32" s="732" t="str">
        <f>'datos vpe'!B26</f>
        <v>8 de abril de 2010</v>
      </c>
      <c r="C32" s="58"/>
      <c r="D32" s="58"/>
      <c r="E32" s="718" t="s">
        <v>52</v>
      </c>
      <c r="F32" s="736" t="str">
        <f>'datos vpe'!B35</f>
        <v>20 de mayo de 1999</v>
      </c>
      <c r="G32" s="22"/>
      <c r="L32" s="421"/>
      <c r="P32" s="212"/>
      <c r="Q32" s="352"/>
    </row>
    <row r="33" spans="1:17" ht="42.75" customHeight="1" x14ac:dyDescent="0.2">
      <c r="A33" s="733" t="s">
        <v>78</v>
      </c>
      <c r="B33" s="762" t="s">
        <v>79</v>
      </c>
      <c r="C33" s="58"/>
      <c r="D33" s="58"/>
      <c r="E33" s="718"/>
      <c r="F33" s="719"/>
      <c r="G33" s="22"/>
      <c r="I33" s="742" t="s">
        <v>80</v>
      </c>
      <c r="J33" s="742">
        <v>123</v>
      </c>
      <c r="L33" s="421"/>
      <c r="P33" s="212"/>
      <c r="Q33" s="352"/>
    </row>
    <row r="34" spans="1:17" ht="42.75" customHeight="1" x14ac:dyDescent="0.2">
      <c r="A34" s="733" t="s">
        <v>81</v>
      </c>
      <c r="B34" s="734" t="str">
        <f>VLOOKUP($B$33,$I$33:$J$58,2,FALSE)</f>
        <v>30-70790202-3</v>
      </c>
      <c r="C34" s="58"/>
      <c r="D34" s="58"/>
      <c r="E34" s="718"/>
      <c r="F34" s="719"/>
      <c r="G34" s="22"/>
      <c r="I34" s="743" t="s">
        <v>82</v>
      </c>
      <c r="J34" s="743">
        <v>456</v>
      </c>
      <c r="L34" s="421"/>
      <c r="P34" s="212"/>
      <c r="Q34" s="352"/>
    </row>
    <row r="35" spans="1:17" ht="13.5" customHeight="1" thickBot="1" x14ac:dyDescent="0.25">
      <c r="A35" s="795" t="s">
        <v>83</v>
      </c>
      <c r="B35" s="765"/>
      <c r="C35" s="765"/>
      <c r="D35" s="22"/>
      <c r="E35" s="22"/>
      <c r="F35" s="22"/>
      <c r="G35" s="22"/>
      <c r="I35" s="743" t="s">
        <v>84</v>
      </c>
      <c r="J35" s="743" t="s">
        <v>746</v>
      </c>
      <c r="N35" s="25">
        <v>2</v>
      </c>
      <c r="P35" s="212" t="s">
        <v>85</v>
      </c>
    </row>
    <row r="36" spans="1:17" x14ac:dyDescent="0.2">
      <c r="A36" s="782" t="s">
        <v>86</v>
      </c>
      <c r="B36" s="783"/>
      <c r="C36" s="783"/>
      <c r="D36" s="783"/>
      <c r="E36" s="784"/>
      <c r="F36" s="792" t="s">
        <v>69</v>
      </c>
      <c r="G36" s="793"/>
      <c r="I36" s="743" t="s">
        <v>79</v>
      </c>
      <c r="J36" s="743" t="s">
        <v>87</v>
      </c>
      <c r="N36" s="25">
        <v>0.5</v>
      </c>
      <c r="P36" s="212" t="s">
        <v>88</v>
      </c>
    </row>
    <row r="37" spans="1:17" ht="14.25" customHeight="1" x14ac:dyDescent="0.2">
      <c r="A37" s="778" t="s">
        <v>89</v>
      </c>
      <c r="B37" s="773"/>
      <c r="C37" s="773"/>
      <c r="D37" s="773"/>
      <c r="E37" s="774"/>
      <c r="F37" s="799" t="s">
        <v>69</v>
      </c>
      <c r="G37" s="800"/>
      <c r="I37" s="743" t="s">
        <v>739</v>
      </c>
      <c r="J37" s="743" t="s">
        <v>740</v>
      </c>
      <c r="P37" s="212" t="s">
        <v>90</v>
      </c>
      <c r="Q37" s="25" t="s">
        <v>30</v>
      </c>
    </row>
    <row r="38" spans="1:17" ht="12.75" customHeight="1" x14ac:dyDescent="0.2">
      <c r="A38" s="816" t="s">
        <v>91</v>
      </c>
      <c r="B38" s="773"/>
      <c r="C38" s="773"/>
      <c r="D38" s="773"/>
      <c r="E38" s="774"/>
      <c r="F38" s="799" t="s">
        <v>69</v>
      </c>
      <c r="G38" s="800"/>
      <c r="I38" s="744" t="s">
        <v>92</v>
      </c>
      <c r="J38" s="744" t="s">
        <v>93</v>
      </c>
      <c r="K38" s="25" t="s">
        <v>3</v>
      </c>
      <c r="L38" s="25">
        <v>50</v>
      </c>
      <c r="P38" s="212" t="s">
        <v>94</v>
      </c>
    </row>
    <row r="39" spans="1:17" x14ac:dyDescent="0.2">
      <c r="A39" s="772" t="s">
        <v>95</v>
      </c>
      <c r="B39" s="773"/>
      <c r="C39" s="773"/>
      <c r="D39" s="773"/>
      <c r="E39" s="774"/>
      <c r="F39" s="799" t="s">
        <v>61</v>
      </c>
      <c r="G39" s="800"/>
      <c r="I39" s="744" t="s">
        <v>96</v>
      </c>
      <c r="J39" s="744" t="s">
        <v>97</v>
      </c>
      <c r="K39" s="25" t="s">
        <v>67</v>
      </c>
      <c r="L39" s="25">
        <v>10</v>
      </c>
      <c r="P39" s="212" t="s">
        <v>98</v>
      </c>
    </row>
    <row r="40" spans="1:17" ht="15.75" customHeight="1" thickBot="1" x14ac:dyDescent="0.25">
      <c r="A40" s="375" t="s">
        <v>99</v>
      </c>
      <c r="B40" s="775"/>
      <c r="C40" s="776"/>
      <c r="D40" s="776"/>
      <c r="E40" s="777"/>
      <c r="F40" s="787" t="s">
        <v>74</v>
      </c>
      <c r="G40" s="788"/>
      <c r="I40" s="744" t="s">
        <v>100</v>
      </c>
      <c r="J40" s="744" t="s">
        <v>101</v>
      </c>
      <c r="K40" s="214" t="s">
        <v>1</v>
      </c>
      <c r="O40" s="25">
        <v>1</v>
      </c>
      <c r="P40" s="212"/>
    </row>
    <row r="41" spans="1:17" ht="15" customHeight="1" x14ac:dyDescent="0.2">
      <c r="A41" s="22"/>
      <c r="B41" s="22"/>
      <c r="C41" s="22"/>
      <c r="D41" s="22"/>
      <c r="E41" s="22"/>
      <c r="F41" s="22"/>
      <c r="G41" s="22"/>
      <c r="I41" s="743" t="s">
        <v>102</v>
      </c>
      <c r="J41" s="743">
        <v>4</v>
      </c>
      <c r="K41" s="214" t="s">
        <v>103</v>
      </c>
      <c r="O41" s="25">
        <v>1</v>
      </c>
      <c r="P41" s="212"/>
    </row>
    <row r="42" spans="1:17" ht="15" customHeight="1" x14ac:dyDescent="0.2">
      <c r="A42" s="803" t="s">
        <v>104</v>
      </c>
      <c r="B42" s="765"/>
      <c r="C42" s="765"/>
      <c r="D42" s="22"/>
      <c r="E42" s="22"/>
      <c r="F42" s="22"/>
      <c r="G42" s="22"/>
      <c r="I42" s="744" t="s">
        <v>105</v>
      </c>
      <c r="J42" s="744" t="s">
        <v>106</v>
      </c>
      <c r="K42" s="214" t="s">
        <v>107</v>
      </c>
      <c r="O42" s="25">
        <v>2</v>
      </c>
      <c r="P42" s="232"/>
    </row>
    <row r="43" spans="1:17" ht="15" customHeight="1" x14ac:dyDescent="0.2">
      <c r="A43" s="785" t="s">
        <v>108</v>
      </c>
      <c r="B43" s="786"/>
      <c r="C43" s="786"/>
      <c r="D43" s="786"/>
      <c r="E43" s="786"/>
      <c r="F43" s="786"/>
      <c r="G43" s="786"/>
      <c r="I43" s="744" t="s">
        <v>109</v>
      </c>
      <c r="J43" s="744" t="s">
        <v>110</v>
      </c>
      <c r="K43" s="214" t="s">
        <v>111</v>
      </c>
      <c r="O43" s="25">
        <v>2</v>
      </c>
      <c r="P43" s="232"/>
    </row>
    <row r="44" spans="1:17" ht="15" customHeight="1" x14ac:dyDescent="0.2">
      <c r="A44" s="819"/>
      <c r="B44" s="765"/>
      <c r="C44" s="805"/>
      <c r="D44" s="765"/>
      <c r="E44" s="765"/>
      <c r="F44" s="765"/>
      <c r="G44" s="765"/>
      <c r="I44" s="744" t="s">
        <v>112</v>
      </c>
      <c r="J44" s="744" t="s">
        <v>113</v>
      </c>
      <c r="K44" s="214" t="s">
        <v>114</v>
      </c>
      <c r="O44" s="25">
        <v>2</v>
      </c>
      <c r="P44" s="232"/>
    </row>
    <row r="45" spans="1:17" x14ac:dyDescent="0.2">
      <c r="A45" s="503"/>
      <c r="B45" s="503"/>
      <c r="C45" s="503"/>
      <c r="D45" s="503"/>
      <c r="E45" s="503"/>
      <c r="F45" s="503"/>
      <c r="G45" s="503"/>
      <c r="I45" s="743" t="s">
        <v>115</v>
      </c>
      <c r="J45" s="743">
        <v>8</v>
      </c>
      <c r="K45" s="214" t="s">
        <v>116</v>
      </c>
      <c r="O45" s="25">
        <v>2</v>
      </c>
    </row>
    <row r="46" spans="1:17" x14ac:dyDescent="0.2">
      <c r="A46" s="503"/>
      <c r="B46" s="503"/>
      <c r="C46" s="503"/>
      <c r="D46" s="503"/>
      <c r="E46" s="503"/>
      <c r="F46" s="503"/>
      <c r="G46" s="503"/>
      <c r="I46" s="743" t="s">
        <v>117</v>
      </c>
      <c r="J46" s="743" t="s">
        <v>118</v>
      </c>
      <c r="K46" s="214" t="s">
        <v>119</v>
      </c>
      <c r="O46" s="25">
        <v>2</v>
      </c>
    </row>
    <row r="47" spans="1:17" x14ac:dyDescent="0.2">
      <c r="A47" s="503"/>
      <c r="B47" s="503"/>
      <c r="C47" s="503"/>
      <c r="D47" s="503"/>
      <c r="E47" s="503"/>
      <c r="F47" s="503"/>
      <c r="G47" s="503"/>
      <c r="I47" s="743"/>
      <c r="J47" s="743"/>
      <c r="K47" s="214" t="s">
        <v>120</v>
      </c>
      <c r="O47" s="25">
        <v>2</v>
      </c>
    </row>
    <row r="48" spans="1:17" ht="14.25" customHeight="1" x14ac:dyDescent="0.2">
      <c r="F48" s="21"/>
      <c r="G48" s="21"/>
      <c r="I48" s="744" t="s">
        <v>121</v>
      </c>
      <c r="J48" s="744" t="s">
        <v>122</v>
      </c>
      <c r="K48" s="214" t="s">
        <v>123</v>
      </c>
      <c r="O48" s="25">
        <v>1</v>
      </c>
    </row>
    <row r="49" spans="1:19" ht="16.5" customHeight="1" x14ac:dyDescent="0.2">
      <c r="A49" s="766" t="s">
        <v>124</v>
      </c>
      <c r="B49" s="767"/>
      <c r="C49" s="767"/>
      <c r="D49" s="767"/>
      <c r="E49" s="767"/>
      <c r="F49" s="508"/>
      <c r="G49" s="508"/>
      <c r="I49" s="744" t="s">
        <v>125</v>
      </c>
      <c r="J49" s="744" t="s">
        <v>126</v>
      </c>
      <c r="K49" s="25" t="s">
        <v>127</v>
      </c>
      <c r="O49" s="25">
        <v>1</v>
      </c>
    </row>
    <row r="50" spans="1:19" ht="12.75" customHeight="1" x14ac:dyDescent="0.2">
      <c r="A50" s="779"/>
      <c r="B50" s="786"/>
      <c r="C50" s="786"/>
      <c r="D50" s="786"/>
      <c r="E50" s="786"/>
      <c r="F50" s="786"/>
      <c r="G50" s="786"/>
      <c r="I50" s="744" t="s">
        <v>128</v>
      </c>
      <c r="J50" s="744" t="s">
        <v>129</v>
      </c>
      <c r="K50" s="25" t="s">
        <v>130</v>
      </c>
      <c r="O50" s="25">
        <v>1</v>
      </c>
    </row>
    <row r="51" spans="1:19" ht="12.75" customHeight="1" x14ac:dyDescent="0.2">
      <c r="A51" s="786"/>
      <c r="B51" s="786"/>
      <c r="C51" s="786"/>
      <c r="D51" s="786"/>
      <c r="E51" s="786"/>
      <c r="F51" s="786"/>
      <c r="G51" s="786"/>
      <c r="I51" s="744" t="s">
        <v>131</v>
      </c>
      <c r="J51" s="744" t="s">
        <v>132</v>
      </c>
      <c r="K51" s="352" t="s">
        <v>133</v>
      </c>
      <c r="O51" s="25">
        <v>1</v>
      </c>
    </row>
    <row r="52" spans="1:19" x14ac:dyDescent="0.2">
      <c r="A52" s="786"/>
      <c r="B52" s="786"/>
      <c r="C52" s="786"/>
      <c r="D52" s="786"/>
      <c r="E52" s="786"/>
      <c r="F52" s="786"/>
      <c r="G52" s="786"/>
      <c r="I52" s="744" t="s">
        <v>134</v>
      </c>
      <c r="J52" s="744" t="s">
        <v>135</v>
      </c>
    </row>
    <row r="53" spans="1:19" ht="18.75" customHeight="1" x14ac:dyDescent="0.2">
      <c r="A53" s="786"/>
      <c r="B53" s="786"/>
      <c r="C53" s="786"/>
      <c r="D53" s="786"/>
      <c r="E53" s="786"/>
      <c r="F53" s="786"/>
      <c r="G53" s="786"/>
      <c r="I53" s="727" t="s">
        <v>136</v>
      </c>
      <c r="J53" s="727" t="s">
        <v>137</v>
      </c>
    </row>
    <row r="54" spans="1:19" ht="12" customHeight="1" x14ac:dyDescent="0.2">
      <c r="A54" s="786"/>
      <c r="B54" s="786"/>
      <c r="C54" s="786"/>
      <c r="D54" s="786"/>
      <c r="E54" s="786"/>
      <c r="F54" s="786"/>
      <c r="G54" s="786"/>
      <c r="I54" s="727" t="s">
        <v>138</v>
      </c>
      <c r="J54" s="727" t="s">
        <v>139</v>
      </c>
    </row>
    <row r="55" spans="1:19" ht="14.25" customHeight="1" x14ac:dyDescent="0.2">
      <c r="A55" s="786"/>
      <c r="B55" s="786"/>
      <c r="C55" s="786"/>
      <c r="D55" s="786"/>
      <c r="E55" s="786"/>
      <c r="F55" s="786"/>
      <c r="G55" s="786"/>
      <c r="I55" s="727" t="s">
        <v>82</v>
      </c>
      <c r="J55" s="727" t="s">
        <v>140</v>
      </c>
      <c r="K55" s="781">
        <f>IF(OR('Identificación del Instrumento'!B22='Identificación del Instrumento'!K42,'Identificación del Instrumento'!B22='Identificación del Instrumento'!K44,'Identificación del Instrumento'!B22='Identificación del Instrumento'!K46),1,0)</f>
        <v>0</v>
      </c>
      <c r="L55" s="765"/>
    </row>
    <row r="56" spans="1:19" ht="26.25" customHeight="1" x14ac:dyDescent="0.2">
      <c r="A56" s="780"/>
      <c r="B56" s="780"/>
      <c r="C56" s="780"/>
      <c r="D56" s="780"/>
      <c r="E56" s="780"/>
      <c r="F56" s="780"/>
      <c r="G56" s="780"/>
      <c r="I56" s="727" t="s">
        <v>141</v>
      </c>
      <c r="J56" s="727" t="s">
        <v>142</v>
      </c>
      <c r="K56" s="781">
        <f>IF(OR('Identificación del Instrumento'!B22='Identificación del Instrumento'!K43,'Identificación del Instrumento'!B22='Identificación del Instrumento'!K45,'Identificación del Instrumento'!B22='Identificación del Instrumento'!K47),1,0)</f>
        <v>0</v>
      </c>
      <c r="L56" s="765"/>
    </row>
    <row r="57" spans="1:19" ht="35.25" hidden="1" customHeight="1" x14ac:dyDescent="0.2">
      <c r="A57" s="21" t="s">
        <v>30</v>
      </c>
      <c r="B57" s="21"/>
      <c r="C57" s="21"/>
      <c r="D57" s="21"/>
      <c r="E57" s="21"/>
      <c r="F57" s="21"/>
      <c r="G57" s="21"/>
      <c r="I57" s="727"/>
      <c r="J57" s="727"/>
      <c r="K57" s="352"/>
      <c r="L57" s="352"/>
    </row>
    <row r="58" spans="1:19" ht="65.25" customHeight="1" x14ac:dyDescent="0.2">
      <c r="A58" s="810" t="s">
        <v>143</v>
      </c>
      <c r="B58" s="765"/>
      <c r="C58" s="765"/>
      <c r="D58" s="59"/>
      <c r="E58" s="810" t="s">
        <v>144</v>
      </c>
      <c r="F58" s="765"/>
      <c r="G58" s="765"/>
      <c r="H58" s="493"/>
      <c r="I58" s="728"/>
      <c r="J58" s="728"/>
      <c r="K58" s="352"/>
      <c r="L58" s="352"/>
    </row>
    <row r="59" spans="1:19" ht="2.25" hidden="1" customHeight="1" x14ac:dyDescent="0.2">
      <c r="A59" s="812"/>
      <c r="B59" s="765"/>
      <c r="C59" s="765"/>
      <c r="D59" s="376"/>
      <c r="E59" s="376"/>
      <c r="F59" s="376"/>
      <c r="G59" s="376"/>
      <c r="S59" s="499"/>
    </row>
    <row r="60" spans="1:19" s="499" customFormat="1" ht="15" customHeight="1" x14ac:dyDescent="0.2">
      <c r="A60" s="801" t="str">
        <f>'Acta Verificación '!K19</f>
        <v>Sr. Nievas Aldo Dario</v>
      </c>
      <c r="B60" s="771"/>
      <c r="C60" s="771"/>
      <c r="D60" s="232"/>
      <c r="E60" s="770" t="str">
        <f>IF(ISBLANK('Datos de Ensayos'!E4),"",'Datos de Ensayos'!E4)</f>
        <v>Tco. Pablo Javier Siklosi A.</v>
      </c>
      <c r="F60" s="771"/>
      <c r="G60" s="771"/>
      <c r="I60" s="791" t="s">
        <v>145</v>
      </c>
      <c r="J60" s="771"/>
      <c r="K60" s="500"/>
    </row>
    <row r="61" spans="1:19" s="499" customFormat="1" ht="15" customHeight="1" x14ac:dyDescent="0.3">
      <c r="A61" s="818" t="str">
        <f>IF(ISBLANK(C14)," ",(C14))</f>
        <v>Marolio S.A.</v>
      </c>
      <c r="B61" s="771"/>
      <c r="C61" s="771"/>
      <c r="D61" s="232"/>
      <c r="E61" s="804" t="s">
        <v>146</v>
      </c>
      <c r="F61" s="771"/>
      <c r="G61" s="771"/>
      <c r="I61" s="791" t="s">
        <v>147</v>
      </c>
      <c r="J61" s="771"/>
      <c r="K61" s="500"/>
    </row>
    <row r="62" spans="1:19" s="499" customFormat="1" ht="15" customHeight="1" x14ac:dyDescent="0.2">
      <c r="A62" s="770"/>
      <c r="B62" s="771"/>
      <c r="C62" s="771"/>
      <c r="E62" s="770"/>
      <c r="F62" s="771"/>
      <c r="G62" s="771"/>
      <c r="H62" s="501"/>
      <c r="K62" s="500"/>
      <c r="S62" s="25"/>
    </row>
    <row r="63" spans="1:19" ht="51.75" customHeight="1" x14ac:dyDescent="0.2">
      <c r="E63" s="764"/>
      <c r="F63" s="765"/>
      <c r="G63" s="765"/>
      <c r="K63" s="492"/>
    </row>
    <row r="64" spans="1:19" ht="55.5" customHeight="1" x14ac:dyDescent="0.2">
      <c r="A64" s="52"/>
      <c r="B64" s="52"/>
      <c r="E64" s="764"/>
      <c r="F64" s="765"/>
      <c r="G64" s="765"/>
      <c r="K64" s="492"/>
    </row>
    <row r="65" spans="1:7" ht="50.1" customHeight="1" x14ac:dyDescent="0.2">
      <c r="A65" s="52"/>
      <c r="B65" s="52"/>
      <c r="E65" s="764"/>
      <c r="F65" s="765"/>
      <c r="G65" s="765"/>
    </row>
    <row r="66" spans="1:7" ht="50.1" customHeight="1" x14ac:dyDescent="0.2">
      <c r="A66" s="52"/>
      <c r="B66" s="52"/>
      <c r="E66" s="764"/>
      <c r="F66" s="765"/>
      <c r="G66" s="765"/>
    </row>
    <row r="67" spans="1:7" ht="50.1" customHeight="1" x14ac:dyDescent="0.2">
      <c r="A67" s="52"/>
      <c r="B67" s="52"/>
      <c r="E67" s="764"/>
      <c r="F67" s="765"/>
      <c r="G67" s="765"/>
    </row>
    <row r="68" spans="1:7" ht="50.1" customHeight="1" x14ac:dyDescent="0.2">
      <c r="E68" s="764"/>
      <c r="F68" s="765"/>
      <c r="G68" s="765"/>
    </row>
    <row r="69" spans="1:7" ht="50.1" customHeight="1" x14ac:dyDescent="0.2">
      <c r="E69" s="764"/>
      <c r="F69" s="765"/>
      <c r="G69" s="765"/>
    </row>
    <row r="70" spans="1:7" ht="50.1" customHeight="1" x14ac:dyDescent="0.2">
      <c r="E70" s="791" t="s">
        <v>148</v>
      </c>
      <c r="F70" s="765"/>
      <c r="G70" s="765"/>
    </row>
    <row r="71" spans="1:7" ht="50.1" customHeight="1" x14ac:dyDescent="0.2"/>
    <row r="72" spans="1:7" ht="50.1" customHeight="1" x14ac:dyDescent="0.2"/>
    <row r="73" spans="1:7" ht="50.1" customHeight="1" x14ac:dyDescent="0.2"/>
  </sheetData>
  <mergeCells count="67">
    <mergeCell ref="J3:K3"/>
    <mergeCell ref="A38:E38"/>
    <mergeCell ref="B22:G22"/>
    <mergeCell ref="E67:G67"/>
    <mergeCell ref="J2:K2"/>
    <mergeCell ref="A61:C61"/>
    <mergeCell ref="D5:E5"/>
    <mergeCell ref="B27:D27"/>
    <mergeCell ref="A44:B44"/>
    <mergeCell ref="E64:G64"/>
    <mergeCell ref="I60:J60"/>
    <mergeCell ref="C18:G18"/>
    <mergeCell ref="H4:L4"/>
    <mergeCell ref="I61:J61"/>
    <mergeCell ref="H5:I9"/>
    <mergeCell ref="A7:G10"/>
    <mergeCell ref="A1:G1"/>
    <mergeCell ref="E66:G66"/>
    <mergeCell ref="F38:G38"/>
    <mergeCell ref="F23:G23"/>
    <mergeCell ref="A50:G56"/>
    <mergeCell ref="B26:D26"/>
    <mergeCell ref="A58:C58"/>
    <mergeCell ref="A14:B14"/>
    <mergeCell ref="D4:E4"/>
    <mergeCell ref="E58:G58"/>
    <mergeCell ref="A59:C59"/>
    <mergeCell ref="B25:D25"/>
    <mergeCell ref="B16:D16"/>
    <mergeCell ref="F37:G37"/>
    <mergeCell ref="E62:G62"/>
    <mergeCell ref="B11:G11"/>
    <mergeCell ref="E70:G70"/>
    <mergeCell ref="F36:G36"/>
    <mergeCell ref="A29:C29"/>
    <mergeCell ref="A18:B18"/>
    <mergeCell ref="A35:C35"/>
    <mergeCell ref="B24:D24"/>
    <mergeCell ref="B20:D20"/>
    <mergeCell ref="A21:E21"/>
    <mergeCell ref="E68:G68"/>
    <mergeCell ref="F39:G39"/>
    <mergeCell ref="A60:C60"/>
    <mergeCell ref="B19:G19"/>
    <mergeCell ref="A42:C42"/>
    <mergeCell ref="F20:G20"/>
    <mergeCell ref="E61:G61"/>
    <mergeCell ref="C44:G44"/>
    <mergeCell ref="B15:G15"/>
    <mergeCell ref="F17:G17"/>
    <mergeCell ref="K56:L56"/>
    <mergeCell ref="C14:G14"/>
    <mergeCell ref="A36:E36"/>
    <mergeCell ref="A43:G43"/>
    <mergeCell ref="F40:G40"/>
    <mergeCell ref="K55:L55"/>
    <mergeCell ref="F16:G16"/>
    <mergeCell ref="E69:G69"/>
    <mergeCell ref="E65:G65"/>
    <mergeCell ref="A49:E49"/>
    <mergeCell ref="B17:D17"/>
    <mergeCell ref="A62:C62"/>
    <mergeCell ref="E63:G63"/>
    <mergeCell ref="A39:E39"/>
    <mergeCell ref="B40:E40"/>
    <mergeCell ref="E60:G60"/>
    <mergeCell ref="A37:E37"/>
  </mergeCells>
  <dataValidations xWindow="499" yWindow="576" count="11">
    <dataValidation type="list" allowBlank="1" showInputMessage="1" showErrorMessage="1" errorTitle="ERROR!!!!!" error="Respete las opciones de la lista." promptTitle="TIPO DE BALANZA" prompt="Seleccione la opción correspondiente de la lista" sqref="F23:G23" xr:uid="{00000000-0002-0000-0100-000000000000}">
      <formula1>$M$28:$M$31</formula1>
    </dataValidation>
    <dataValidation type="list" allowBlank="1" showInputMessage="1" showErrorMessage="1" errorTitle="ERROR!!!!!" error="Respete las opciones de la lista." promptTitle="TIPO DE VERIFICACIÓN" prompt="Mediante esta selección se determinan las tolerancias a exigir, según sea periódica o primitiva. Seleccione de la lista la opción correspondiente" sqref="B17:D17" xr:uid="{00000000-0002-0000-0100-000001000000}">
      <formula1>$L$28:$L$31</formula1>
    </dataValidation>
    <dataValidation type="list" allowBlank="1" showInputMessage="1" showErrorMessage="1" errorTitle="ERROR!!!!!" error="Respete las opciones de la lista." promptTitle="VALOR DE LA DIVISIÓN DE VERIFIC." prompt="Seleccione el valor correspondiente de la lista. El mismo se copiará automáticamente en la casilla correspondiente a &quot;d&quot;." sqref="B30" xr:uid="{00000000-0002-0000-0100-000002000000}">
      <formula1>$N$28:$N$36</formula1>
    </dataValidation>
    <dataValidation type="list" allowBlank="1" showInputMessage="1" showErrorMessage="1" sqref="F36:F39 G36 G39" xr:uid="{00000000-0002-0000-0100-000003000000}">
      <formula1>$O$28:$O$30</formula1>
    </dataValidation>
    <dataValidation type="list" allowBlank="1" showInputMessage="1" showErrorMessage="1" promptTitle="TIPO DE CERTIFICADO" prompt="Seleccione la opción correspondiente." sqref="F40:G40" xr:uid="{00000000-0002-0000-0100-000004000000}">
      <formula1>$P$28:$P$39</formula1>
    </dataValidation>
    <dataValidation type="list" allowBlank="1" showInputMessage="1" showErrorMessage="1" errorTitle="ERROR!!!!!!!!" error="Respete las opciones establecidas en la lista." promptTitle="CLASE DE INSTRUMENTO" prompt="Seleccione la opción correcta de la lista." sqref="F30" xr:uid="{00000000-0002-0000-0100-000005000000}">
      <formula1>$K$28:$K$29</formula1>
    </dataValidation>
    <dataValidation type="list" allowBlank="1" showInputMessage="1" showErrorMessage="1" errorTitle="¡¡ERROR!!" error="Respete las opciones de la lista." promptTitle="INSTRUMENTO VERIFICADO" prompt="Seleccione de la lista la opción correspondiente." sqref="B22:G22" xr:uid="{00000000-0002-0000-0100-000006000000}">
      <formula1>$K$40:$K$51</formula1>
    </dataValidation>
    <dataValidation type="list" allowBlank="1" showInputMessage="1" showErrorMessage="1" errorTitle="Error!!!!" error="Respete las opciones de la lista_x000a_" promptTitle="Tolerancia" prompt="Seleccionar tipo de tolerancia del ensayo" sqref="F17:G17" xr:uid="{00000000-0002-0000-0100-000007000000}">
      <formula1>$L$28:$L$29</formula1>
    </dataValidation>
    <dataValidation type="list" allowBlank="1" showInputMessage="1" showErrorMessage="1" sqref="F16:G16 F20:G20" xr:uid="{00000000-0002-0000-0100-000008000000}">
      <formula1>$S$1:$S$27</formula1>
    </dataValidation>
    <dataValidation type="list" allowBlank="1" showInputMessage="1" showErrorMessage="1" sqref="D5:E5" xr:uid="{00000000-0002-0000-0100-000009000000}">
      <formula1>$S$1:$S$26</formula1>
    </dataValidation>
    <dataValidation type="list" allowBlank="1" showInputMessage="1" showErrorMessage="1" sqref="B33" xr:uid="{00000000-0002-0000-0100-00000A000000}">
      <formula1>$I$33:$I$58</formula1>
    </dataValidation>
  </dataValidations>
  <pageMargins left="0.51181102362204722" right="0.19685039370078741" top="0.47244094488188981" bottom="0.98425196850393704" header="0" footer="0"/>
  <pageSetup paperSize="9" scale="80" orientation="portrait" horizontalDpi="300" verticalDpi="300" r:id="rId1"/>
  <headerFooter alignWithMargins="0">
    <oddHeader>&amp;RPágina &amp;P de &amp;N</oddHeader>
  </headerFooter>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Hoja2"/>
  <dimension ref="A1:EP303"/>
  <sheetViews>
    <sheetView topLeftCell="O1" zoomScale="70" zoomScaleNormal="70" workbookViewId="0">
      <selection activeCell="AG23" sqref="AG23"/>
    </sheetView>
  </sheetViews>
  <sheetFormatPr baseColWidth="10" defaultColWidth="5.7109375" defaultRowHeight="12.75" x14ac:dyDescent="0.2"/>
  <cols>
    <col min="1" max="1" width="2.140625" customWidth="1"/>
    <col min="2" max="2" width="6.28515625" customWidth="1"/>
    <col min="3" max="3" width="2.7109375" customWidth="1"/>
    <col min="4" max="4" width="27" customWidth="1"/>
    <col min="5" max="5" width="23.5703125" style="36" customWidth="1"/>
    <col min="6" max="6" width="18.7109375" style="36" customWidth="1"/>
    <col min="7" max="8" width="18" style="36" customWidth="1"/>
    <col min="9" max="9" width="21" style="36" customWidth="1"/>
    <col min="10" max="10" width="16.7109375" style="36" customWidth="1"/>
    <col min="11" max="11" width="16.5703125" style="48" customWidth="1"/>
    <col min="12" max="12" width="21.28515625" style="36" customWidth="1"/>
    <col min="13" max="13" width="19.28515625" style="36" customWidth="1"/>
    <col min="14" max="14" width="18.5703125" style="36" customWidth="1"/>
    <col min="15" max="15" width="8.140625" style="36" customWidth="1"/>
    <col min="16" max="16" width="17" style="36" customWidth="1"/>
    <col min="17" max="17" width="12.85546875" customWidth="1"/>
    <col min="18" max="18" width="10.28515625" customWidth="1"/>
    <col min="19" max="19" width="13.140625" customWidth="1"/>
    <col min="20" max="20" width="32.5703125" customWidth="1"/>
    <col min="21" max="24" width="4" customWidth="1"/>
    <col min="28" max="28" width="5.7109375" customWidth="1"/>
    <col min="29" max="29" width="33.7109375" style="99" customWidth="1"/>
    <col min="30" max="30" width="22.5703125" style="99" customWidth="1"/>
    <col min="31" max="31" width="13.85546875" style="99" customWidth="1"/>
    <col min="32" max="32" width="20.5703125" style="99" customWidth="1"/>
    <col min="33" max="33" width="37.7109375" style="99" customWidth="1"/>
    <col min="34" max="34" width="11.42578125" style="99" customWidth="1"/>
    <col min="35" max="35" width="9.140625" style="181" customWidth="1"/>
    <col min="36" max="36" width="9.140625" style="182" customWidth="1"/>
    <col min="37" max="37" width="9.140625" style="99" customWidth="1"/>
    <col min="39" max="39" width="6.28515625" bestFit="1" customWidth="1"/>
    <col min="40" max="40" width="5.85546875" customWidth="1"/>
    <col min="46" max="46" width="8.7109375" customWidth="1"/>
  </cols>
  <sheetData>
    <row r="1" spans="4:38" ht="24.75" customHeight="1" thickBot="1" x14ac:dyDescent="0.4">
      <c r="D1" s="910" t="s">
        <v>149</v>
      </c>
      <c r="E1" s="847"/>
      <c r="F1" s="847"/>
      <c r="G1" s="847"/>
      <c r="H1" s="847"/>
      <c r="I1" s="847"/>
      <c r="J1" s="847"/>
      <c r="K1" s="847"/>
      <c r="L1" s="858"/>
      <c r="M1" s="98"/>
      <c r="N1" s="98"/>
      <c r="O1" s="98"/>
      <c r="P1" s="98"/>
      <c r="Y1" s="67"/>
      <c r="AE1" s="913"/>
      <c r="AF1" s="914"/>
      <c r="AG1" s="914"/>
      <c r="AH1" s="914"/>
      <c r="AI1" s="101"/>
      <c r="AJ1" s="102"/>
      <c r="AK1" s="100"/>
    </row>
    <row r="2" spans="4:38" ht="55.5" customHeight="1" thickBot="1" x14ac:dyDescent="0.3">
      <c r="D2" s="866" t="s">
        <v>150</v>
      </c>
      <c r="E2" s="847"/>
      <c r="F2" s="847"/>
      <c r="G2" s="847"/>
      <c r="H2" s="847"/>
      <c r="I2" s="847"/>
      <c r="J2" s="847"/>
      <c r="K2" s="847"/>
      <c r="L2" s="858"/>
      <c r="M2" s="371"/>
      <c r="N2" s="103"/>
      <c r="O2" s="103"/>
      <c r="P2" s="98"/>
      <c r="Y2" s="67"/>
      <c r="AC2" s="249" t="s">
        <v>151</v>
      </c>
      <c r="AD2" s="250" t="s">
        <v>152</v>
      </c>
      <c r="AE2" s="250" t="s">
        <v>153</v>
      </c>
      <c r="AF2" s="250" t="s">
        <v>154</v>
      </c>
      <c r="AG2" s="251" t="s">
        <v>155</v>
      </c>
      <c r="AH2" s="100"/>
      <c r="AI2" s="101"/>
      <c r="AJ2" s="102"/>
      <c r="AK2" s="100"/>
    </row>
    <row r="3" spans="4:38" s="104" customFormat="1" ht="18" customHeight="1" x14ac:dyDescent="0.3">
      <c r="D3" s="224" t="s">
        <v>156</v>
      </c>
      <c r="E3" s="879" t="s">
        <v>157</v>
      </c>
      <c r="F3" s="880"/>
      <c r="G3" s="880"/>
      <c r="H3" s="880"/>
      <c r="I3" s="880"/>
      <c r="J3" s="880"/>
      <c r="K3" s="880"/>
      <c r="L3" s="881"/>
      <c r="N3" s="706"/>
      <c r="O3" s="107"/>
      <c r="P3" s="106"/>
      <c r="AB3" s="104" t="s">
        <v>158</v>
      </c>
      <c r="AC3" s="243" t="s">
        <v>159</v>
      </c>
      <c r="AD3" s="241" t="s">
        <v>160</v>
      </c>
      <c r="AE3" s="240">
        <v>145</v>
      </c>
      <c r="AF3" s="240" t="s">
        <v>161</v>
      </c>
      <c r="AG3" s="511" t="s">
        <v>162</v>
      </c>
      <c r="AH3" s="109"/>
      <c r="AI3" s="110"/>
      <c r="AJ3" s="111"/>
      <c r="AK3" s="108"/>
    </row>
    <row r="4" spans="4:38" s="104" customFormat="1" ht="18" customHeight="1" thickBot="1" x14ac:dyDescent="0.35">
      <c r="D4" s="225" t="s">
        <v>163</v>
      </c>
      <c r="E4" s="919" t="s">
        <v>157</v>
      </c>
      <c r="F4" s="920"/>
      <c r="G4" s="920"/>
      <c r="H4" s="920"/>
      <c r="I4" s="920"/>
      <c r="J4" s="920"/>
      <c r="K4" s="920"/>
      <c r="L4" s="921"/>
      <c r="M4" s="859" t="s">
        <v>164</v>
      </c>
      <c r="N4" s="860"/>
      <c r="O4" s="860"/>
      <c r="P4" s="860"/>
      <c r="AB4" s="104" t="s">
        <v>165</v>
      </c>
      <c r="AC4" s="243" t="s">
        <v>166</v>
      </c>
      <c r="AD4" s="241" t="s">
        <v>167</v>
      </c>
      <c r="AE4" s="240">
        <v>52</v>
      </c>
      <c r="AF4" s="240" t="s">
        <v>168</v>
      </c>
      <c r="AG4" s="511" t="s">
        <v>169</v>
      </c>
      <c r="AH4" s="109"/>
      <c r="AI4" s="110"/>
      <c r="AJ4" s="111"/>
      <c r="AK4" s="108"/>
    </row>
    <row r="5" spans="4:38" s="104" customFormat="1" ht="18" customHeight="1" thickBot="1" x14ac:dyDescent="0.35">
      <c r="D5" s="78" t="s">
        <v>30</v>
      </c>
      <c r="E5" s="222"/>
      <c r="F5" s="79"/>
      <c r="G5" s="79"/>
      <c r="H5" s="79"/>
      <c r="I5" s="79"/>
      <c r="J5" s="79"/>
      <c r="K5" s="80"/>
      <c r="L5" s="81"/>
      <c r="M5" s="112"/>
      <c r="N5" s="106"/>
      <c r="O5" s="113"/>
      <c r="P5" s="106"/>
      <c r="AB5" s="104" t="s">
        <v>170</v>
      </c>
      <c r="AC5" s="243" t="s">
        <v>171</v>
      </c>
      <c r="AD5" s="241" t="s">
        <v>172</v>
      </c>
      <c r="AE5" s="726" t="s">
        <v>173</v>
      </c>
      <c r="AF5" s="242" t="s">
        <v>174</v>
      </c>
      <c r="AG5" s="511" t="s">
        <v>175</v>
      </c>
      <c r="AH5" s="108"/>
      <c r="AI5" s="114"/>
      <c r="AJ5" s="115"/>
      <c r="AK5" s="108"/>
    </row>
    <row r="6" spans="4:38" s="104" customFormat="1" ht="18" customHeight="1" thickBot="1" x14ac:dyDescent="0.35">
      <c r="D6" s="82" t="s">
        <v>176</v>
      </c>
      <c r="E6" s="876" t="str">
        <f>IF(ISBLANK('Identificación del Instrumento'!B4),"",'Identificación del Instrumento'!B4)</f>
        <v>307-64088</v>
      </c>
      <c r="F6" s="847"/>
      <c r="G6" s="847"/>
      <c r="H6" s="858"/>
      <c r="I6" s="867" t="s">
        <v>177</v>
      </c>
      <c r="J6" s="783"/>
      <c r="K6" s="912" t="str">
        <f>'Identificación del Instrumento'!J2</f>
        <v>1 de enero de 2025</v>
      </c>
      <c r="L6" s="858"/>
      <c r="M6" s="105"/>
      <c r="N6" s="106"/>
      <c r="O6" s="106"/>
      <c r="P6" s="106"/>
      <c r="AB6" s="104" t="s">
        <v>178</v>
      </c>
      <c r="AC6" s="243" t="s">
        <v>179</v>
      </c>
      <c r="AD6" s="241" t="s">
        <v>180</v>
      </c>
      <c r="AE6" s="240">
        <v>212</v>
      </c>
      <c r="AF6" s="240" t="s">
        <v>168</v>
      </c>
      <c r="AG6" s="511" t="s">
        <v>181</v>
      </c>
      <c r="AH6" s="109"/>
      <c r="AI6" s="110"/>
      <c r="AJ6" s="111"/>
      <c r="AK6" s="108"/>
    </row>
    <row r="7" spans="4:38" s="104" customFormat="1" ht="18" customHeight="1" thickBot="1" x14ac:dyDescent="0.35">
      <c r="D7" s="82" t="s">
        <v>182</v>
      </c>
      <c r="E7" s="888" t="str">
        <f>IF(ISBLANK('Identificación del Instrumento'!C14),"",'Identificación del Instrumento'!C14)</f>
        <v>Marolio S.A.</v>
      </c>
      <c r="F7" s="847"/>
      <c r="G7" s="847"/>
      <c r="H7" s="847"/>
      <c r="I7" s="847"/>
      <c r="J7" s="847"/>
      <c r="K7" s="847"/>
      <c r="L7" s="858"/>
      <c r="M7" s="105"/>
      <c r="N7" s="354"/>
      <c r="O7" s="106"/>
      <c r="P7" s="106"/>
      <c r="AB7" s="104" t="s">
        <v>183</v>
      </c>
      <c r="AC7" s="243" t="s">
        <v>184</v>
      </c>
      <c r="AD7" s="241" t="s">
        <v>185</v>
      </c>
      <c r="AE7" s="240">
        <v>138</v>
      </c>
      <c r="AF7" s="240" t="s">
        <v>168</v>
      </c>
      <c r="AG7" s="511" t="s">
        <v>186</v>
      </c>
      <c r="AH7" s="109"/>
      <c r="AI7" s="110"/>
      <c r="AJ7" s="111"/>
      <c r="AK7" s="108"/>
    </row>
    <row r="8" spans="4:38" s="104" customFormat="1" ht="18" customHeight="1" thickBot="1" x14ac:dyDescent="0.35">
      <c r="D8" s="82" t="s">
        <v>187</v>
      </c>
      <c r="E8" s="874" t="str">
        <f>IF(ISBLANK('Identificación del Instrumento'!B15),"",+'Identificación del Instrumento'!B15)</f>
        <v>Empedrado 2531 - Ciudad Autónoma de Buenos Aires - Buenos Aires</v>
      </c>
      <c r="F8" s="847"/>
      <c r="G8" s="847"/>
      <c r="H8" s="847"/>
      <c r="I8" s="847"/>
      <c r="J8" s="847"/>
      <c r="K8" s="847"/>
      <c r="L8" s="858"/>
      <c r="M8" s="105"/>
      <c r="N8" s="105"/>
      <c r="O8" s="106"/>
      <c r="P8" s="106"/>
      <c r="AB8" s="104" t="s">
        <v>188</v>
      </c>
      <c r="AC8" s="243" t="s">
        <v>189</v>
      </c>
      <c r="AD8" s="241" t="s">
        <v>190</v>
      </c>
      <c r="AE8" s="240">
        <v>59</v>
      </c>
      <c r="AF8" s="240" t="s">
        <v>191</v>
      </c>
      <c r="AG8" s="511" t="s">
        <v>192</v>
      </c>
      <c r="AH8" s="109"/>
      <c r="AI8" s="110"/>
      <c r="AJ8" s="111"/>
      <c r="AK8" s="116"/>
      <c r="AL8" s="117"/>
    </row>
    <row r="9" spans="4:38" s="104" customFormat="1" ht="18" customHeight="1" thickBot="1" x14ac:dyDescent="0.35">
      <c r="D9" s="82" t="s">
        <v>15</v>
      </c>
      <c r="E9" s="918" t="str">
        <f>IF(ISBLANK('Identificación del Instrumento'!B16),"",'Identificación del Instrumento'!B16)</f>
        <v/>
      </c>
      <c r="F9" s="838"/>
      <c r="G9" s="838"/>
      <c r="H9" s="83" t="s">
        <v>17</v>
      </c>
      <c r="I9" s="875" t="str">
        <f>IF(ISBLANK('Identificación del Instrumento'!F16),"",'Identificación del Instrumento'!F16)</f>
        <v>Ciudad Autónoma de Buenos Aires</v>
      </c>
      <c r="J9" s="847"/>
      <c r="K9" s="847"/>
      <c r="L9" s="858"/>
      <c r="M9" s="105"/>
      <c r="N9" s="105"/>
      <c r="O9" s="106"/>
      <c r="P9" s="106"/>
      <c r="AB9" s="104" t="s">
        <v>193</v>
      </c>
      <c r="AC9" s="243" t="s">
        <v>194</v>
      </c>
      <c r="AD9" s="241" t="s">
        <v>195</v>
      </c>
      <c r="AE9" s="240">
        <v>54</v>
      </c>
      <c r="AF9" s="240" t="s">
        <v>168</v>
      </c>
      <c r="AG9" s="511" t="s">
        <v>196</v>
      </c>
      <c r="AH9" s="109"/>
      <c r="AI9" s="110"/>
      <c r="AJ9" s="111"/>
      <c r="AK9" s="108"/>
    </row>
    <row r="10" spans="4:38" s="104" customFormat="1" ht="18" customHeight="1" thickBot="1" x14ac:dyDescent="0.35">
      <c r="D10" s="82" t="s">
        <v>197</v>
      </c>
      <c r="E10" s="888" t="str">
        <f>IF(ISBLANK('Identificación del Instrumento'!C18),"",CONCATENATE(+'Identificación del Instrumento'!C18,", ",'Identificación del Instrumento'!B19,", ",'Identificación del Instrumento'!B20,", ",'Identificación del Instrumento'!F20,""))</f>
        <v>Zona de pesaje, RUTA PROVINCIAL Nº 20 S/N, COSTA DE ARAUJO, Mendoza</v>
      </c>
      <c r="F10" s="847"/>
      <c r="G10" s="847"/>
      <c r="H10" s="847"/>
      <c r="I10" s="847"/>
      <c r="J10" s="847"/>
      <c r="K10" s="847"/>
      <c r="L10" s="858"/>
      <c r="M10" s="105"/>
      <c r="N10" s="105"/>
      <c r="O10" s="106"/>
      <c r="P10" s="106"/>
      <c r="AB10" s="104" t="s">
        <v>198</v>
      </c>
      <c r="AC10" s="243" t="s">
        <v>199</v>
      </c>
      <c r="AD10" s="241" t="s">
        <v>200</v>
      </c>
      <c r="AE10" s="242" t="s">
        <v>201</v>
      </c>
      <c r="AF10" s="242" t="s">
        <v>168</v>
      </c>
      <c r="AG10" s="511" t="s">
        <v>202</v>
      </c>
      <c r="AH10" s="109"/>
      <c r="AI10" s="110"/>
      <c r="AJ10" s="111"/>
      <c r="AK10" s="108"/>
    </row>
    <row r="11" spans="4:38" s="104" customFormat="1" ht="18" customHeight="1" thickBot="1" x14ac:dyDescent="0.35">
      <c r="D11" s="82" t="s">
        <v>203</v>
      </c>
      <c r="E11" s="924" t="str">
        <f>IF(ISBLANK('Identificación del Instrumento'!B24),"",'Identificación del Instrumento'!B24)</f>
        <v>BIANCHETTI</v>
      </c>
      <c r="F11" s="847"/>
      <c r="G11" s="847"/>
      <c r="H11" s="83" t="s">
        <v>52</v>
      </c>
      <c r="I11" s="888" t="str">
        <f>IF(ISBLANK('Identificación del Instrumento'!F24),"",'Identificación del Instrumento'!F24)</f>
        <v>BIANCHETTI</v>
      </c>
      <c r="J11" s="847"/>
      <c r="K11" s="847"/>
      <c r="L11" s="858"/>
      <c r="M11" s="105"/>
      <c r="N11" s="105"/>
      <c r="O11" s="106"/>
      <c r="P11" s="106"/>
      <c r="AB11" s="104" t="s">
        <v>204</v>
      </c>
      <c r="AC11" s="243" t="s">
        <v>205</v>
      </c>
      <c r="AD11" s="241" t="s">
        <v>206</v>
      </c>
      <c r="AE11" s="242" t="s">
        <v>207</v>
      </c>
      <c r="AF11" s="242" t="s">
        <v>168</v>
      </c>
      <c r="AG11" s="511" t="s">
        <v>208</v>
      </c>
      <c r="AH11" s="109"/>
      <c r="AI11" s="110"/>
      <c r="AJ11" s="111"/>
      <c r="AK11" s="108"/>
    </row>
    <row r="12" spans="4:38" s="104" customFormat="1" ht="18" customHeight="1" thickBot="1" x14ac:dyDescent="0.35">
      <c r="D12" s="82" t="s">
        <v>209</v>
      </c>
      <c r="E12" s="876" t="str">
        <f>IF(ISBLANK('Identificación del Instrumento'!B25),"",'Identificación del Instrumento'!B25)</f>
        <v>TruckTRONIX 8020</v>
      </c>
      <c r="F12" s="847"/>
      <c r="G12" s="858"/>
      <c r="H12" s="83" t="s">
        <v>52</v>
      </c>
      <c r="I12" s="875" t="str">
        <f>IF(ISBLANK('Identificación del Instrumento'!F25),"",'Identificación del Instrumento'!F25)</f>
        <v>PB 10.000</v>
      </c>
      <c r="J12" s="847"/>
      <c r="K12" s="847"/>
      <c r="L12" s="858"/>
      <c r="M12" s="105"/>
      <c r="N12" s="105"/>
      <c r="O12" s="106"/>
      <c r="P12" s="106"/>
      <c r="AB12" s="104" t="s">
        <v>210</v>
      </c>
      <c r="AC12" s="243" t="s">
        <v>211</v>
      </c>
      <c r="AD12" s="241" t="s">
        <v>212</v>
      </c>
      <c r="AE12" s="242" t="s">
        <v>213</v>
      </c>
      <c r="AF12" s="242" t="s">
        <v>214</v>
      </c>
      <c r="AG12" s="511" t="s">
        <v>215</v>
      </c>
      <c r="AH12" s="109"/>
      <c r="AI12" s="110"/>
      <c r="AJ12" s="111"/>
      <c r="AK12" s="108"/>
    </row>
    <row r="13" spans="4:38" s="104" customFormat="1" ht="18" customHeight="1" thickBot="1" x14ac:dyDescent="0.35">
      <c r="D13" s="84" t="s">
        <v>216</v>
      </c>
      <c r="E13" s="846" t="str">
        <f>IF(ISBLANK('Identificación del Instrumento'!B26),"",'Identificación del Instrumento'!B26)</f>
        <v>28082017214</v>
      </c>
      <c r="F13" s="847"/>
      <c r="G13" s="847"/>
      <c r="H13" s="83" t="s">
        <v>52</v>
      </c>
      <c r="I13" s="875" t="str">
        <f>IF(ISBLANK('Identificación del Instrumento'!F26),"",'Identificación del Instrumento'!F26)</f>
        <v>28082017215</v>
      </c>
      <c r="J13" s="847"/>
      <c r="K13" s="847"/>
      <c r="L13" s="858"/>
      <c r="M13" s="105"/>
      <c r="N13" s="105"/>
      <c r="O13" s="106"/>
      <c r="P13" s="106"/>
      <c r="AB13" s="104" t="s">
        <v>217</v>
      </c>
      <c r="AC13" s="243" t="s">
        <v>218</v>
      </c>
      <c r="AD13" s="241" t="s">
        <v>219</v>
      </c>
      <c r="AE13" s="242" t="s">
        <v>220</v>
      </c>
      <c r="AF13" s="242" t="s">
        <v>168</v>
      </c>
      <c r="AG13" s="511" t="s">
        <v>221</v>
      </c>
      <c r="AH13" s="109"/>
      <c r="AI13" s="110"/>
      <c r="AJ13" s="111"/>
      <c r="AK13" s="108"/>
    </row>
    <row r="14" spans="4:38" s="104" customFormat="1" ht="18" customHeight="1" thickBot="1" x14ac:dyDescent="0.35">
      <c r="D14" s="85" t="s">
        <v>222</v>
      </c>
      <c r="E14" s="857" t="str">
        <f>IF(ISBLANK('Identificación del Instrumento'!B27),"",'Identificación del Instrumento'!B27)</f>
        <v>BF.80-2172</v>
      </c>
      <c r="F14" s="847"/>
      <c r="G14" s="858"/>
      <c r="H14" s="83" t="s">
        <v>52</v>
      </c>
      <c r="I14" s="854" t="str">
        <f>IF(ISBLANK('Identificación del Instrumento'!F27),"",'Identificación del Instrumento'!F27)</f>
        <v>BF.60-1624</v>
      </c>
      <c r="J14" s="847"/>
      <c r="K14" s="847"/>
      <c r="L14" s="356">
        <f>VLOOKUP(I15,AE56:AF57,2,0)</f>
        <v>1</v>
      </c>
      <c r="M14" s="353">
        <f>L14</f>
        <v>1</v>
      </c>
      <c r="N14" s="105"/>
      <c r="O14" s="106"/>
      <c r="P14" s="106"/>
      <c r="AB14" s="104" t="s">
        <v>217</v>
      </c>
      <c r="AC14" s="243" t="s">
        <v>223</v>
      </c>
      <c r="AD14" s="241" t="s">
        <v>224</v>
      </c>
      <c r="AE14" s="240">
        <v>97</v>
      </c>
      <c r="AF14" s="242" t="s">
        <v>168</v>
      </c>
      <c r="AG14" s="511" t="s">
        <v>225</v>
      </c>
      <c r="AH14" s="109"/>
      <c r="AI14" s="110"/>
      <c r="AJ14" s="111"/>
      <c r="AK14" s="108"/>
    </row>
    <row r="15" spans="4:38" s="104" customFormat="1" ht="18" customHeight="1" thickBot="1" x14ac:dyDescent="0.35">
      <c r="D15" s="85" t="s">
        <v>38</v>
      </c>
      <c r="E15" s="857" t="str">
        <f>IF(ISBLANK('Identificación del Instrumento'!B17)," ",'Identificación del Instrumento'!B17)</f>
        <v>VERIFICACIÓN PERIÓDICA</v>
      </c>
      <c r="F15" s="847"/>
      <c r="G15" s="858"/>
      <c r="H15" s="83" t="s">
        <v>39</v>
      </c>
      <c r="I15" s="854" t="str">
        <f>IF(ISBLANK('Identificación del Instrumento'!F17),"",'Identificación del Instrumento'!F17)</f>
        <v>VERIFICACIÓN PERIÓDICA</v>
      </c>
      <c r="J15" s="847"/>
      <c r="K15" s="847"/>
      <c r="L15" s="76"/>
      <c r="M15" s="105"/>
      <c r="N15" s="105"/>
      <c r="O15" s="106"/>
      <c r="P15" s="106"/>
      <c r="AB15" s="104" t="s">
        <v>217</v>
      </c>
      <c r="AC15" s="243" t="s">
        <v>226</v>
      </c>
      <c r="AD15" s="241" t="s">
        <v>227</v>
      </c>
      <c r="AE15" s="242" t="s">
        <v>228</v>
      </c>
      <c r="AF15" s="242" t="s">
        <v>168</v>
      </c>
      <c r="AG15" s="511" t="s">
        <v>229</v>
      </c>
      <c r="AH15" s="109"/>
      <c r="AI15" s="110"/>
      <c r="AJ15" s="111"/>
      <c r="AK15" s="108"/>
    </row>
    <row r="16" spans="4:38" s="104" customFormat="1" ht="18" customHeight="1" thickBot="1" x14ac:dyDescent="0.35">
      <c r="D16" s="85" t="s">
        <v>230</v>
      </c>
      <c r="E16" s="872" t="str">
        <f>IF(ISBLANK('Identificación del Instrumento'!B22),"",'Identificación del Instrumento'!B22)</f>
        <v>Balanza para pesar camiones</v>
      </c>
      <c r="F16" s="847"/>
      <c r="G16" s="847"/>
      <c r="H16" s="847"/>
      <c r="I16" s="847"/>
      <c r="J16" s="847"/>
      <c r="K16" s="847"/>
      <c r="L16" s="76"/>
      <c r="M16" s="105"/>
      <c r="N16" s="105"/>
      <c r="O16" s="106"/>
      <c r="P16" s="106"/>
      <c r="AB16" s="104" t="s">
        <v>217</v>
      </c>
      <c r="AC16" s="243" t="s">
        <v>231</v>
      </c>
      <c r="AD16" s="241" t="s">
        <v>232</v>
      </c>
      <c r="AE16" s="242" t="s">
        <v>233</v>
      </c>
      <c r="AF16" s="242" t="s">
        <v>168</v>
      </c>
      <c r="AG16" s="511" t="s">
        <v>234</v>
      </c>
      <c r="AH16" s="109"/>
      <c r="AI16" s="110"/>
      <c r="AJ16" s="111"/>
      <c r="AK16" s="108"/>
    </row>
    <row r="17" spans="4:42" s="104" customFormat="1" ht="18" customHeight="1" thickBot="1" x14ac:dyDescent="0.35">
      <c r="D17" s="82" t="s">
        <v>235</v>
      </c>
      <c r="E17" s="875" t="str">
        <f>IF(ISBLANK('Identificación del Instrumento'!F23),"",'Identificación del Instrumento'!F23)</f>
        <v>electrónica</v>
      </c>
      <c r="F17" s="847"/>
      <c r="G17" s="847"/>
      <c r="H17" s="858"/>
      <c r="I17" s="86" t="s">
        <v>236</v>
      </c>
      <c r="J17" s="87" t="str">
        <f>IF(ISBLANK('Identificación del Instrumento'!F30),"",'Identificación del Instrumento'!F30)</f>
        <v>III</v>
      </c>
      <c r="K17" s="75"/>
      <c r="L17" s="76"/>
      <c r="M17" s="105"/>
      <c r="N17" s="105"/>
      <c r="O17" s="106"/>
      <c r="P17" s="106"/>
      <c r="AB17" s="104" t="s">
        <v>217</v>
      </c>
      <c r="AC17" s="243" t="s">
        <v>237</v>
      </c>
      <c r="AD17" s="241" t="s">
        <v>238</v>
      </c>
      <c r="AE17" s="242" t="s">
        <v>239</v>
      </c>
      <c r="AF17" s="242" t="s">
        <v>168</v>
      </c>
      <c r="AG17" s="511" t="s">
        <v>240</v>
      </c>
      <c r="AH17" s="109"/>
      <c r="AI17" s="110"/>
      <c r="AJ17" s="111"/>
      <c r="AK17" s="108"/>
      <c r="AP17" s="104" t="s">
        <v>30</v>
      </c>
    </row>
    <row r="18" spans="4:42" s="104" customFormat="1" ht="18" customHeight="1" thickBot="1" x14ac:dyDescent="0.35">
      <c r="D18" s="85" t="s">
        <v>241</v>
      </c>
      <c r="E18" s="88">
        <f>IF(ISNUMBER('Identificación del Instrumento'!D30),'Identificación del Instrumento'!B30,"")</f>
        <v>20</v>
      </c>
      <c r="F18" s="89" t="s">
        <v>242</v>
      </c>
      <c r="G18" s="88">
        <f>IF(ISBLANK('Identificación del Instrumento'!D30),"",'Identificación del Instrumento'!D30)</f>
        <v>20</v>
      </c>
      <c r="H18" s="83" t="s">
        <v>243</v>
      </c>
      <c r="I18" s="88">
        <f>IF(ISBLANK('Identificación del Instrumento'!D29),"",'Identificación del Instrumento'!D29)</f>
        <v>80000</v>
      </c>
      <c r="J18" s="79"/>
      <c r="K18" s="90"/>
      <c r="L18" s="91"/>
      <c r="M18" s="105"/>
      <c r="N18" s="105"/>
      <c r="O18" s="106"/>
      <c r="P18" s="106"/>
      <c r="AB18" s="104" t="s">
        <v>217</v>
      </c>
      <c r="AC18" s="243" t="s">
        <v>244</v>
      </c>
      <c r="AD18" s="241" t="s">
        <v>245</v>
      </c>
      <c r="AE18" s="242" t="s">
        <v>246</v>
      </c>
      <c r="AF18" s="242" t="s">
        <v>168</v>
      </c>
      <c r="AG18" s="511" t="s">
        <v>247</v>
      </c>
      <c r="AH18" s="109"/>
      <c r="AI18" s="110"/>
      <c r="AJ18" s="111"/>
      <c r="AK18" s="108"/>
      <c r="AO18" s="104" t="s">
        <v>30</v>
      </c>
      <c r="AP18" s="104" t="s">
        <v>30</v>
      </c>
    </row>
    <row r="19" spans="4:42" s="104" customFormat="1" ht="18" customHeight="1" x14ac:dyDescent="0.3">
      <c r="D19" s="92" t="s">
        <v>248</v>
      </c>
      <c r="E19" s="93"/>
      <c r="F19" s="93"/>
      <c r="G19" s="93"/>
      <c r="H19" s="93"/>
      <c r="I19" s="93"/>
      <c r="J19" s="93"/>
      <c r="K19" s="94"/>
      <c r="L19" s="95"/>
      <c r="M19" s="105"/>
      <c r="P19" s="106"/>
      <c r="AB19" s="104" t="s">
        <v>217</v>
      </c>
      <c r="AC19" s="243" t="s">
        <v>249</v>
      </c>
      <c r="AD19" s="241" t="s">
        <v>250</v>
      </c>
      <c r="AE19" s="242" t="s">
        <v>251</v>
      </c>
      <c r="AF19" s="242" t="s">
        <v>168</v>
      </c>
      <c r="AG19" s="511" t="s">
        <v>252</v>
      </c>
      <c r="AH19" s="109"/>
      <c r="AI19" s="110"/>
      <c r="AJ19" s="111"/>
      <c r="AK19" s="108"/>
    </row>
    <row r="20" spans="4:42" s="104" customFormat="1" ht="18" customHeight="1" x14ac:dyDescent="0.3">
      <c r="D20" s="870" t="str">
        <f>IF(ISBLANK('Identificación del Instrumento'!A50),"",'Identificación del Instrumento'!A50)</f>
        <v/>
      </c>
      <c r="E20" s="860"/>
      <c r="F20" s="860"/>
      <c r="G20" s="860"/>
      <c r="H20" s="860"/>
      <c r="I20" s="860"/>
      <c r="J20" s="860"/>
      <c r="K20" s="860"/>
      <c r="L20" s="850"/>
      <c r="M20" s="105"/>
      <c r="N20" s="106"/>
      <c r="O20" s="108"/>
      <c r="P20" s="106"/>
      <c r="AC20" s="243" t="s">
        <v>253</v>
      </c>
      <c r="AD20" s="241" t="s">
        <v>254</v>
      </c>
      <c r="AE20" s="242" t="s">
        <v>255</v>
      </c>
      <c r="AF20" s="242" t="s">
        <v>256</v>
      </c>
      <c r="AG20" s="511" t="s">
        <v>257</v>
      </c>
      <c r="AH20" s="109"/>
      <c r="AI20" s="110"/>
      <c r="AJ20" s="111"/>
      <c r="AK20" s="108"/>
    </row>
    <row r="21" spans="4:42" s="104" customFormat="1" ht="108" customHeight="1" thickBot="1" x14ac:dyDescent="0.35">
      <c r="D21" s="871"/>
      <c r="E21" s="838"/>
      <c r="F21" s="838"/>
      <c r="G21" s="838"/>
      <c r="H21" s="838"/>
      <c r="I21" s="838"/>
      <c r="J21" s="838"/>
      <c r="K21" s="838"/>
      <c r="L21" s="843"/>
      <c r="M21" s="105"/>
      <c r="P21" s="106"/>
      <c r="AC21" s="243" t="s">
        <v>157</v>
      </c>
      <c r="AD21" s="241" t="s">
        <v>258</v>
      </c>
      <c r="AE21" s="242" t="s">
        <v>259</v>
      </c>
      <c r="AF21" s="242" t="s">
        <v>260</v>
      </c>
      <c r="AG21" s="511" t="s">
        <v>261</v>
      </c>
      <c r="AH21" s="109"/>
      <c r="AI21" s="110"/>
      <c r="AJ21" s="111"/>
      <c r="AK21" s="108"/>
    </row>
    <row r="22" spans="4:42" s="104" customFormat="1" ht="18" customHeight="1" thickBot="1" x14ac:dyDescent="0.35">
      <c r="D22" s="929" t="s">
        <v>262</v>
      </c>
      <c r="E22" s="847"/>
      <c r="F22" s="847"/>
      <c r="G22" s="847"/>
      <c r="H22" s="847"/>
      <c r="I22" s="847"/>
      <c r="J22" s="847"/>
      <c r="K22" s="847"/>
      <c r="L22" s="858"/>
      <c r="M22" s="105"/>
      <c r="P22" s="106"/>
      <c r="R22" s="116"/>
      <c r="S22" s="116"/>
      <c r="AC22" s="243" t="s">
        <v>742</v>
      </c>
      <c r="AD22" s="241" t="s">
        <v>743</v>
      </c>
      <c r="AE22" s="242" t="s">
        <v>744</v>
      </c>
      <c r="AF22" s="242"/>
      <c r="AG22" s="761" t="s">
        <v>745</v>
      </c>
      <c r="AH22" s="109"/>
      <c r="AI22" s="110"/>
      <c r="AJ22" s="111"/>
      <c r="AK22" s="108"/>
    </row>
    <row r="23" spans="4:42" ht="18" customHeight="1" x14ac:dyDescent="0.25">
      <c r="D23" s="892"/>
      <c r="E23" s="862"/>
      <c r="F23" s="862"/>
      <c r="G23" s="862"/>
      <c r="H23" s="862"/>
      <c r="I23" s="862"/>
      <c r="J23" s="862"/>
      <c r="K23" s="862"/>
      <c r="L23" s="863"/>
      <c r="M23" s="118"/>
      <c r="R23" s="100"/>
      <c r="S23" s="100"/>
      <c r="AC23" s="243" t="s">
        <v>263</v>
      </c>
      <c r="AD23" s="241" t="s">
        <v>264</v>
      </c>
      <c r="AE23" s="242" t="s">
        <v>265</v>
      </c>
      <c r="AF23" s="242" t="s">
        <v>266</v>
      </c>
      <c r="AG23" s="761" t="s">
        <v>267</v>
      </c>
      <c r="AH23" s="120"/>
      <c r="AI23" s="121"/>
      <c r="AJ23" s="122"/>
    </row>
    <row r="24" spans="4:42" ht="5.25" customHeight="1" x14ac:dyDescent="0.25">
      <c r="D24" s="893"/>
      <c r="E24" s="786"/>
      <c r="F24" s="786"/>
      <c r="G24" s="786"/>
      <c r="H24" s="786"/>
      <c r="I24" s="786"/>
      <c r="J24" s="786"/>
      <c r="K24" s="786"/>
      <c r="L24" s="894"/>
      <c r="M24" s="118"/>
      <c r="R24" s="100"/>
      <c r="S24" s="100"/>
      <c r="AC24" s="243"/>
      <c r="AD24" s="241"/>
      <c r="AE24" s="242"/>
      <c r="AF24" s="242"/>
      <c r="AG24" s="244"/>
      <c r="AH24" s="120"/>
      <c r="AI24" s="121"/>
      <c r="AJ24" s="122"/>
    </row>
    <row r="25" spans="4:42" ht="18" hidden="1" customHeight="1" thickBot="1" x14ac:dyDescent="0.3">
      <c r="D25" s="893"/>
      <c r="E25" s="786"/>
      <c r="F25" s="786"/>
      <c r="G25" s="786"/>
      <c r="H25" s="786"/>
      <c r="I25" s="786"/>
      <c r="J25" s="786"/>
      <c r="K25" s="786"/>
      <c r="L25" s="894"/>
      <c r="M25" s="118"/>
      <c r="R25" s="100"/>
      <c r="S25" s="100"/>
      <c r="AC25" s="243"/>
      <c r="AD25" s="241"/>
      <c r="AE25" s="242"/>
      <c r="AF25" s="242"/>
      <c r="AG25" s="244"/>
      <c r="AH25" s="120"/>
      <c r="AI25" s="121"/>
      <c r="AJ25" s="122"/>
    </row>
    <row r="26" spans="4:42" ht="18" hidden="1" customHeight="1" thickBot="1" x14ac:dyDescent="0.3">
      <c r="D26" s="893"/>
      <c r="E26" s="786"/>
      <c r="F26" s="786"/>
      <c r="G26" s="786"/>
      <c r="H26" s="786"/>
      <c r="I26" s="786"/>
      <c r="J26" s="786"/>
      <c r="K26" s="786"/>
      <c r="L26" s="894"/>
      <c r="M26" s="118"/>
      <c r="R26" s="100"/>
      <c r="S26" s="100"/>
      <c r="AC26" s="243"/>
      <c r="AD26" s="241"/>
      <c r="AE26" s="242"/>
      <c r="AF26" s="242"/>
      <c r="AG26" s="244"/>
      <c r="AH26" s="120"/>
      <c r="AI26" s="121"/>
      <c r="AJ26" s="122"/>
    </row>
    <row r="27" spans="4:42" ht="18" hidden="1" customHeight="1" thickBot="1" x14ac:dyDescent="0.3">
      <c r="D27" s="893"/>
      <c r="E27" s="786"/>
      <c r="F27" s="786"/>
      <c r="G27" s="786"/>
      <c r="H27" s="786"/>
      <c r="I27" s="786"/>
      <c r="J27" s="786"/>
      <c r="K27" s="786"/>
      <c r="L27" s="894"/>
      <c r="M27" s="118"/>
      <c r="R27" s="100"/>
      <c r="S27" s="100"/>
      <c r="AC27" s="243"/>
      <c r="AD27" s="241"/>
      <c r="AE27" s="242"/>
      <c r="AF27" s="242"/>
      <c r="AG27" s="244"/>
      <c r="AH27" s="120"/>
      <c r="AI27" s="121"/>
      <c r="AJ27" s="122"/>
    </row>
    <row r="28" spans="4:42" ht="18" hidden="1" customHeight="1" thickBot="1" x14ac:dyDescent="0.3">
      <c r="D28" s="893"/>
      <c r="E28" s="786"/>
      <c r="F28" s="786"/>
      <c r="G28" s="786"/>
      <c r="H28" s="786"/>
      <c r="I28" s="786"/>
      <c r="J28" s="786"/>
      <c r="K28" s="786"/>
      <c r="L28" s="894"/>
      <c r="M28" s="118"/>
      <c r="R28" s="100"/>
      <c r="S28" s="100"/>
      <c r="AC28" s="243"/>
      <c r="AD28" s="241"/>
      <c r="AE28" s="242"/>
      <c r="AF28" s="242"/>
      <c r="AG28" s="244"/>
      <c r="AH28" s="120"/>
      <c r="AI28" s="121"/>
      <c r="AJ28" s="122"/>
    </row>
    <row r="29" spans="4:42" ht="18" hidden="1" customHeight="1" thickBot="1" x14ac:dyDescent="0.3">
      <c r="D29" s="893"/>
      <c r="E29" s="786"/>
      <c r="F29" s="786"/>
      <c r="G29" s="786"/>
      <c r="H29" s="786"/>
      <c r="I29" s="786"/>
      <c r="J29" s="786"/>
      <c r="K29" s="786"/>
      <c r="L29" s="894"/>
      <c r="M29" s="118"/>
      <c r="R29" s="100"/>
      <c r="S29" s="100"/>
      <c r="AC29" s="243"/>
      <c r="AD29" s="241"/>
      <c r="AE29" s="242"/>
      <c r="AF29" s="242"/>
      <c r="AG29" s="244"/>
      <c r="AH29" s="120"/>
      <c r="AI29" s="121"/>
      <c r="AJ29" s="122"/>
    </row>
    <row r="30" spans="4:42" ht="15.75" customHeight="1" x14ac:dyDescent="0.25">
      <c r="D30" s="893"/>
      <c r="E30" s="786"/>
      <c r="F30" s="786"/>
      <c r="G30" s="786"/>
      <c r="H30" s="786"/>
      <c r="I30" s="786"/>
      <c r="J30" s="786"/>
      <c r="K30" s="786"/>
      <c r="L30" s="894"/>
      <c r="M30" s="118"/>
      <c r="R30" s="100"/>
      <c r="S30" s="100"/>
      <c r="AC30" s="243"/>
      <c r="AD30" s="241"/>
      <c r="AE30" s="242"/>
      <c r="AF30" s="242"/>
      <c r="AG30" s="244"/>
      <c r="AH30" s="120"/>
      <c r="AI30" s="121"/>
      <c r="AJ30" s="122"/>
    </row>
    <row r="31" spans="4:42" ht="15.75" customHeight="1" x14ac:dyDescent="0.25">
      <c r="D31" s="893"/>
      <c r="E31" s="786"/>
      <c r="F31" s="786"/>
      <c r="G31" s="786"/>
      <c r="H31" s="786"/>
      <c r="I31" s="786"/>
      <c r="J31" s="786"/>
      <c r="K31" s="786"/>
      <c r="L31" s="894"/>
      <c r="M31" s="118"/>
      <c r="R31" s="100"/>
      <c r="S31" s="100"/>
      <c r="AC31" s="243"/>
      <c r="AD31" s="241"/>
      <c r="AE31" s="242"/>
      <c r="AF31" s="242"/>
      <c r="AG31" s="244"/>
      <c r="AH31" s="120"/>
      <c r="AI31" s="121"/>
      <c r="AJ31" s="122"/>
    </row>
    <row r="32" spans="4:42" ht="15.75" customHeight="1" x14ac:dyDescent="0.25">
      <c r="D32" s="893"/>
      <c r="E32" s="786"/>
      <c r="F32" s="786"/>
      <c r="G32" s="786"/>
      <c r="H32" s="786"/>
      <c r="I32" s="786"/>
      <c r="J32" s="786"/>
      <c r="K32" s="786"/>
      <c r="L32" s="894"/>
      <c r="M32" s="118"/>
      <c r="R32" s="100"/>
      <c r="S32" s="100"/>
      <c r="AC32" s="243"/>
      <c r="AD32" s="241"/>
      <c r="AE32" s="242"/>
      <c r="AF32" s="242"/>
      <c r="AG32" s="244"/>
      <c r="AH32" s="120"/>
      <c r="AI32" s="121"/>
      <c r="AJ32" s="122"/>
    </row>
    <row r="33" spans="4:37" ht="15.75" customHeight="1" x14ac:dyDescent="0.25">
      <c r="D33" s="893"/>
      <c r="E33" s="786"/>
      <c r="F33" s="786"/>
      <c r="G33" s="786"/>
      <c r="H33" s="786"/>
      <c r="I33" s="786"/>
      <c r="J33" s="786"/>
      <c r="K33" s="786"/>
      <c r="L33" s="894"/>
      <c r="M33" s="118"/>
      <c r="R33" s="100"/>
      <c r="S33" s="100"/>
      <c r="AC33" s="243"/>
      <c r="AD33" s="241"/>
      <c r="AE33" s="242"/>
      <c r="AF33" s="242"/>
      <c r="AG33" s="244"/>
      <c r="AH33" s="120"/>
      <c r="AI33" s="121"/>
      <c r="AJ33" s="122"/>
    </row>
    <row r="34" spans="4:37" ht="16.5" customHeight="1" thickBot="1" x14ac:dyDescent="0.3">
      <c r="D34" s="895"/>
      <c r="E34" s="776"/>
      <c r="F34" s="776"/>
      <c r="G34" s="776"/>
      <c r="H34" s="776"/>
      <c r="I34" s="776"/>
      <c r="J34" s="776"/>
      <c r="K34" s="776"/>
      <c r="L34" s="896"/>
      <c r="M34" s="118"/>
      <c r="R34" s="100"/>
      <c r="S34" s="100"/>
      <c r="AC34" s="243"/>
      <c r="AD34" s="241"/>
      <c r="AE34" s="242"/>
      <c r="AF34" s="242"/>
      <c r="AG34" s="244"/>
      <c r="AH34" s="120"/>
      <c r="AI34" s="121"/>
      <c r="AJ34" s="122"/>
    </row>
    <row r="35" spans="4:37" ht="36.75" customHeight="1" thickBot="1" x14ac:dyDescent="0.3">
      <c r="D35" s="839"/>
      <c r="E35" s="835"/>
      <c r="F35" s="835"/>
      <c r="G35" s="836"/>
      <c r="H35" s="898" t="s">
        <v>268</v>
      </c>
      <c r="I35" s="835"/>
      <c r="J35" s="836"/>
      <c r="K35" s="518">
        <v>10</v>
      </c>
      <c r="L35" s="460"/>
      <c r="M35" s="118"/>
      <c r="N35" s="67"/>
      <c r="P35" s="844" t="s">
        <v>269</v>
      </c>
      <c r="Q35" s="835"/>
      <c r="R35" s="835"/>
      <c r="S35" s="835"/>
      <c r="T35" s="836"/>
      <c r="AC35" s="243"/>
      <c r="AD35" s="240"/>
      <c r="AE35" s="242"/>
      <c r="AF35" s="242"/>
      <c r="AG35" s="244"/>
      <c r="AH35" s="120"/>
      <c r="AI35" s="121"/>
      <c r="AJ35" s="122"/>
    </row>
    <row r="36" spans="4:37" ht="15" customHeight="1" thickBot="1" x14ac:dyDescent="0.3">
      <c r="D36" s="481"/>
      <c r="E36" s="482"/>
      <c r="F36" s="482" t="s">
        <v>270</v>
      </c>
      <c r="G36" s="482"/>
      <c r="H36" s="482"/>
      <c r="I36" s="482"/>
      <c r="J36" s="483"/>
      <c r="K36" s="484"/>
      <c r="L36" s="485"/>
      <c r="M36" s="118"/>
      <c r="N36" s="67"/>
      <c r="P36" s="842" t="s">
        <v>271</v>
      </c>
      <c r="Q36" s="838"/>
      <c r="R36" s="838"/>
      <c r="S36" s="838"/>
      <c r="T36" s="843"/>
      <c r="AC36" s="243"/>
      <c r="AD36" s="240"/>
      <c r="AE36" s="242"/>
      <c r="AF36" s="242"/>
      <c r="AG36" s="244"/>
      <c r="AH36" s="120"/>
      <c r="AI36" s="121"/>
      <c r="AJ36" s="122"/>
    </row>
    <row r="37" spans="4:37" ht="15" customHeight="1" thickBot="1" x14ac:dyDescent="0.3">
      <c r="D37" s="461"/>
      <c r="E37" s="464"/>
      <c r="F37" s="464"/>
      <c r="G37" s="462"/>
      <c r="H37" s="464"/>
      <c r="I37" s="465"/>
      <c r="J37" s="463"/>
      <c r="K37" s="849" t="s">
        <v>272</v>
      </c>
      <c r="L37" s="850"/>
      <c r="M37" s="118"/>
      <c r="N37" s="67"/>
      <c r="P37" s="840"/>
      <c r="Q37" s="841"/>
      <c r="R37" s="841"/>
      <c r="S37" s="841"/>
      <c r="T37" s="841"/>
      <c r="AC37" s="243"/>
      <c r="AD37" s="240"/>
      <c r="AE37" s="242"/>
      <c r="AF37" s="242"/>
      <c r="AG37" s="244"/>
      <c r="AH37" s="120"/>
      <c r="AI37" s="121"/>
      <c r="AJ37" s="122"/>
    </row>
    <row r="38" spans="4:37" ht="15" customHeight="1" x14ac:dyDescent="0.25">
      <c r="D38" s="461"/>
      <c r="E38" s="861" t="str">
        <f>IF('Identificación del Instrumento'!B22="Balanza de plataforma","1",(IF(K35=12,CONCATENATE(P35,"",),IF(K35=10,CONCATENATE(P38,"",),IF(K35=8,CONCATENATE(P41,"",),IF(K35=6,CONCATENATE(P44,"",),IF(K35=4,CONCATENATE(P47,"",),"")))))))</f>
        <v>6                                   7                                   8                                   9                                   10</v>
      </c>
      <c r="F38" s="862"/>
      <c r="G38" s="862"/>
      <c r="H38" s="862"/>
      <c r="I38" s="863"/>
      <c r="J38" s="463"/>
      <c r="K38" s="851"/>
      <c r="L38" s="850"/>
      <c r="M38" s="118"/>
      <c r="N38" s="67"/>
      <c r="P38" s="852" t="s">
        <v>273</v>
      </c>
      <c r="Q38" s="835"/>
      <c r="R38" s="835"/>
      <c r="S38" s="835"/>
      <c r="T38" s="836"/>
      <c r="AC38" s="243"/>
      <c r="AD38" s="240"/>
      <c r="AE38" s="242"/>
      <c r="AF38" s="242"/>
      <c r="AG38" s="244"/>
      <c r="AH38" s="120"/>
      <c r="AI38" s="121"/>
      <c r="AJ38" s="122"/>
    </row>
    <row r="39" spans="4:37" ht="27.75" customHeight="1" thickBot="1" x14ac:dyDescent="0.3">
      <c r="D39" s="707" t="s">
        <v>274</v>
      </c>
      <c r="E39" s="845" t="str">
        <f>IF('Identificación del Instrumento'!B22="Balanza de plataforma","3","")</f>
        <v/>
      </c>
      <c r="F39" s="877" t="s">
        <v>275</v>
      </c>
      <c r="G39" s="826"/>
      <c r="H39" s="826"/>
      <c r="I39" s="926" t="str">
        <f>IF('Identificación del Instrumento'!B22="Balanza de plataforma","4","")</f>
        <v/>
      </c>
      <c r="J39" s="707" t="s">
        <v>276</v>
      </c>
      <c r="K39" s="851"/>
      <c r="L39" s="850"/>
      <c r="M39" s="118"/>
      <c r="N39" s="67"/>
      <c r="P39" s="842" t="s">
        <v>277</v>
      </c>
      <c r="Q39" s="838"/>
      <c r="R39" s="838"/>
      <c r="S39" s="838"/>
      <c r="T39" s="843"/>
      <c r="AC39" s="243"/>
      <c r="AD39" s="240"/>
      <c r="AE39" s="242"/>
      <c r="AF39" s="242"/>
      <c r="AG39" s="244"/>
      <c r="AH39" s="120"/>
      <c r="AI39" s="121"/>
      <c r="AJ39" s="122"/>
    </row>
    <row r="40" spans="4:37" ht="15" customHeight="1" thickBot="1" x14ac:dyDescent="0.3">
      <c r="D40" s="461"/>
      <c r="E40" s="828"/>
      <c r="F40" s="826"/>
      <c r="G40" s="826"/>
      <c r="H40" s="826"/>
      <c r="I40" s="850"/>
      <c r="J40" s="463"/>
      <c r="K40" s="851"/>
      <c r="L40" s="850"/>
      <c r="M40" s="118"/>
      <c r="N40" s="67"/>
      <c r="P40" s="840"/>
      <c r="Q40" s="841"/>
      <c r="R40" s="841"/>
      <c r="S40" s="841"/>
      <c r="T40" s="841"/>
      <c r="AC40" s="243"/>
      <c r="AD40" s="240"/>
      <c r="AE40" s="242"/>
      <c r="AF40" s="242"/>
      <c r="AG40" s="244"/>
      <c r="AH40" s="120"/>
      <c r="AI40" s="121"/>
      <c r="AJ40" s="122"/>
    </row>
    <row r="41" spans="4:37" ht="15" customHeight="1" thickBot="1" x14ac:dyDescent="0.3">
      <c r="D41" s="461"/>
      <c r="E41" s="911" t="str">
        <f>IF('Identificación del Instrumento'!B22="Balanza de plataforma","2",(IF(K35=12,CONCATENATE(P36,"",),IF(K35=10,CONCATENATE(P39,"",),IF(K35=8,CONCATENATE(P42,"",),IF(K35=6,CONCATENATE(P45,"",),IF(K35=4,CONCATENATE(P48,"",),"")))))))</f>
        <v>5                                   4                                   3                                   2                                     1</v>
      </c>
      <c r="F41" s="776"/>
      <c r="G41" s="776"/>
      <c r="H41" s="776"/>
      <c r="I41" s="896"/>
      <c r="J41" s="463"/>
      <c r="K41" s="851"/>
      <c r="L41" s="850"/>
      <c r="M41" s="118"/>
      <c r="N41" s="67"/>
      <c r="P41" s="852" t="s">
        <v>278</v>
      </c>
      <c r="Q41" s="835"/>
      <c r="R41" s="835"/>
      <c r="S41" s="835"/>
      <c r="T41" s="836"/>
      <c r="AC41" s="243"/>
      <c r="AD41" s="240"/>
      <c r="AE41" s="242"/>
      <c r="AF41" s="242"/>
      <c r="AG41" s="244"/>
      <c r="AH41" s="120"/>
      <c r="AI41" s="121"/>
      <c r="AJ41" s="122"/>
    </row>
    <row r="42" spans="4:37" ht="15" customHeight="1" thickBot="1" x14ac:dyDescent="0.3">
      <c r="D42" s="461"/>
      <c r="E42" s="466"/>
      <c r="F42" s="466"/>
      <c r="G42" s="467"/>
      <c r="H42" s="466"/>
      <c r="I42" s="466"/>
      <c r="J42" s="463"/>
      <c r="K42" s="487"/>
      <c r="L42" s="486"/>
      <c r="M42" s="118"/>
      <c r="N42" s="67"/>
      <c r="P42" s="842" t="s">
        <v>279</v>
      </c>
      <c r="Q42" s="838"/>
      <c r="R42" s="838"/>
      <c r="S42" s="838"/>
      <c r="T42" s="843"/>
      <c r="AC42" s="243"/>
      <c r="AD42" s="240"/>
      <c r="AE42" s="242"/>
      <c r="AF42" s="242"/>
      <c r="AG42" s="244"/>
      <c r="AH42" s="120"/>
      <c r="AI42" s="121"/>
      <c r="AJ42" s="122"/>
    </row>
    <row r="43" spans="4:37" ht="15" customHeight="1" thickBot="1" x14ac:dyDescent="0.3">
      <c r="D43" s="403"/>
      <c r="E43" s="404"/>
      <c r="F43" s="404"/>
      <c r="G43" s="404"/>
      <c r="H43" s="404"/>
      <c r="I43" s="404"/>
      <c r="J43" s="405"/>
      <c r="K43" s="487"/>
      <c r="L43" s="488"/>
      <c r="M43" s="118"/>
      <c r="N43" s="67"/>
      <c r="P43" s="840"/>
      <c r="Q43" s="841"/>
      <c r="R43" s="841"/>
      <c r="S43" s="841"/>
      <c r="T43" s="841"/>
      <c r="AC43" s="243"/>
      <c r="AD43" s="240"/>
      <c r="AE43" s="242"/>
      <c r="AF43" s="242"/>
      <c r="AG43" s="244"/>
      <c r="AH43" s="120"/>
      <c r="AI43" s="121"/>
      <c r="AJ43" s="122"/>
    </row>
    <row r="44" spans="4:37" ht="15" customHeight="1" thickBot="1" x14ac:dyDescent="0.3">
      <c r="D44" s="470"/>
      <c r="E44" s="471"/>
      <c r="F44" s="471"/>
      <c r="G44" s="471"/>
      <c r="H44" s="471"/>
      <c r="I44" s="472"/>
      <c r="J44" s="473"/>
      <c r="K44" s="468"/>
      <c r="L44" s="469"/>
      <c r="M44" s="118"/>
      <c r="N44" s="124"/>
      <c r="O44" s="124"/>
      <c r="P44" s="852" t="s">
        <v>280</v>
      </c>
      <c r="Q44" s="835"/>
      <c r="R44" s="835"/>
      <c r="S44" s="835"/>
      <c r="T44" s="836"/>
      <c r="AC44" s="243"/>
      <c r="AD44" s="240"/>
      <c r="AE44" s="242"/>
      <c r="AF44" s="242"/>
      <c r="AG44" s="244"/>
      <c r="AH44" s="120"/>
      <c r="AI44" s="121"/>
      <c r="AJ44" s="122"/>
    </row>
    <row r="45" spans="4:37" ht="16.5" customHeight="1" thickBot="1" x14ac:dyDescent="0.3">
      <c r="D45" s="125"/>
      <c r="J45" s="126"/>
      <c r="K45" s="127"/>
      <c r="M45" s="118"/>
      <c r="N45" s="124"/>
      <c r="O45" s="124"/>
      <c r="P45" s="842" t="s">
        <v>281</v>
      </c>
      <c r="Q45" s="838"/>
      <c r="R45" s="838"/>
      <c r="S45" s="838"/>
      <c r="T45" s="843"/>
      <c r="AC45" s="243"/>
      <c r="AD45" s="240"/>
      <c r="AE45" s="242"/>
      <c r="AF45" s="242"/>
      <c r="AG45" s="244"/>
      <c r="AH45" s="120"/>
      <c r="AI45" s="121"/>
      <c r="AJ45" s="122"/>
    </row>
    <row r="46" spans="4:37" s="130" customFormat="1" ht="18" customHeight="1" thickBot="1" x14ac:dyDescent="0.3">
      <c r="D46" s="834" t="s">
        <v>282</v>
      </c>
      <c r="E46" s="836"/>
      <c r="F46" s="834" t="s">
        <v>283</v>
      </c>
      <c r="G46" s="835"/>
      <c r="H46" s="835"/>
      <c r="I46" s="835"/>
      <c r="J46" s="836"/>
      <c r="K46" s="128"/>
      <c r="L46" s="129"/>
      <c r="M46" s="129"/>
      <c r="N46" s="124"/>
      <c r="O46" s="124"/>
      <c r="P46" s="840"/>
      <c r="Q46" s="887"/>
      <c r="R46" s="887"/>
      <c r="S46" s="887"/>
      <c r="T46" s="887"/>
      <c r="AC46" s="243"/>
      <c r="AD46" s="240"/>
      <c r="AE46" s="242"/>
      <c r="AF46" s="242"/>
      <c r="AG46" s="244"/>
      <c r="AH46" s="132"/>
      <c r="AI46" s="133"/>
      <c r="AJ46" s="134"/>
      <c r="AK46" s="131"/>
    </row>
    <row r="47" spans="4:37" s="130" customFormat="1" ht="18" customHeight="1" x14ac:dyDescent="0.25">
      <c r="D47" s="135" t="s">
        <v>284</v>
      </c>
      <c r="E47" s="136" t="str">
        <f>IF(D47=J$17,"&lt;====","")</f>
        <v/>
      </c>
      <c r="F47" s="891" t="s">
        <v>285</v>
      </c>
      <c r="G47" s="774"/>
      <c r="H47" s="925" t="s">
        <v>286</v>
      </c>
      <c r="I47" s="773"/>
      <c r="J47" s="774"/>
      <c r="K47" s="128"/>
      <c r="L47" s="129"/>
      <c r="M47" s="129"/>
      <c r="N47" s="124"/>
      <c r="O47" s="124"/>
      <c r="P47" s="852" t="s">
        <v>287</v>
      </c>
      <c r="Q47" s="835"/>
      <c r="R47" s="835"/>
      <c r="S47" s="835"/>
      <c r="T47" s="836"/>
      <c r="AC47" s="243"/>
      <c r="AD47" s="240"/>
      <c r="AE47" s="242"/>
      <c r="AF47" s="242"/>
      <c r="AG47" s="244"/>
      <c r="AH47" s="132"/>
      <c r="AI47" s="133"/>
      <c r="AJ47" s="134"/>
      <c r="AK47" s="131"/>
    </row>
    <row r="48" spans="4:37" s="130" customFormat="1" ht="18" customHeight="1" thickBot="1" x14ac:dyDescent="0.3">
      <c r="D48" s="135" t="s">
        <v>288</v>
      </c>
      <c r="E48" s="136" t="str">
        <f>IF(D48=J$17,"&lt;====","")</f>
        <v/>
      </c>
      <c r="F48" s="137">
        <f>IF(ISNUMBER(E51),IF(J17=D50,10*E51,IF(J17=D49,50*E51,IF(J17=D48,50*E51,IF(J17=D47,50*E51,"")))),"")</f>
        <v>1000</v>
      </c>
      <c r="G48" s="138" t="s">
        <v>289</v>
      </c>
      <c r="H48" s="139"/>
      <c r="I48" s="140" t="s">
        <v>290</v>
      </c>
      <c r="J48" s="141" t="s">
        <v>30</v>
      </c>
      <c r="K48" s="128"/>
      <c r="L48" s="129"/>
      <c r="M48" s="129"/>
      <c r="N48" s="124"/>
      <c r="O48" s="124"/>
      <c r="P48" s="842" t="s">
        <v>291</v>
      </c>
      <c r="Q48" s="838"/>
      <c r="R48" s="838"/>
      <c r="S48" s="838"/>
      <c r="T48" s="843"/>
      <c r="AC48" s="243"/>
      <c r="AD48" s="240"/>
      <c r="AE48" s="242"/>
      <c r="AF48" s="242"/>
      <c r="AG48" s="244"/>
      <c r="AH48" s="132"/>
      <c r="AI48" s="133"/>
      <c r="AJ48" s="134"/>
      <c r="AK48" s="131"/>
    </row>
    <row r="49" spans="2:37" s="130" customFormat="1" ht="18" customHeight="1" x14ac:dyDescent="0.25">
      <c r="D49" s="135" t="s">
        <v>3</v>
      </c>
      <c r="E49" s="136" t="str">
        <f>IF(D49=J$17,"&lt;====","")</f>
        <v>&lt;====</v>
      </c>
      <c r="F49" s="142">
        <f>IF(ISNUMBER(E51),MIN(IF(J17=D50,50*E51,IF(J17=D49,500*E51,IF(J17=D48,5000*E51,IF(J17=D47,50000*E51,"")))),I18),"")</f>
        <v>10000</v>
      </c>
      <c r="G49" s="138" t="s">
        <v>289</v>
      </c>
      <c r="H49" s="143" t="s">
        <v>292</v>
      </c>
      <c r="I49" s="144">
        <f>IF(AND(ISNUMBER($E$51),ISNUMBER($L$14)),$E$51/$L$14,"")</f>
        <v>20</v>
      </c>
      <c r="J49" s="145" t="s">
        <v>289</v>
      </c>
      <c r="K49" s="128"/>
      <c r="L49" s="129"/>
      <c r="M49" s="129"/>
      <c r="N49" s="124"/>
      <c r="O49" s="124"/>
      <c r="P49" s="124"/>
      <c r="Q49" s="124"/>
      <c r="R49" s="124"/>
      <c r="S49" s="124"/>
      <c r="AC49" s="243"/>
      <c r="AD49" s="240"/>
      <c r="AE49" s="242"/>
      <c r="AF49" s="242"/>
      <c r="AG49" s="244"/>
      <c r="AH49" s="132"/>
      <c r="AI49" s="133"/>
      <c r="AJ49" s="134"/>
      <c r="AK49" s="131"/>
    </row>
    <row r="50" spans="2:37" s="130" customFormat="1" ht="18" customHeight="1" x14ac:dyDescent="0.25">
      <c r="D50" s="135" t="s">
        <v>67</v>
      </c>
      <c r="E50" s="136" t="str">
        <f>IF(D50=J$17,"&lt;====","")</f>
        <v/>
      </c>
      <c r="F50" s="142">
        <f>IF(ISNUMBER(E51),MIN(IF(J17=D50,200*E51,IF(J17=D49,2000*E51,IF(J17=D48,20000*E51,IF(J17=D47,200000*E51,"")))),I18),"")</f>
        <v>40000</v>
      </c>
      <c r="G50" s="138" t="s">
        <v>289</v>
      </c>
      <c r="H50" s="143" t="s">
        <v>293</v>
      </c>
      <c r="I50" s="144">
        <f>IF(AND(ISNUMBER(E51),ISNUMBER($L$14)),2*$E$51/$L$14,"")</f>
        <v>40</v>
      </c>
      <c r="J50" s="145" t="s">
        <v>289</v>
      </c>
      <c r="K50" s="128"/>
      <c r="L50" s="129"/>
      <c r="M50" s="129"/>
      <c r="N50" s="124"/>
      <c r="O50" s="124"/>
      <c r="P50" s="124"/>
      <c r="Q50" s="124"/>
      <c r="R50" s="124"/>
      <c r="S50" s="124"/>
      <c r="AC50" s="243"/>
      <c r="AD50" s="240"/>
      <c r="AE50" s="242"/>
      <c r="AF50" s="242"/>
      <c r="AG50" s="244"/>
      <c r="AH50" s="132"/>
      <c r="AI50" s="133"/>
      <c r="AJ50" s="134"/>
      <c r="AK50" s="131"/>
    </row>
    <row r="51" spans="2:37" s="130" customFormat="1" ht="18" customHeight="1" thickBot="1" x14ac:dyDescent="0.3">
      <c r="D51" s="146" t="s">
        <v>292</v>
      </c>
      <c r="E51" s="147">
        <f>E18</f>
        <v>20</v>
      </c>
      <c r="F51" s="148">
        <f>IF(ISNUMBER(I18),I18,"")</f>
        <v>80000</v>
      </c>
      <c r="G51" s="149" t="s">
        <v>289</v>
      </c>
      <c r="H51" s="150" t="s">
        <v>294</v>
      </c>
      <c r="I51" s="151">
        <f>IF(AND(ISNUMBER(E51),ISNUMBER($L$14)),3*$E$51/$L$14,"")</f>
        <v>60</v>
      </c>
      <c r="J51" s="152" t="s">
        <v>289</v>
      </c>
      <c r="K51" s="153"/>
      <c r="L51" s="129"/>
      <c r="M51" s="129"/>
      <c r="N51" s="124"/>
      <c r="O51" s="124"/>
      <c r="P51" s="124"/>
      <c r="Q51" s="124"/>
      <c r="R51" s="124"/>
      <c r="S51" s="124"/>
      <c r="AC51" s="243"/>
      <c r="AD51" s="240"/>
      <c r="AE51" s="242"/>
      <c r="AF51" s="242"/>
      <c r="AG51" s="244"/>
      <c r="AH51" s="132"/>
      <c r="AI51" s="133"/>
      <c r="AJ51" s="134"/>
      <c r="AK51" s="131"/>
    </row>
    <row r="52" spans="2:37" s="130" customFormat="1" ht="12" customHeight="1" x14ac:dyDescent="0.25">
      <c r="D52" s="234"/>
      <c r="E52" s="235"/>
      <c r="F52" s="236"/>
      <c r="G52" s="237"/>
      <c r="H52" s="234" t="s">
        <v>295</v>
      </c>
      <c r="I52" s="238"/>
      <c r="J52" s="239"/>
      <c r="K52" s="153"/>
      <c r="L52" s="129"/>
      <c r="M52" s="129"/>
      <c r="N52" s="124"/>
      <c r="O52" s="124"/>
      <c r="P52" s="124"/>
      <c r="Q52" s="124"/>
      <c r="R52" s="124"/>
      <c r="S52" s="124"/>
      <c r="AC52" s="243"/>
      <c r="AD52" s="240"/>
      <c r="AE52" s="242"/>
      <c r="AF52" s="242"/>
      <c r="AG52" s="244"/>
      <c r="AH52" s="132"/>
      <c r="AI52" s="133"/>
      <c r="AJ52" s="134"/>
      <c r="AK52" s="131"/>
    </row>
    <row r="53" spans="2:37" ht="16.5" customHeight="1" thickBot="1" x14ac:dyDescent="0.3">
      <c r="D53" s="154"/>
      <c r="E53" s="155"/>
      <c r="F53" s="156"/>
      <c r="G53" s="67"/>
      <c r="H53" s="154"/>
      <c r="I53" s="157"/>
      <c r="N53" s="124"/>
      <c r="O53" s="124"/>
      <c r="P53" s="124"/>
      <c r="Q53" s="124"/>
      <c r="R53" s="124"/>
      <c r="S53" s="124"/>
      <c r="AC53" s="243"/>
      <c r="AD53" s="240"/>
      <c r="AE53" s="242"/>
      <c r="AF53" s="242"/>
      <c r="AG53" s="244"/>
      <c r="AH53" s="120"/>
      <c r="AI53" s="121"/>
      <c r="AJ53" s="122"/>
    </row>
    <row r="54" spans="2:37" s="130" customFormat="1" ht="19.5" customHeight="1" x14ac:dyDescent="0.3">
      <c r="D54" s="923" t="s">
        <v>296</v>
      </c>
      <c r="E54" s="835"/>
      <c r="F54" s="835"/>
      <c r="G54" s="835"/>
      <c r="H54" s="835"/>
      <c r="I54" s="835"/>
      <c r="J54" s="836"/>
      <c r="K54" s="153"/>
      <c r="L54" s="129"/>
      <c r="M54" s="129"/>
      <c r="N54" s="124"/>
      <c r="O54" s="124"/>
      <c r="P54" s="124"/>
      <c r="Q54" s="124"/>
      <c r="R54" s="124"/>
      <c r="S54" s="124"/>
      <c r="AC54" s="243"/>
      <c r="AD54" s="240"/>
      <c r="AE54" s="242"/>
      <c r="AF54" s="242"/>
      <c r="AG54" s="244"/>
      <c r="AH54" s="132"/>
      <c r="AI54" s="133"/>
      <c r="AJ54" s="134"/>
      <c r="AK54" s="131"/>
    </row>
    <row r="55" spans="2:37" s="130" customFormat="1" ht="19.5" customHeight="1" thickBot="1" x14ac:dyDescent="0.3">
      <c r="D55" s="901" t="s">
        <v>297</v>
      </c>
      <c r="E55" s="902"/>
      <c r="F55" s="520" t="s">
        <v>61</v>
      </c>
      <c r="G55" s="886"/>
      <c r="H55" s="887"/>
      <c r="I55" s="887"/>
      <c r="J55" s="158"/>
      <c r="K55" s="153"/>
      <c r="L55" s="129"/>
      <c r="M55" s="129"/>
      <c r="N55" s="129"/>
      <c r="O55" s="129"/>
      <c r="P55" s="129"/>
      <c r="AC55" s="245"/>
      <c r="AD55" s="246"/>
      <c r="AE55" s="247"/>
      <c r="AF55" s="247"/>
      <c r="AG55" s="248"/>
      <c r="AH55" s="132"/>
      <c r="AI55" s="133"/>
      <c r="AJ55" s="134"/>
      <c r="AK55" s="131"/>
    </row>
    <row r="56" spans="2:37" s="130" customFormat="1" ht="19.5" customHeight="1" x14ac:dyDescent="0.25">
      <c r="D56" s="901" t="s">
        <v>298</v>
      </c>
      <c r="E56" s="887"/>
      <c r="F56" s="902"/>
      <c r="G56" s="96" t="s">
        <v>299</v>
      </c>
      <c r="H56" s="159" t="s">
        <v>300</v>
      </c>
      <c r="I56" s="159"/>
      <c r="J56" s="160"/>
      <c r="K56" s="153"/>
      <c r="L56" s="129"/>
      <c r="M56" s="129"/>
      <c r="N56" s="129"/>
      <c r="O56" s="129"/>
      <c r="P56" s="129"/>
      <c r="AC56" s="99"/>
      <c r="AD56" s="99"/>
      <c r="AE56" s="421" t="s">
        <v>24</v>
      </c>
      <c r="AF56" s="163">
        <v>1</v>
      </c>
      <c r="AG56" s="99"/>
      <c r="AH56" s="120"/>
      <c r="AI56" s="133"/>
      <c r="AJ56" s="134"/>
      <c r="AK56" s="131"/>
    </row>
    <row r="57" spans="2:37" s="130" customFormat="1" ht="19.5" customHeight="1" thickBot="1" x14ac:dyDescent="0.3">
      <c r="D57" s="897" t="s">
        <v>301</v>
      </c>
      <c r="E57" s="838"/>
      <c r="F57" s="838"/>
      <c r="G57" s="838"/>
      <c r="H57" s="838"/>
      <c r="I57" s="838"/>
      <c r="J57" s="843"/>
      <c r="K57" s="153"/>
      <c r="L57" s="129"/>
      <c r="M57" s="129"/>
      <c r="N57" s="129"/>
      <c r="O57" s="129"/>
      <c r="P57" s="129"/>
      <c r="AC57" s="99"/>
      <c r="AD57" s="99"/>
      <c r="AE57" s="421" t="s">
        <v>22</v>
      </c>
      <c r="AF57" s="163">
        <v>2</v>
      </c>
      <c r="AG57" s="99"/>
      <c r="AH57" s="120"/>
      <c r="AI57" s="133"/>
      <c r="AJ57" s="134"/>
      <c r="AK57" s="131"/>
    </row>
    <row r="58" spans="2:37" ht="25.5" customHeight="1" thickBot="1" x14ac:dyDescent="0.25">
      <c r="D58" s="154"/>
      <c r="E58" s="155"/>
      <c r="F58" s="156"/>
      <c r="G58" s="67"/>
      <c r="H58" s="154"/>
      <c r="I58" s="157"/>
      <c r="AH58" s="120"/>
      <c r="AI58" s="121"/>
      <c r="AJ58" s="122"/>
    </row>
    <row r="59" spans="2:37" ht="39.75" customHeight="1" thickBot="1" x14ac:dyDescent="0.25">
      <c r="B59">
        <f>IF(ISBLANK(G59),0,VLOOKUP(G59,$AE$59:$AH$61,4,FALSE))</f>
        <v>1</v>
      </c>
      <c r="D59" s="900" t="s">
        <v>302</v>
      </c>
      <c r="E59" s="847"/>
      <c r="F59" s="858"/>
      <c r="G59" s="97" t="s">
        <v>303</v>
      </c>
      <c r="H59" s="884"/>
      <c r="I59" s="847"/>
      <c r="J59" s="847"/>
      <c r="K59" s="858"/>
      <c r="L59" s="161"/>
      <c r="AE59" s="119" t="s">
        <v>303</v>
      </c>
      <c r="AF59" s="99" t="s">
        <v>304</v>
      </c>
      <c r="AG59" s="99" t="s">
        <v>61</v>
      </c>
      <c r="AH59" s="120">
        <v>1</v>
      </c>
      <c r="AI59" s="121"/>
      <c r="AJ59" s="122"/>
    </row>
    <row r="60" spans="2:37" ht="48" customHeight="1" thickBot="1" x14ac:dyDescent="0.25">
      <c r="D60" s="211" t="s">
        <v>305</v>
      </c>
      <c r="E60" s="207" t="str">
        <f>CONCATENATE("Carga aplicada ",IF(G59="discontinua","en equilibrio","")," (kg)")</f>
        <v>Carga aplicada en equilibrio (kg)</v>
      </c>
      <c r="F60" s="206" t="s">
        <v>306</v>
      </c>
      <c r="G60" s="522" t="str">
        <f>IF(G59="discontinua","sobrecarga [1,4.dd]",IF(G59="continua","sobrecarga [EMT]",IF(G59="ENA","sobrecarga [0,4.EMT]","complete G59")))</f>
        <v>sobrecarga [1,4.dd]</v>
      </c>
      <c r="H60" s="206" t="str">
        <f>+IF(G59="discontinua","Indicación 2 
(kg)","")</f>
        <v>Indicación 2 
(kg)</v>
      </c>
      <c r="I60" s="206" t="s">
        <v>307</v>
      </c>
      <c r="J60" s="206" t="s">
        <v>308</v>
      </c>
      <c r="K60" s="367" t="s">
        <v>309</v>
      </c>
      <c r="N60" s="478" t="s">
        <v>310</v>
      </c>
      <c r="AE60" s="119" t="s">
        <v>311</v>
      </c>
      <c r="AF60" s="99" t="s">
        <v>299</v>
      </c>
      <c r="AG60" s="99" t="s">
        <v>69</v>
      </c>
      <c r="AH60" s="120">
        <v>1</v>
      </c>
      <c r="AI60" s="121"/>
      <c r="AJ60" s="122"/>
    </row>
    <row r="61" spans="2:37" ht="18" customHeight="1" x14ac:dyDescent="0.25">
      <c r="D61" s="257" t="s">
        <v>312</v>
      </c>
      <c r="E61" s="208">
        <v>1000</v>
      </c>
      <c r="F61" s="204">
        <v>1000</v>
      </c>
      <c r="G61" s="746">
        <f>IF(ISNUMBER(E61),IF(G$59="discontinua",1.4*$G$18,IF(G$59="continua",N61,IF(G$59="ENA",0.4*N61,"Error"))),"")</f>
        <v>28</v>
      </c>
      <c r="H61" s="204">
        <v>1020</v>
      </c>
      <c r="I61" s="204"/>
      <c r="J61" s="204"/>
      <c r="K61" s="205" t="str">
        <f>IF(ISNUMBER(E61),IF(G$59="discontinua",IF(ROUND(H61/$G$18,0)-ROUND(F61/$G$18,0)=ROUND(G$18/$G$18,0),"SI","NO"),IF(G$59="continua",IF(I61&gt;=0.7*N61,"SI","NO"),IF(G$59="ENA",J61,"ERROR"))),"")</f>
        <v>SI</v>
      </c>
      <c r="L61" s="164"/>
      <c r="N61" s="692">
        <f>IF(ISNUMBER(E61),IF(E61&lt;=$F$49,I$49,IF(E61&lt;=$F$50,$I$50,$I$51)),0)</f>
        <v>20</v>
      </c>
      <c r="AE61" s="119" t="s">
        <v>313</v>
      </c>
      <c r="AF61" s="99" t="s">
        <v>314</v>
      </c>
      <c r="AH61" s="120">
        <v>1</v>
      </c>
      <c r="AI61" s="121"/>
      <c r="AJ61" s="122"/>
    </row>
    <row r="62" spans="2:37" ht="18" customHeight="1" x14ac:dyDescent="0.25">
      <c r="D62" s="258" t="s">
        <v>315</v>
      </c>
      <c r="E62" s="209">
        <v>22000</v>
      </c>
      <c r="F62" s="8">
        <v>22000</v>
      </c>
      <c r="G62" s="746">
        <f>IF(ISNUMBER(E62),IF(G$59="discontinua",1.4*$G$18,IF(G$59="continua",N62,IF(G$59="ENA",0.4*N62,"Error"))),"")</f>
        <v>28</v>
      </c>
      <c r="H62" s="8">
        <v>22010</v>
      </c>
      <c r="I62" s="8"/>
      <c r="J62" s="8"/>
      <c r="K62" s="205" t="str">
        <f>IF(ISNUMBER(E62),IF(G$59="discontinua",IF(ROUND(H62/$G$18,0)-ROUND(F62/$G$18,0)=ROUND(G$18/$G$18,0),"SI","NO"),IF(G$59="continua",IF(I62&gt;=0.7*N62,"SI","NO"),IF(G$59="ENA",J62,"ERROR"))),"")</f>
        <v>SI</v>
      </c>
      <c r="N62" s="693">
        <f>IF(ISNUMBER(E62),IF(E62&lt;=$F$49,I$49,IF(E62&lt;=$F$50,$I$50,$I$51)),0)</f>
        <v>40</v>
      </c>
      <c r="AE62" s="119"/>
      <c r="AH62" s="120"/>
      <c r="AI62" s="121"/>
      <c r="AJ62" s="122"/>
    </row>
    <row r="63" spans="2:37" ht="18" customHeight="1" thickBot="1" x14ac:dyDescent="0.3">
      <c r="D63" s="259" t="s">
        <v>316</v>
      </c>
      <c r="E63" s="210">
        <v>44000</v>
      </c>
      <c r="F63" s="60">
        <v>44000</v>
      </c>
      <c r="G63" s="747">
        <f>IF(ISNUMBER(E63),IF(G$59="discontinua",1.4*$G$18,IF(G$59="continua",N63,IF(G$59="ENA",0.4*N63,"Error"))),"")</f>
        <v>28</v>
      </c>
      <c r="H63" s="60">
        <v>44010</v>
      </c>
      <c r="I63" s="60"/>
      <c r="J63" s="519"/>
      <c r="K63" s="205" t="str">
        <f>IF(ISNUMBER(E63),IF(G$59="discontinua",IF(ROUND(H63/$G$18,0)-ROUND(F63/$G$18,0)=ROUND(G$18/$G$18,0),"SI","NO"),IF(G$59="continua",IF(I63&gt;=0.7*N63,"SI","NO"),IF(G$59="ENA",J63,"ERROR"))),"")</f>
        <v>SI</v>
      </c>
      <c r="N63" s="694">
        <f>IF(ISNUMBER(E63),IF(E63&lt;=$F$49,I$49,IF(E63&lt;=$F$50,$I$50,$I$51)),0)</f>
        <v>60</v>
      </c>
      <c r="AE63" s="119"/>
      <c r="AH63" s="120"/>
      <c r="AI63" s="121"/>
      <c r="AJ63" s="122"/>
    </row>
    <row r="64" spans="2:37" ht="24" customHeight="1" x14ac:dyDescent="0.2">
      <c r="F64" s="662"/>
      <c r="J64" s="66"/>
      <c r="AE64" s="119"/>
      <c r="AF64" s="123"/>
      <c r="AH64" s="120"/>
      <c r="AI64" s="121"/>
      <c r="AJ64" s="122"/>
    </row>
    <row r="65" spans="4:37" ht="20.25" customHeight="1" thickBot="1" x14ac:dyDescent="0.25">
      <c r="F65" s="661"/>
      <c r="J65" s="66"/>
      <c r="AE65" s="119"/>
      <c r="AF65" s="123"/>
      <c r="AH65" s="120"/>
      <c r="AI65" s="121"/>
      <c r="AJ65" s="122"/>
    </row>
    <row r="66" spans="4:37" ht="19.5" customHeight="1" x14ac:dyDescent="0.3">
      <c r="D66" s="310" t="s">
        <v>317</v>
      </c>
      <c r="E66" s="165"/>
      <c r="F66" s="165"/>
      <c r="G66" s="869"/>
      <c r="H66" s="835"/>
      <c r="I66" s="835"/>
      <c r="J66" s="835"/>
      <c r="K66" s="166"/>
      <c r="L66" s="124"/>
      <c r="M66" s="167"/>
      <c r="N66" s="124"/>
      <c r="O66" s="124"/>
      <c r="P66" s="124"/>
      <c r="AE66" s="119"/>
      <c r="AF66" s="123"/>
      <c r="AH66" s="9"/>
      <c r="AI66" s="121"/>
      <c r="AJ66" s="122"/>
    </row>
    <row r="67" spans="4:37" ht="24" customHeight="1" x14ac:dyDescent="0.25">
      <c r="D67" s="311" t="s">
        <v>318</v>
      </c>
      <c r="E67" s="509">
        <v>8</v>
      </c>
      <c r="F67" s="312"/>
      <c r="G67" s="826"/>
      <c r="H67" s="826"/>
      <c r="I67" s="826"/>
      <c r="J67" s="826"/>
      <c r="K67" s="314"/>
      <c r="L67" s="315"/>
      <c r="M67" s="316"/>
      <c r="N67" s="124"/>
      <c r="O67" s="124"/>
      <c r="P67" s="124"/>
      <c r="AC67" s="100"/>
      <c r="AD67" s="100"/>
      <c r="AE67" s="173"/>
      <c r="AF67" s="100"/>
      <c r="AG67" s="100"/>
      <c r="AH67" s="9"/>
      <c r="AI67" s="121"/>
      <c r="AJ67" s="122"/>
    </row>
    <row r="68" spans="4:37" ht="17.25" customHeight="1" thickBot="1" x14ac:dyDescent="0.3">
      <c r="D68" s="311" t="s">
        <v>319</v>
      </c>
      <c r="E68" s="372">
        <v>10000</v>
      </c>
      <c r="F68" s="317" t="s">
        <v>289</v>
      </c>
      <c r="G68" s="312"/>
      <c r="H68" s="312"/>
      <c r="I68" s="312"/>
      <c r="J68" s="313"/>
      <c r="K68" s="314"/>
      <c r="L68" s="315"/>
      <c r="M68" s="316"/>
      <c r="N68" s="124"/>
      <c r="O68" s="124"/>
      <c r="P68" s="168"/>
      <c r="Q68" s="169"/>
      <c r="R68" s="169"/>
      <c r="S68" s="169"/>
      <c r="T68" s="169"/>
      <c r="U68" s="169"/>
      <c r="AH68" s="9"/>
      <c r="AI68" s="121"/>
      <c r="AJ68" s="122"/>
    </row>
    <row r="69" spans="4:37" s="67" customFormat="1" ht="51" customHeight="1" x14ac:dyDescent="0.2">
      <c r="D69" s="318" t="s">
        <v>320</v>
      </c>
      <c r="E69" s="319" t="s">
        <v>321</v>
      </c>
      <c r="F69" s="319" t="s">
        <v>322</v>
      </c>
      <c r="G69" s="320" t="s">
        <v>323</v>
      </c>
      <c r="H69" s="321" t="s">
        <v>324</v>
      </c>
      <c r="I69" s="319" t="s">
        <v>325</v>
      </c>
      <c r="J69" s="319" t="s">
        <v>326</v>
      </c>
      <c r="K69" s="363" t="s">
        <v>327</v>
      </c>
      <c r="L69" s="361" t="s">
        <v>328</v>
      </c>
      <c r="M69" s="322" t="s">
        <v>329</v>
      </c>
      <c r="N69" s="18"/>
      <c r="P69" s="170"/>
      <c r="R69" s="171"/>
      <c r="T69" s="172"/>
      <c r="AC69" s="99"/>
      <c r="AD69" s="99"/>
      <c r="AE69" s="99"/>
      <c r="AF69" s="99"/>
      <c r="AG69" s="99"/>
      <c r="AH69" s="174"/>
      <c r="AI69" s="175"/>
      <c r="AJ69" s="176"/>
      <c r="AK69" s="100"/>
    </row>
    <row r="70" spans="4:37" ht="15.75" customHeight="1" x14ac:dyDescent="0.2">
      <c r="D70" s="323">
        <v>1</v>
      </c>
      <c r="E70" s="658">
        <f t="shared" ref="E70:E81" si="0">IF(ISBLANK(F70),"",+E$68)</f>
        <v>10000</v>
      </c>
      <c r="F70" s="657">
        <v>10020</v>
      </c>
      <c r="G70" s="523">
        <f>IF('Identificación del Instrumento'!$F$17="PRIMITIVA","",IF(ISNUMBER(E70),IF($G$59="DISCONTINUA",$E$18/2,0),""))</f>
        <v>10</v>
      </c>
      <c r="H70" s="659">
        <f t="shared" ref="H70:H81" si="1">IF(ISNUMBER(F70)=TRUE,IF($G$59="DISCONTINUA",F70+$G$18/2-G70,F70-G70),"")</f>
        <v>10020</v>
      </c>
      <c r="I70" s="524">
        <f t="shared" ref="I70:I81" si="2">IF(ISNUMBER(F70),IF(E70&lt;=$F$49,I$49,IF(E70&lt;=$F$50,$I$50,$I$51)),"")</f>
        <v>20</v>
      </c>
      <c r="J70" s="660">
        <f>+IF(ISNUMBER(E70),IF('Identificación del Instrumento'!$B$17="PERIÓDICA",F70-E70,H70-E70),"")</f>
        <v>20</v>
      </c>
      <c r="K70" s="525">
        <f t="shared" ref="K70:K81" si="3">+IF(ISNUMBER(F70),IF(ABS(J70)&lt;=I70,0,1),"")</f>
        <v>0</v>
      </c>
      <c r="L70" s="362">
        <v>0</v>
      </c>
      <c r="M70" s="324">
        <f t="shared" ref="M70:M81" si="4">IF(COUNT(H70,L70)=2,H70-L70,"")</f>
        <v>10020</v>
      </c>
      <c r="N70" s="157"/>
      <c r="P70" s="124"/>
      <c r="AH70" s="120"/>
      <c r="AI70" s="121"/>
      <c r="AJ70" s="122"/>
    </row>
    <row r="71" spans="4:37" ht="15.75" customHeight="1" x14ac:dyDescent="0.2">
      <c r="D71" s="323">
        <v>2</v>
      </c>
      <c r="E71" s="658">
        <f t="shared" si="0"/>
        <v>10000</v>
      </c>
      <c r="F71" s="657">
        <v>10020</v>
      </c>
      <c r="G71" s="523">
        <f>IF('Identificación del Instrumento'!$F$17="PRIMITIVA","",IF(ISNUMBER(E71),IF($G$59="DISCONTINUA",$E$18/2,0),""))</f>
        <v>10</v>
      </c>
      <c r="H71" s="659">
        <f t="shared" si="1"/>
        <v>10020</v>
      </c>
      <c r="I71" s="524">
        <f t="shared" si="2"/>
        <v>20</v>
      </c>
      <c r="J71" s="660">
        <f>+IF(ISNUMBER(E71),IF('Identificación del Instrumento'!$B$17="PERIÓDICA",F71-E71,H71-E71),"")</f>
        <v>20</v>
      </c>
      <c r="K71" s="525">
        <f t="shared" si="3"/>
        <v>0</v>
      </c>
      <c r="L71" s="362">
        <v>0</v>
      </c>
      <c r="M71" s="324">
        <f t="shared" si="4"/>
        <v>10020</v>
      </c>
      <c r="N71" s="157"/>
      <c r="P71" s="177"/>
      <c r="Q71" s="178"/>
      <c r="R71" s="179"/>
      <c r="S71" s="180"/>
      <c r="T71" s="178"/>
      <c r="U71" s="179"/>
      <c r="V71" s="178"/>
    </row>
    <row r="72" spans="4:37" ht="15.75" customHeight="1" x14ac:dyDescent="0.2">
      <c r="D72" s="323">
        <v>3</v>
      </c>
      <c r="E72" s="658">
        <f t="shared" si="0"/>
        <v>10000</v>
      </c>
      <c r="F72" s="657">
        <v>10020</v>
      </c>
      <c r="G72" s="523">
        <f>IF('Identificación del Instrumento'!$F$17="PRIMITIVA","",IF(ISNUMBER(E72),IF($G$59="DISCONTINUA",$E$18/2,0),""))</f>
        <v>10</v>
      </c>
      <c r="H72" s="659">
        <f t="shared" si="1"/>
        <v>10020</v>
      </c>
      <c r="I72" s="524">
        <f t="shared" si="2"/>
        <v>20</v>
      </c>
      <c r="J72" s="660">
        <f>+IF(ISNUMBER(E72),IF('Identificación del Instrumento'!$B$17="PERIÓDICA",F72-E72,H72-E72),"")</f>
        <v>20</v>
      </c>
      <c r="K72" s="525">
        <f t="shared" si="3"/>
        <v>0</v>
      </c>
      <c r="L72" s="362">
        <v>0</v>
      </c>
      <c r="M72" s="324">
        <f t="shared" si="4"/>
        <v>10020</v>
      </c>
      <c r="N72" s="157"/>
      <c r="P72" s="183"/>
      <c r="Q72" s="184"/>
      <c r="R72" s="185"/>
      <c r="S72" s="100"/>
      <c r="T72" s="100"/>
      <c r="U72" s="71"/>
      <c r="V72" s="157"/>
    </row>
    <row r="73" spans="4:37" ht="15.75" customHeight="1" x14ac:dyDescent="0.2">
      <c r="D73" s="323">
        <v>4</v>
      </c>
      <c r="E73" s="658">
        <f t="shared" si="0"/>
        <v>10000</v>
      </c>
      <c r="F73" s="657">
        <v>10020</v>
      </c>
      <c r="G73" s="523">
        <f>IF('Identificación del Instrumento'!$F$17="PRIMITIVA","",IF(ISNUMBER(E73),IF($G$59="DISCONTINUA",$E$18/2,0),""))</f>
        <v>10</v>
      </c>
      <c r="H73" s="659">
        <f t="shared" si="1"/>
        <v>10020</v>
      </c>
      <c r="I73" s="524">
        <f t="shared" si="2"/>
        <v>20</v>
      </c>
      <c r="J73" s="660">
        <f>+IF(ISNUMBER(E73),IF('Identificación del Instrumento'!$B$17="PERIÓDICA",F73-E73,H73-E73),"")</f>
        <v>20</v>
      </c>
      <c r="K73" s="525">
        <f t="shared" si="3"/>
        <v>0</v>
      </c>
      <c r="L73" s="362">
        <v>0</v>
      </c>
      <c r="M73" s="324">
        <f t="shared" si="4"/>
        <v>10020</v>
      </c>
      <c r="N73" s="157"/>
      <c r="P73" s="183"/>
      <c r="Q73" s="184"/>
      <c r="R73" s="185"/>
      <c r="S73" s="100"/>
      <c r="T73" s="100"/>
      <c r="U73" s="71"/>
      <c r="V73" s="157"/>
    </row>
    <row r="74" spans="4:37" ht="15.75" customHeight="1" x14ac:dyDescent="0.2">
      <c r="D74" s="323">
        <v>5</v>
      </c>
      <c r="E74" s="658">
        <f t="shared" si="0"/>
        <v>10000</v>
      </c>
      <c r="F74" s="657">
        <v>10020</v>
      </c>
      <c r="G74" s="523">
        <f>IF('Identificación del Instrumento'!$F$17="PRIMITIVA","",IF(ISNUMBER(E74),IF($G$59="DISCONTINUA",$E$18/2,0),""))</f>
        <v>10</v>
      </c>
      <c r="H74" s="659">
        <f t="shared" si="1"/>
        <v>10020</v>
      </c>
      <c r="I74" s="524">
        <f t="shared" si="2"/>
        <v>20</v>
      </c>
      <c r="J74" s="660">
        <f>+IF(ISNUMBER(E74),IF('Identificación del Instrumento'!$B$17="PERIÓDICA",F74-E74,H74-E74),"")</f>
        <v>20</v>
      </c>
      <c r="K74" s="525">
        <f t="shared" si="3"/>
        <v>0</v>
      </c>
      <c r="L74" s="362">
        <v>0</v>
      </c>
      <c r="M74" s="324">
        <f t="shared" si="4"/>
        <v>10020</v>
      </c>
      <c r="N74" s="157"/>
      <c r="P74" s="183"/>
      <c r="Q74" s="184"/>
      <c r="R74" s="185"/>
      <c r="S74" s="100"/>
      <c r="T74" s="100"/>
      <c r="U74" s="71"/>
      <c r="V74" s="157"/>
    </row>
    <row r="75" spans="4:37" ht="15.75" customHeight="1" x14ac:dyDescent="0.2">
      <c r="D75" s="323">
        <v>6</v>
      </c>
      <c r="E75" s="658">
        <f t="shared" si="0"/>
        <v>10000</v>
      </c>
      <c r="F75" s="657">
        <v>10020</v>
      </c>
      <c r="G75" s="523">
        <f>IF('Identificación del Instrumento'!$F$17="PRIMITIVA","",IF(ISNUMBER(E75),IF($G$59="DISCONTINUA",$E$18/2,0),""))</f>
        <v>10</v>
      </c>
      <c r="H75" s="659">
        <f t="shared" si="1"/>
        <v>10020</v>
      </c>
      <c r="I75" s="524">
        <f t="shared" si="2"/>
        <v>20</v>
      </c>
      <c r="J75" s="660">
        <f>+IF(ISNUMBER(E75),IF('Identificación del Instrumento'!$B$17="PERIÓDICA",F75-E75,H75-E75),"")</f>
        <v>20</v>
      </c>
      <c r="K75" s="525">
        <f t="shared" si="3"/>
        <v>0</v>
      </c>
      <c r="L75" s="362">
        <v>0</v>
      </c>
      <c r="M75" s="324">
        <f t="shared" si="4"/>
        <v>10020</v>
      </c>
      <c r="N75" s="157"/>
      <c r="P75" s="183"/>
      <c r="Q75" s="184"/>
      <c r="R75" s="185"/>
      <c r="S75" s="100"/>
      <c r="T75" s="100"/>
      <c r="U75" s="71"/>
      <c r="V75" s="157"/>
    </row>
    <row r="76" spans="4:37" ht="15.75" customHeight="1" x14ac:dyDescent="0.2">
      <c r="D76" s="323">
        <v>7</v>
      </c>
      <c r="E76" s="658">
        <f t="shared" si="0"/>
        <v>10000</v>
      </c>
      <c r="F76" s="657">
        <v>10020</v>
      </c>
      <c r="G76" s="523">
        <f>IF('Identificación del Instrumento'!$F$17="PRIMITIVA","",IF(ISNUMBER(E76),IF($G$59="DISCONTINUA",$E$18/2,0),""))</f>
        <v>10</v>
      </c>
      <c r="H76" s="659">
        <f t="shared" si="1"/>
        <v>10020</v>
      </c>
      <c r="I76" s="524">
        <f t="shared" si="2"/>
        <v>20</v>
      </c>
      <c r="J76" s="660">
        <f>+IF(ISNUMBER(E76),IF('Identificación del Instrumento'!$B$17="PERIÓDICA",F76-E76,H76-E76),"")</f>
        <v>20</v>
      </c>
      <c r="K76" s="525">
        <f t="shared" si="3"/>
        <v>0</v>
      </c>
      <c r="L76" s="362">
        <v>0</v>
      </c>
      <c r="M76" s="324">
        <f t="shared" si="4"/>
        <v>10020</v>
      </c>
      <c r="N76" s="157"/>
      <c r="P76" s="183"/>
      <c r="Q76" s="184"/>
      <c r="R76" s="185"/>
      <c r="S76" s="100"/>
      <c r="T76" s="100"/>
      <c r="U76" s="71"/>
      <c r="V76" s="157"/>
    </row>
    <row r="77" spans="4:37" ht="15.75" customHeight="1" x14ac:dyDescent="0.2">
      <c r="D77" s="323">
        <v>8</v>
      </c>
      <c r="E77" s="658">
        <f t="shared" si="0"/>
        <v>10000</v>
      </c>
      <c r="F77" s="657">
        <v>10020</v>
      </c>
      <c r="G77" s="523">
        <f>IF('Identificación del Instrumento'!$F$17="PRIMITIVA","",IF(ISNUMBER(E77),IF($G$59="DISCONTINUA",$E$18/2,0),""))</f>
        <v>10</v>
      </c>
      <c r="H77" s="659">
        <f t="shared" si="1"/>
        <v>10020</v>
      </c>
      <c r="I77" s="524">
        <f t="shared" si="2"/>
        <v>20</v>
      </c>
      <c r="J77" s="660">
        <f>+IF(ISNUMBER(E77),IF('Identificación del Instrumento'!$B$17="PERIÓDICA",F77-E77,H77-E77),"")</f>
        <v>20</v>
      </c>
      <c r="K77" s="525">
        <f t="shared" si="3"/>
        <v>0</v>
      </c>
      <c r="L77" s="362">
        <v>0</v>
      </c>
      <c r="M77" s="324">
        <f t="shared" si="4"/>
        <v>10020</v>
      </c>
      <c r="N77" s="157"/>
      <c r="P77" s="124"/>
    </row>
    <row r="78" spans="4:37" ht="15.75" customHeight="1" x14ac:dyDescent="0.2">
      <c r="D78" s="323">
        <v>9</v>
      </c>
      <c r="E78" s="658" t="str">
        <f t="shared" si="0"/>
        <v/>
      </c>
      <c r="F78" s="657"/>
      <c r="G78" s="523" t="str">
        <f>IF('Identificación del Instrumento'!$F$17="PRIMITIVA","",IF(ISNUMBER(E78),IF($G$59="DISCONTINUA",$E$18/2,0),""))</f>
        <v/>
      </c>
      <c r="H78" s="659" t="str">
        <f t="shared" si="1"/>
        <v/>
      </c>
      <c r="I78" s="524" t="str">
        <f t="shared" si="2"/>
        <v/>
      </c>
      <c r="J78" s="660" t="str">
        <f>+IF(ISNUMBER(E78),IF('Identificación del Instrumento'!$B$17="PERIÓDICA",F78-E78,H78-E78),"")</f>
        <v/>
      </c>
      <c r="K78" s="525" t="str">
        <f t="shared" si="3"/>
        <v/>
      </c>
      <c r="L78" s="362">
        <v>0</v>
      </c>
      <c r="M78" s="325" t="str">
        <f t="shared" si="4"/>
        <v/>
      </c>
      <c r="N78" s="157"/>
      <c r="P78" s="124"/>
    </row>
    <row r="79" spans="4:37" ht="16.5" customHeight="1" x14ac:dyDescent="0.2">
      <c r="D79" s="323">
        <v>10</v>
      </c>
      <c r="E79" s="658" t="str">
        <f t="shared" si="0"/>
        <v/>
      </c>
      <c r="F79" s="657"/>
      <c r="G79" s="523" t="str">
        <f>IF('Identificación del Instrumento'!$F$17="PRIMITIVA","",IF(ISNUMBER(E79),IF($G$59="DISCONTINUA",$E$18/2,0),""))</f>
        <v/>
      </c>
      <c r="H79" s="659" t="str">
        <f t="shared" si="1"/>
        <v/>
      </c>
      <c r="I79" s="524" t="str">
        <f t="shared" si="2"/>
        <v/>
      </c>
      <c r="J79" s="660" t="str">
        <f>+IF(ISNUMBER(E79),IF('Identificación del Instrumento'!$B$17="PERIÓDICA",F79-E79,H79-E79),"")</f>
        <v/>
      </c>
      <c r="K79" s="525" t="str">
        <f t="shared" si="3"/>
        <v/>
      </c>
      <c r="L79" s="362">
        <v>0</v>
      </c>
      <c r="M79" s="325" t="str">
        <f t="shared" si="4"/>
        <v/>
      </c>
      <c r="N79" s="157"/>
      <c r="P79" s="124"/>
    </row>
    <row r="80" spans="4:37" ht="16.5" customHeight="1" x14ac:dyDescent="0.2">
      <c r="D80" s="323">
        <v>11</v>
      </c>
      <c r="E80" s="658" t="str">
        <f t="shared" si="0"/>
        <v/>
      </c>
      <c r="F80" s="657"/>
      <c r="G80" s="523" t="str">
        <f>IF('Identificación del Instrumento'!$F$17="PRIMITIVA","",IF(ISNUMBER(E80),IF($G$59="DISCONTINUA",$E$18/2,0),""))</f>
        <v/>
      </c>
      <c r="H80" s="659" t="str">
        <f t="shared" si="1"/>
        <v/>
      </c>
      <c r="I80" s="524" t="str">
        <f t="shared" si="2"/>
        <v/>
      </c>
      <c r="J80" s="660" t="str">
        <f>+IF(ISNUMBER(E80),IF('Identificación del Instrumento'!$B$17="PERIÓDICA",F80-E80,H80-E80),"")</f>
        <v/>
      </c>
      <c r="K80" s="525" t="str">
        <f t="shared" si="3"/>
        <v/>
      </c>
      <c r="L80" s="459"/>
      <c r="M80" s="325" t="str">
        <f t="shared" si="4"/>
        <v/>
      </c>
      <c r="N80" s="157"/>
      <c r="P80" s="124"/>
    </row>
    <row r="81" spans="4:42" ht="17.25" customHeight="1" thickBot="1" x14ac:dyDescent="0.25">
      <c r="D81" s="323">
        <v>12</v>
      </c>
      <c r="E81" s="658" t="str">
        <f t="shared" si="0"/>
        <v/>
      </c>
      <c r="F81" s="657"/>
      <c r="G81" s="523" t="str">
        <f>IF('Identificación del Instrumento'!$F$17="PRIMITIVA","",IF(ISNUMBER(E81),IF($G$59="DISCONTINUA",$E$18/2,0),""))</f>
        <v/>
      </c>
      <c r="H81" s="659" t="str">
        <f t="shared" si="1"/>
        <v/>
      </c>
      <c r="I81" s="524" t="str">
        <f t="shared" si="2"/>
        <v/>
      </c>
      <c r="J81" s="660" t="str">
        <f>+IF(ISNUMBER(E81),IF('Identificación del Instrumento'!$B$17="PERIÓDICA",F81-E81,H81-E81),"")</f>
        <v/>
      </c>
      <c r="K81" s="525" t="str">
        <f t="shared" si="3"/>
        <v/>
      </c>
      <c r="L81" s="456"/>
      <c r="M81" s="457" t="str">
        <f t="shared" si="4"/>
        <v/>
      </c>
      <c r="N81" s="157"/>
      <c r="P81" s="124"/>
    </row>
    <row r="82" spans="4:42" ht="16.5" customHeight="1" thickBot="1" x14ac:dyDescent="0.3">
      <c r="D82" s="853" t="str">
        <f>+IF(K82=0,"cumple excentricidad","¡no cumple excentricidad !")</f>
        <v>cumple excentricidad</v>
      </c>
      <c r="E82" s="838"/>
      <c r="F82" s="838"/>
      <c r="G82" s="838"/>
      <c r="H82" s="326"/>
      <c r="I82" s="458"/>
      <c r="J82" s="365" t="s">
        <v>330</v>
      </c>
      <c r="K82" s="364">
        <f>IF('Identificación del Instrumento'!B22="Balanza de plataforma",IF(COUNT(K70:K81)=4,+SUM(K70:K81),1),IF('Identificación del Instrumento'!B22="Balanza tipo tolva",0,(IF(ISNUMBER(E67),IF(COUNT(K70:K81)=E67,+SUM(K70:K81),1),1))))</f>
        <v>0</v>
      </c>
      <c r="L82" s="327"/>
      <c r="M82" s="360"/>
      <c r="P82" s="124"/>
    </row>
    <row r="83" spans="4:42" ht="23.25" customHeight="1" thickBot="1" x14ac:dyDescent="0.3">
      <c r="D83" s="328"/>
      <c r="E83" s="328"/>
      <c r="F83" s="328"/>
      <c r="G83" s="329" t="s">
        <v>331</v>
      </c>
      <c r="H83" s="330">
        <f>SUM(H70:H81)</f>
        <v>80160</v>
      </c>
      <c r="I83" s="331"/>
      <c r="J83" s="315"/>
      <c r="K83" s="316"/>
      <c r="L83" s="332">
        <f>SUM(L70:L77)</f>
        <v>0</v>
      </c>
      <c r="M83" s="315"/>
      <c r="N83" s="124"/>
      <c r="O83" s="124"/>
      <c r="P83" s="124"/>
    </row>
    <row r="84" spans="4:42" ht="27" customHeight="1" thickBot="1" x14ac:dyDescent="0.4">
      <c r="D84" s="187" t="s">
        <v>332</v>
      </c>
      <c r="E84" s="521">
        <f>'Identificación del Instrumento'!D30</f>
        <v>20</v>
      </c>
      <c r="F84" s="186"/>
      <c r="G84" s="329" t="s">
        <v>333</v>
      </c>
      <c r="H84" s="330">
        <f>MAX(H70:H79)-MIN(H70:H79)</f>
        <v>0</v>
      </c>
      <c r="I84" s="66"/>
      <c r="J84" s="124"/>
      <c r="K84" s="167"/>
      <c r="L84" s="124"/>
      <c r="M84" s="124"/>
      <c r="N84" s="124"/>
      <c r="O84" s="124"/>
      <c r="P84" s="124"/>
    </row>
    <row r="85" spans="4:42" ht="12.75" customHeight="1" x14ac:dyDescent="0.25">
      <c r="D85" s="186"/>
      <c r="E85" s="186"/>
      <c r="F85" s="186"/>
      <c r="G85" s="186"/>
      <c r="H85" s="124"/>
      <c r="I85" s="66"/>
      <c r="J85" s="124"/>
      <c r="K85" s="167"/>
      <c r="L85" s="124"/>
      <c r="M85" s="124"/>
      <c r="N85" s="124"/>
      <c r="O85" s="124"/>
      <c r="P85" s="124"/>
    </row>
    <row r="86" spans="4:42" ht="13.5" customHeight="1" thickBot="1" x14ac:dyDescent="0.25">
      <c r="F86" s="188"/>
      <c r="G86" s="189"/>
      <c r="H86" s="190"/>
      <c r="I86" s="190"/>
      <c r="J86" s="190"/>
      <c r="K86" s="167"/>
      <c r="L86" s="190"/>
      <c r="M86" s="190"/>
      <c r="N86" s="190"/>
      <c r="O86" s="190"/>
      <c r="P86" s="190"/>
    </row>
    <row r="87" spans="4:42" ht="39.75" customHeight="1" thickBot="1" x14ac:dyDescent="0.3">
      <c r="D87" s="333" t="s">
        <v>334</v>
      </c>
      <c r="E87" s="282"/>
      <c r="F87" s="368" t="s">
        <v>335</v>
      </c>
      <c r="G87" s="97" t="s">
        <v>336</v>
      </c>
      <c r="H87" s="369" t="s">
        <v>337</v>
      </c>
      <c r="I87" s="285" t="s">
        <v>276</v>
      </c>
      <c r="J87" s="287"/>
      <c r="K87" s="288"/>
      <c r="L87" s="289"/>
      <c r="M87" s="289"/>
      <c r="N87" s="290"/>
      <c r="S87" s="510" t="s">
        <v>338</v>
      </c>
      <c r="T87" s="510" t="s">
        <v>276</v>
      </c>
    </row>
    <row r="88" spans="4:42" ht="15" customHeight="1" x14ac:dyDescent="0.25">
      <c r="D88" s="291"/>
      <c r="E88" s="281"/>
      <c r="F88" s="281" t="s">
        <v>339</v>
      </c>
      <c r="G88" s="373">
        <v>2000</v>
      </c>
      <c r="H88" s="286" t="s">
        <v>289</v>
      </c>
      <c r="I88" s="280"/>
      <c r="J88" s="280"/>
      <c r="K88" s="292"/>
      <c r="L88" s="280"/>
      <c r="M88" s="280"/>
      <c r="N88" s="293"/>
      <c r="S88" s="510" t="s">
        <v>336</v>
      </c>
      <c r="T88" s="510" t="s">
        <v>274</v>
      </c>
    </row>
    <row r="89" spans="4:42" ht="15" customHeight="1" thickBot="1" x14ac:dyDescent="0.3">
      <c r="D89" s="291"/>
      <c r="E89" s="357"/>
      <c r="F89" s="357" t="s">
        <v>340</v>
      </c>
      <c r="G89" s="370">
        <f>IF(ISNUMBER(G88),IF(G88&lt;=$F$49,I$49,IF(G88&lt;=$F$50,$I$50,$I$51)),"")</f>
        <v>20</v>
      </c>
      <c r="H89" s="286" t="s">
        <v>289</v>
      </c>
      <c r="I89" s="280"/>
      <c r="J89" s="280"/>
      <c r="K89" s="292"/>
      <c r="L89" s="280"/>
      <c r="M89" s="280"/>
      <c r="N89" s="293"/>
    </row>
    <row r="90" spans="4:42" ht="33.75" customHeight="1" thickBot="1" x14ac:dyDescent="0.25">
      <c r="D90" s="276" t="s">
        <v>341</v>
      </c>
      <c r="E90" s="274" t="s">
        <v>342</v>
      </c>
      <c r="F90" s="435" t="s">
        <v>343</v>
      </c>
      <c r="G90" s="430" t="s">
        <v>344</v>
      </c>
      <c r="H90" s="274" t="s">
        <v>345</v>
      </c>
      <c r="I90" s="435" t="s">
        <v>346</v>
      </c>
      <c r="J90" s="430" t="s">
        <v>347</v>
      </c>
      <c r="K90" s="436" t="s">
        <v>348</v>
      </c>
      <c r="L90" s="435" t="s">
        <v>349</v>
      </c>
      <c r="M90" s="275" t="s">
        <v>350</v>
      </c>
      <c r="N90" s="277" t="s">
        <v>351</v>
      </c>
      <c r="O90" s="191"/>
      <c r="P90" s="48"/>
      <c r="Q90" s="36"/>
      <c r="AI90" s="99"/>
      <c r="AJ90" s="99"/>
      <c r="AL90" s="99"/>
      <c r="AM90" s="99"/>
      <c r="AN90" s="181"/>
      <c r="AO90" s="182"/>
      <c r="AP90" s="99"/>
    </row>
    <row r="91" spans="4:42" ht="15" customHeight="1" x14ac:dyDescent="0.25">
      <c r="D91" s="278">
        <v>1</v>
      </c>
      <c r="E91" s="526">
        <v>0</v>
      </c>
      <c r="F91" s="527">
        <f>IF(ISNUMBER(E91),IF('Identificación del Instrumento'!$F$17="PRIMITIVA","",IF($G$59="DISCONTINUA",$E$84/2,0)),"")</f>
        <v>10</v>
      </c>
      <c r="G91" s="431">
        <f>IF(AND(ISNUMBER(F91),ISNUMBER(E91))=TRUE,IF($G$59="DISCONTINUA",E91+$E$84/2-F91,E91-F91),"")</f>
        <v>0</v>
      </c>
      <c r="H91" s="749">
        <v>12560</v>
      </c>
      <c r="I91" s="709">
        <f>IF(ISNUMBER(H91),IF('Identificación del Instrumento'!$F$17="PRIMITIVA","",IF($G$59="DISCONTINUA",$E$84/2,0)),"")</f>
        <v>10</v>
      </c>
      <c r="J91" s="431">
        <f>IF(AND(ISNUMBER(I91),ISNUMBER(H91))=TRUE,IF($G$59="DISCONTINUA",H91+$E$84/2-I91,H91-I91),"")</f>
        <v>12560</v>
      </c>
      <c r="K91" s="526">
        <v>0</v>
      </c>
      <c r="L91" s="437">
        <f>IF(ISNUMBER(K91),IF('Identificación del Instrumento'!$F$17="PRIMITIVA","",IF($G$59="DISCONTINUA",$E$84/2,0)),"")</f>
        <v>10</v>
      </c>
      <c r="M91" s="439">
        <f>IF(AND(ISNUMBER(L91),ISNUMBER(K91))=TRUE,IF($G$59="DISCONTINUA",K91+$E$84/2-L91,K91-L91),"")</f>
        <v>0</v>
      </c>
      <c r="N91" s="496">
        <f>IF(COUNT(G91,J91,M91)=3,-AVERAGE(G91,M91)+J91,"")</f>
        <v>12560</v>
      </c>
      <c r="O91" s="123"/>
      <c r="P91" s="48"/>
      <c r="Q91" s="36"/>
      <c r="AI91" s="99"/>
      <c r="AJ91" s="99"/>
      <c r="AL91" s="99"/>
      <c r="AM91" s="99"/>
      <c r="AN91" s="181"/>
      <c r="AO91" s="182"/>
      <c r="AP91" s="99"/>
    </row>
    <row r="92" spans="4:42" ht="15" customHeight="1" x14ac:dyDescent="0.25">
      <c r="D92" s="278">
        <v>2</v>
      </c>
      <c r="E92" s="489">
        <v>0</v>
      </c>
      <c r="F92" s="527">
        <f>IF(ISNUMBER(E92),IF('Identificación del Instrumento'!$F$17="PRIMITIVA","",IF($G$59="DISCONTINUA",$E$84/2,0)),"")</f>
        <v>10</v>
      </c>
      <c r="G92" s="432">
        <f>IF(AND(ISNUMBER(F92),ISNUMBER(E92))=TRUE,IF($G$59="DISCONTINUA",E92+$E$84/2-F92,E92-F92),"")</f>
        <v>0</v>
      </c>
      <c r="H92" s="749">
        <v>12560</v>
      </c>
      <c r="I92" s="527">
        <f>IF(ISNUMBER(H92),IF('Identificación del Instrumento'!$F$17="PRIMITIVA","",IF($G$59="DISCONTINUA",$E$84/2,0)),"")</f>
        <v>10</v>
      </c>
      <c r="J92" s="432">
        <f>IF(AND(ISNUMBER(I92),ISNUMBER(H92))=TRUE,IF($G$59="DISCONTINUA",H92+$E$84/2-I92,H92-I92),"")</f>
        <v>12560</v>
      </c>
      <c r="K92" s="489">
        <v>0</v>
      </c>
      <c r="L92" s="437">
        <f>IF(ISNUMBER(K92),IF('Identificación del Instrumento'!$F$17="PRIMITIVA","",IF($G$59="DISCONTINUA",$E$84/2,0)),"")</f>
        <v>10</v>
      </c>
      <c r="M92" s="440">
        <f>IF(AND(ISNUMBER(L92),ISNUMBER(K92))=TRUE,IF($G$59="DISCONTINUA",K92+$E$84/2-L92,K92-L92),"")</f>
        <v>0</v>
      </c>
      <c r="N92" s="497">
        <f>IF(COUNT(G92,J92,M92)=3,-AVERAGE(G92,M92)+J92,"")</f>
        <v>12560</v>
      </c>
      <c r="O92" s="123"/>
      <c r="P92" s="48"/>
      <c r="Q92" s="36"/>
      <c r="AI92" s="99"/>
      <c r="AJ92" s="99"/>
      <c r="AL92" s="99"/>
      <c r="AM92" s="99"/>
      <c r="AN92" s="181"/>
      <c r="AO92" s="182"/>
      <c r="AP92" s="99"/>
    </row>
    <row r="93" spans="4:42" ht="15" customHeight="1" x14ac:dyDescent="0.25">
      <c r="D93" s="278">
        <v>3</v>
      </c>
      <c r="E93" s="489">
        <v>0</v>
      </c>
      <c r="F93" s="527">
        <f>IF(ISNUMBER(E93),IF('Identificación del Instrumento'!$F$17="PRIMITIVA","",IF($G$59="DISCONTINUA",$E$84/2,0)),"")</f>
        <v>10</v>
      </c>
      <c r="G93" s="433">
        <f>IF(AND(ISNUMBER(F93),ISNUMBER(E93))=TRUE,IF($G$59="DISCONTINUA",E93+$E$84/2-F93,E93-F93),"")</f>
        <v>0</v>
      </c>
      <c r="H93" s="749">
        <v>12560</v>
      </c>
      <c r="I93" s="527">
        <f>IF(ISNUMBER(H93),IF('Identificación del Instrumento'!$F$17="PRIMITIVA","",IF($G$59="DISCONTINUA",$E$84/2,0)),"")</f>
        <v>10</v>
      </c>
      <c r="J93" s="432">
        <f>IF(AND(ISNUMBER(I93),ISNUMBER(H93))=TRUE,IF($G$59="DISCONTINUA",H93+$E$84/2-I93,H93-I93),"")</f>
        <v>12560</v>
      </c>
      <c r="K93" s="489">
        <v>0</v>
      </c>
      <c r="L93" s="437">
        <f>IF(ISNUMBER(K93),IF('Identificación del Instrumento'!$F$17="PRIMITIVA","",IF($G$59="DISCONTINUA",$E$84/2,0)),"")</f>
        <v>10</v>
      </c>
      <c r="M93" s="440">
        <f>IF(AND(ISNUMBER(L93),ISNUMBER(K93))=TRUE,IF($G$59="DISCONTINUA",K93+$E$84/2-L93,K93-L93),"")</f>
        <v>0</v>
      </c>
      <c r="N93" s="497">
        <f>IF(COUNT(G93,J93,M93)=3,-AVERAGE(G93,M93)+J93,"")</f>
        <v>12560</v>
      </c>
      <c r="O93" s="123"/>
      <c r="P93" s="48"/>
      <c r="Q93" s="36"/>
      <c r="AI93" s="99"/>
      <c r="AJ93" s="99"/>
      <c r="AL93" s="99"/>
      <c r="AM93" s="99"/>
      <c r="AN93" s="181"/>
      <c r="AO93" s="182"/>
      <c r="AP93" s="99"/>
    </row>
    <row r="94" spans="4:42" ht="15" customHeight="1" x14ac:dyDescent="0.25">
      <c r="D94" s="278">
        <v>4</v>
      </c>
      <c r="E94" s="489">
        <v>0</v>
      </c>
      <c r="F94" s="527">
        <f>IF(ISNUMBER(E94),IF('Identificación del Instrumento'!$F$17="PRIMITIVA","",IF($G$59="DISCONTINUA",$E$84/2,0)),"")</f>
        <v>10</v>
      </c>
      <c r="G94" s="433">
        <f>IF(AND(ISNUMBER(F94),ISNUMBER(E94))=TRUE,IF($G$59="DISCONTINUA",E94+$E$84/2-F94,E94-F94),"")</f>
        <v>0</v>
      </c>
      <c r="H94" s="749">
        <v>12560</v>
      </c>
      <c r="I94" s="527">
        <f>IF(ISNUMBER(H94),IF('Identificación del Instrumento'!$F$17="PRIMITIVA","",IF($G$59="DISCONTINUA",$E$84/2,0)),"")</f>
        <v>10</v>
      </c>
      <c r="J94" s="432">
        <f>IF(AND(ISNUMBER(I94),ISNUMBER(H94))=TRUE,IF($G$59="DISCONTINUA",H94+$E$84/2-I94,H94-I94),"")</f>
        <v>12560</v>
      </c>
      <c r="K94" s="489">
        <v>0</v>
      </c>
      <c r="L94" s="437">
        <f>IF(ISNUMBER(K94),IF('Identificación del Instrumento'!$F$17="PRIMITIVA","",IF($G$59="DISCONTINUA",$E$84/2,0)),"")</f>
        <v>10</v>
      </c>
      <c r="M94" s="440">
        <f>IF(AND(ISNUMBER(L94),ISNUMBER(K94))=TRUE,IF($G$59="DISCONTINUA",K94+$E$84/2-L94,K94-L94),"")</f>
        <v>0</v>
      </c>
      <c r="N94" s="497">
        <f>IF(COUNT(G94,J94,M94)=3,-AVERAGE(G94,M94)+J94,"")</f>
        <v>12560</v>
      </c>
      <c r="O94" s="123"/>
      <c r="P94" s="48"/>
      <c r="Q94" s="36"/>
      <c r="AI94" s="99"/>
      <c r="AJ94" s="99"/>
      <c r="AL94" s="99"/>
      <c r="AM94" s="99"/>
      <c r="AN94" s="181"/>
      <c r="AO94" s="182"/>
      <c r="AP94" s="99"/>
    </row>
    <row r="95" spans="4:42" ht="15" customHeight="1" thickBot="1" x14ac:dyDescent="0.3">
      <c r="D95" s="278">
        <v>5</v>
      </c>
      <c r="E95" s="490">
        <v>0</v>
      </c>
      <c r="F95" s="504">
        <f>IF(ISNUMBER(E95),IF('Identificación del Instrumento'!$F$17="PRIMITIVA","",IF($G$59="DISCONTINUA",$E$84/2,0)),"")</f>
        <v>10</v>
      </c>
      <c r="G95" s="434">
        <f>IF(AND(ISNUMBER(F95),ISNUMBER(E95))=TRUE,IF($G$59="DISCONTINUA",E95+$E$84/2-F95,E95-F95),"")</f>
        <v>0</v>
      </c>
      <c r="H95" s="749">
        <v>12560</v>
      </c>
      <c r="I95" s="438">
        <f>IF(ISNUMBER(H95),IF('Identificación del Instrumento'!$F$17="PRIMITIVA","",IF($G$59="DISCONTINUA",$E$84/2,0)),"")</f>
        <v>10</v>
      </c>
      <c r="J95" s="434">
        <f>IF(AND(ISNUMBER(I95),ISNUMBER(H95))=TRUE,IF($G$59="DISCONTINUA",H95+$E$84/2-I95,H95-I95),"")</f>
        <v>12560</v>
      </c>
      <c r="K95" s="490">
        <v>0</v>
      </c>
      <c r="L95" s="438">
        <f>IF(ISNUMBER(K95),IF('Identificación del Instrumento'!$F$17="PRIMITIVA","",IF($G$59="DISCONTINUA",$E$84/2,0)),"")</f>
        <v>10</v>
      </c>
      <c r="M95" s="441">
        <f>IF(AND(ISNUMBER(L95),ISNUMBER(K95))=TRUE,IF($G$59="DISCONTINUA",K95+$E$84/2-L95,K95-L95),"")</f>
        <v>0</v>
      </c>
      <c r="N95" s="498">
        <f>IF(COUNT(G95,J95,M95)=3,-AVERAGE(G95,M95)+J95,"")</f>
        <v>12560</v>
      </c>
      <c r="O95" s="123"/>
      <c r="P95" s="48"/>
      <c r="Q95" s="36"/>
      <c r="AI95" s="99"/>
      <c r="AJ95" s="99"/>
      <c r="AL95" s="99"/>
      <c r="AM95" s="99"/>
      <c r="AN95" s="181"/>
      <c r="AO95" s="182"/>
      <c r="AP95" s="99"/>
    </row>
    <row r="96" spans="4:42" ht="16.5" customHeight="1" thickBot="1" x14ac:dyDescent="0.3">
      <c r="D96" s="279"/>
      <c r="E96" s="280"/>
      <c r="F96" s="280"/>
      <c r="G96" s="280"/>
      <c r="H96" s="280"/>
      <c r="I96" s="280"/>
      <c r="J96" s="392" t="s">
        <v>352</v>
      </c>
      <c r="K96" s="429">
        <f>IF(ISNUMBER(STDEV(N91:N95)),STDEV(N91:N95),"")</f>
        <v>0</v>
      </c>
      <c r="L96" s="935" t="s">
        <v>353</v>
      </c>
      <c r="M96" s="936"/>
      <c r="N96" s="384">
        <f>IF(COUNT(N91:N95)&gt;=3,MAX(N91:N95)-MIN(N91:N95),"")</f>
        <v>0</v>
      </c>
    </row>
    <row r="97" spans="4:23" ht="15.75" customHeight="1" thickBot="1" x14ac:dyDescent="0.3">
      <c r="D97" s="837" t="str">
        <f>+IF(N96&lt;=G89,"cumple fidelidad","no cumple fidelidad!")</f>
        <v>cumple fidelidad</v>
      </c>
      <c r="E97" s="838"/>
      <c r="F97" s="838"/>
      <c r="G97" s="838"/>
      <c r="H97" s="838"/>
      <c r="I97" s="838"/>
      <c r="J97" s="294"/>
      <c r="K97" s="295"/>
      <c r="L97" s="294"/>
      <c r="M97" s="386" t="s">
        <v>309</v>
      </c>
      <c r="N97" s="366">
        <f>IF(ISNUMBER(N96),IF(N96&lt;=G89,0,1),"")</f>
        <v>0</v>
      </c>
    </row>
    <row r="98" spans="4:23" ht="11.25" customHeight="1" thickBot="1" x14ac:dyDescent="0.3">
      <c r="D98" s="98"/>
      <c r="E98" s="98"/>
      <c r="F98" s="98"/>
      <c r="G98" s="98"/>
      <c r="H98" s="98"/>
      <c r="I98" s="98"/>
      <c r="R98" s="98" t="s">
        <v>30</v>
      </c>
      <c r="S98" s="98"/>
      <c r="T98" s="98"/>
      <c r="U98" s="98"/>
      <c r="V98" s="98"/>
      <c r="W98" s="98"/>
    </row>
    <row r="99" spans="4:23" ht="30" customHeight="1" thickBot="1" x14ac:dyDescent="0.3">
      <c r="D99" s="333" t="s">
        <v>354</v>
      </c>
      <c r="E99" s="282"/>
      <c r="F99" s="283" t="s">
        <v>355</v>
      </c>
      <c r="G99" s="97" t="s">
        <v>336</v>
      </c>
      <c r="H99" s="284" t="s">
        <v>337</v>
      </c>
      <c r="I99" s="285" t="s">
        <v>274</v>
      </c>
      <c r="J99" s="287"/>
      <c r="K99" s="288"/>
      <c r="L99" s="289"/>
      <c r="M99" s="289"/>
      <c r="N99" s="290"/>
      <c r="R99" s="98"/>
      <c r="S99" s="98"/>
      <c r="T99" s="98"/>
      <c r="U99" s="98"/>
      <c r="V99" s="98"/>
      <c r="W99" s="98"/>
    </row>
    <row r="100" spans="4:23" ht="15" customHeight="1" x14ac:dyDescent="0.25">
      <c r="D100" s="291"/>
      <c r="E100" s="281"/>
      <c r="F100" s="281" t="s">
        <v>339</v>
      </c>
      <c r="G100" s="373">
        <f>+G88</f>
        <v>2000</v>
      </c>
      <c r="H100" s="286" t="s">
        <v>289</v>
      </c>
      <c r="I100" s="280"/>
      <c r="J100" s="280"/>
      <c r="K100" s="292"/>
      <c r="L100" s="280"/>
      <c r="M100" s="280"/>
      <c r="N100" s="293"/>
      <c r="R100" s="98"/>
      <c r="S100" s="98"/>
      <c r="T100" s="98"/>
      <c r="U100" s="98"/>
      <c r="V100" s="98"/>
      <c r="W100" s="98"/>
    </row>
    <row r="101" spans="4:23" ht="15" customHeight="1" thickBot="1" x14ac:dyDescent="0.3">
      <c r="D101" s="291"/>
      <c r="E101" s="833" t="s">
        <v>340</v>
      </c>
      <c r="F101" s="826"/>
      <c r="G101" s="370">
        <f>IF(ISNUMBER(G100),IF(G100&lt;=$F$49,I$49,IF(G100&lt;=$F$50,$I$50,$I$51)),"")</f>
        <v>20</v>
      </c>
      <c r="H101" s="286" t="s">
        <v>289</v>
      </c>
      <c r="I101" s="280"/>
      <c r="J101" s="280"/>
      <c r="K101" s="292"/>
      <c r="L101" s="280"/>
      <c r="M101" s="280"/>
      <c r="N101" s="293"/>
      <c r="R101" s="98"/>
      <c r="S101" s="98"/>
      <c r="T101" s="98"/>
      <c r="U101" s="98"/>
      <c r="V101" s="98"/>
      <c r="W101" s="98"/>
    </row>
    <row r="102" spans="4:23" ht="33" customHeight="1" thickBot="1" x14ac:dyDescent="0.3">
      <c r="D102" s="276" t="s">
        <v>341</v>
      </c>
      <c r="E102" s="274" t="s">
        <v>342</v>
      </c>
      <c r="F102" s="435" t="s">
        <v>343</v>
      </c>
      <c r="G102" s="430" t="s">
        <v>344</v>
      </c>
      <c r="H102" s="274" t="s">
        <v>345</v>
      </c>
      <c r="I102" s="435" t="s">
        <v>346</v>
      </c>
      <c r="J102" s="430" t="s">
        <v>347</v>
      </c>
      <c r="K102" s="436" t="s">
        <v>348</v>
      </c>
      <c r="L102" s="435" t="s">
        <v>349</v>
      </c>
      <c r="M102" s="275" t="s">
        <v>350</v>
      </c>
      <c r="N102" s="277" t="s">
        <v>351</v>
      </c>
      <c r="R102" s="98"/>
      <c r="S102" s="98"/>
      <c r="T102" s="98"/>
      <c r="U102" s="98"/>
      <c r="V102" s="98"/>
      <c r="W102" s="98"/>
    </row>
    <row r="103" spans="4:23" ht="15" customHeight="1" thickBot="1" x14ac:dyDescent="0.3">
      <c r="D103" s="278">
        <v>1</v>
      </c>
      <c r="E103" s="526">
        <v>0</v>
      </c>
      <c r="F103" s="527">
        <f>IF(ISNUMBER(E103),IF('Identificación del Instrumento'!$F$17="PRIMITIVA","",IF($G$59="DISCONTINUA",$E$84/2,0)),"")</f>
        <v>10</v>
      </c>
      <c r="G103" s="431">
        <f>IF(AND(ISNUMBER(F103),ISNUMBER(E103))=TRUE,IF($G$59="DISCONTINUA",E103+$E$84/2-F103,E103-F103),"")</f>
        <v>0</v>
      </c>
      <c r="H103" s="708">
        <f>H91</f>
        <v>12560</v>
      </c>
      <c r="I103" s="709">
        <f>IF(ISNUMBER(H103),IF('Identificación del Instrumento'!$F$17="PRIMITIVA","",IF($G$59="DISCONTINUA",$E$84/2,0)),"")</f>
        <v>10</v>
      </c>
      <c r="J103" s="431">
        <f>IF(AND(ISNUMBER(I103),ISNUMBER(H103))=TRUE,IF($G$59="DISCONTINUA",H103+$E$84/2-I103,H103-I103),"")</f>
        <v>12560</v>
      </c>
      <c r="K103" s="526">
        <v>0</v>
      </c>
      <c r="L103" s="437">
        <f>IF(ISNUMBER(K103),IF('Identificación del Instrumento'!$F$17="PRIMITIVA","",IF($G$59="DISCONTINUA",$E$84/2,0)),"")</f>
        <v>10</v>
      </c>
      <c r="M103" s="439">
        <f>IF(AND(ISNUMBER(L103),ISNUMBER(K103))=TRUE,IF($G$59="DISCONTINUA",K103+$E$84/2-L103,K103-L103),"")</f>
        <v>0</v>
      </c>
      <c r="N103" s="496">
        <f>IF(COUNT(G103,J103,M103)=3,-AVERAGE(G103,M103)+J103,"")</f>
        <v>12560</v>
      </c>
      <c r="R103" s="98"/>
      <c r="S103" s="98"/>
      <c r="T103" s="98"/>
      <c r="U103" s="98"/>
      <c r="V103" s="98"/>
      <c r="W103" s="98"/>
    </row>
    <row r="104" spans="4:23" ht="15" customHeight="1" thickBot="1" x14ac:dyDescent="0.3">
      <c r="D104" s="278">
        <v>2</v>
      </c>
      <c r="E104" s="489">
        <v>0</v>
      </c>
      <c r="F104" s="527">
        <f>IF(ISNUMBER(E104),IF('Identificación del Instrumento'!$F$17="PRIMITIVA","",IF($G$59="DISCONTINUA",$E$84/2,0)),"")</f>
        <v>10</v>
      </c>
      <c r="G104" s="432">
        <f>IF(AND(ISNUMBER(F104),ISNUMBER(E104))=TRUE,IF($G$59="DISCONTINUA",E104+$E$84/2-F104,E104-F104),"")</f>
        <v>0</v>
      </c>
      <c r="H104" s="708">
        <f t="shared" ref="H104:H107" si="5">H92</f>
        <v>12560</v>
      </c>
      <c r="I104" s="527">
        <f>IF(ISNUMBER(H104),IF('Identificación del Instrumento'!$F$17="PRIMITIVA","",IF($G$59="DISCONTINUA",$E$84/2,0)),"")</f>
        <v>10</v>
      </c>
      <c r="J104" s="432">
        <f>IF(AND(ISNUMBER(I104),ISNUMBER(H104))=TRUE,IF($G$59="DISCONTINUA",H104+$E$84/2-I104,H104-I104),"")</f>
        <v>12560</v>
      </c>
      <c r="K104" s="489">
        <v>0</v>
      </c>
      <c r="L104" s="437">
        <f>IF(ISNUMBER(K104),IF('Identificación del Instrumento'!$F$17="PRIMITIVA","",IF($G$59="DISCONTINUA",$E$84/2,0)),"")</f>
        <v>10</v>
      </c>
      <c r="M104" s="440">
        <f>IF(AND(ISNUMBER(L104),ISNUMBER(K104))=TRUE,IF($G$59="DISCONTINUA",K104+$E$84/2-L104,K104-L104),"")</f>
        <v>0</v>
      </c>
      <c r="N104" s="497">
        <f>IF(COUNT(G104,J104,M104)=3,-AVERAGE(G104,M104)+J104,"")</f>
        <v>12560</v>
      </c>
      <c r="R104" s="98"/>
      <c r="S104" s="98"/>
      <c r="T104" s="98"/>
      <c r="U104" s="98"/>
      <c r="V104" s="98"/>
      <c r="W104" s="98"/>
    </row>
    <row r="105" spans="4:23" ht="15" customHeight="1" thickBot="1" x14ac:dyDescent="0.3">
      <c r="D105" s="278">
        <v>3</v>
      </c>
      <c r="E105" s="489">
        <v>0</v>
      </c>
      <c r="F105" s="527">
        <f>IF(ISNUMBER(E105),IF('Identificación del Instrumento'!$F$17="PRIMITIVA","",IF($G$59="DISCONTINUA",$E$84/2,0)),"")</f>
        <v>10</v>
      </c>
      <c r="G105" s="433">
        <f>IF(AND(ISNUMBER(F105),ISNUMBER(E105))=TRUE,IF($G$59="DISCONTINUA",E105+$E$84/2-F105,E105-F105),"")</f>
        <v>0</v>
      </c>
      <c r="H105" s="708">
        <f t="shared" si="5"/>
        <v>12560</v>
      </c>
      <c r="I105" s="527">
        <f>IF(ISNUMBER(H105),IF('Identificación del Instrumento'!$F$17="PRIMITIVA","",IF($G$59="DISCONTINUA",$E$84/2,0)),"")</f>
        <v>10</v>
      </c>
      <c r="J105" s="432">
        <f>IF(AND(ISNUMBER(I105),ISNUMBER(H105))=TRUE,IF($G$59="DISCONTINUA",H105+$E$84/2-I105,H105-I105),"")</f>
        <v>12560</v>
      </c>
      <c r="K105" s="489">
        <v>0</v>
      </c>
      <c r="L105" s="437">
        <f>IF(ISNUMBER(K105),IF('Identificación del Instrumento'!$F$17="PRIMITIVA","",IF($G$59="DISCONTINUA",$E$84/2,0)),"")</f>
        <v>10</v>
      </c>
      <c r="M105" s="440">
        <f>IF(AND(ISNUMBER(L105),ISNUMBER(K105))=TRUE,IF($G$59="DISCONTINUA",K105+$E$84/2-L105,K105-L105),"")</f>
        <v>0</v>
      </c>
      <c r="N105" s="497">
        <f>IF(COUNT(G105,J105,M105)=3,-AVERAGE(G105,M105)+J105,"")</f>
        <v>12560</v>
      </c>
      <c r="R105" s="98"/>
      <c r="S105" s="98"/>
      <c r="T105" s="98"/>
      <c r="U105" s="98"/>
      <c r="V105" s="98"/>
      <c r="W105" s="98"/>
    </row>
    <row r="106" spans="4:23" ht="15" customHeight="1" thickBot="1" x14ac:dyDescent="0.3">
      <c r="D106" s="278">
        <v>4</v>
      </c>
      <c r="E106" s="489">
        <v>0</v>
      </c>
      <c r="F106" s="527">
        <f>IF(ISNUMBER(E106),IF('Identificación del Instrumento'!$F$17="PRIMITIVA","",IF($G$59="DISCONTINUA",$E$84/2,0)),"")</f>
        <v>10</v>
      </c>
      <c r="G106" s="433">
        <f>IF(AND(ISNUMBER(F106),ISNUMBER(E106))=TRUE,IF($G$59="DISCONTINUA",E106+$E$84/2-F106,E106-F106),"")</f>
        <v>0</v>
      </c>
      <c r="H106" s="708">
        <f t="shared" si="5"/>
        <v>12560</v>
      </c>
      <c r="I106" s="527">
        <f>IF(ISNUMBER(H106),IF('Identificación del Instrumento'!$F$17="PRIMITIVA","",IF($G$59="DISCONTINUA",$E$84/2,0)),"")</f>
        <v>10</v>
      </c>
      <c r="J106" s="432">
        <f>IF(AND(ISNUMBER(I106),ISNUMBER(H106))=TRUE,IF($G$59="DISCONTINUA",H106+$E$84/2-I106,H106-I106),"")</f>
        <v>12560</v>
      </c>
      <c r="K106" s="489">
        <v>0</v>
      </c>
      <c r="L106" s="437">
        <f>IF(ISNUMBER(K106),IF('Identificación del Instrumento'!$F$17="PRIMITIVA","",IF($G$59="DISCONTINUA",$E$84/2,0)),"")</f>
        <v>10</v>
      </c>
      <c r="M106" s="440">
        <f>IF(AND(ISNUMBER(L106),ISNUMBER(K106))=TRUE,IF($G$59="DISCONTINUA",K106+$E$84/2-L106,K106-L106),"")</f>
        <v>0</v>
      </c>
      <c r="N106" s="497">
        <f>IF(COUNT(G106,J106,M106)=3,-AVERAGE(G106,M106)+J106,"")</f>
        <v>12560</v>
      </c>
      <c r="R106" s="98"/>
      <c r="S106" s="98"/>
      <c r="T106" s="98"/>
      <c r="U106" s="98"/>
      <c r="V106" s="98"/>
      <c r="W106" s="98"/>
    </row>
    <row r="107" spans="4:23" ht="15" customHeight="1" thickBot="1" x14ac:dyDescent="0.3">
      <c r="D107" s="278">
        <v>5</v>
      </c>
      <c r="E107" s="490">
        <v>0</v>
      </c>
      <c r="F107" s="504">
        <f>IF(ISNUMBER(E107),IF('Identificación del Instrumento'!$F$17="PRIMITIVA","",IF($G$59="DISCONTINUA",$E$84/2,0)),"")</f>
        <v>10</v>
      </c>
      <c r="G107" s="434">
        <f>IF(AND(ISNUMBER(F107),ISNUMBER(E107))=TRUE,IF($G$59="DISCONTINUA",E107+$E$84/2-F107,E107-F107),"")</f>
        <v>0</v>
      </c>
      <c r="H107" s="708">
        <f t="shared" si="5"/>
        <v>12560</v>
      </c>
      <c r="I107" s="504">
        <f>IF(ISNUMBER(H107),IF('Identificación del Instrumento'!$F$17="PRIMITIVA","",IF($G$59="DISCONTINUA",$E$84/2,0)),"")</f>
        <v>10</v>
      </c>
      <c r="J107" s="434">
        <f>IF(AND(ISNUMBER(I107),ISNUMBER(H107))=TRUE,IF($G$59="DISCONTINUA",H107+$E$84/2-I107,H107-I107),"")</f>
        <v>12560</v>
      </c>
      <c r="K107" s="490">
        <v>0</v>
      </c>
      <c r="L107" s="438">
        <f>IF(ISNUMBER(K107),IF('Identificación del Instrumento'!$F$17="PRIMITIVA","",IF($G$59="DISCONTINUA",$E$84/2,0)),"")</f>
        <v>10</v>
      </c>
      <c r="M107" s="441">
        <f>IF(AND(ISNUMBER(L107),ISNUMBER(K107))=TRUE,IF($G$59="DISCONTINUA",K107+$E$84/2-L107,K107-L107),"")</f>
        <v>0</v>
      </c>
      <c r="N107" s="498">
        <f>IF(COUNT(G107,J107,M107)=3,-AVERAGE(G107,M107)+J107,"")</f>
        <v>12560</v>
      </c>
      <c r="R107" s="98"/>
      <c r="S107" s="98"/>
      <c r="T107" s="98"/>
      <c r="U107" s="98"/>
      <c r="V107" s="98"/>
      <c r="W107" s="98"/>
    </row>
    <row r="108" spans="4:23" ht="15.75" customHeight="1" thickBot="1" x14ac:dyDescent="0.3">
      <c r="D108" s="279"/>
      <c r="E108" s="280"/>
      <c r="F108" s="280"/>
      <c r="G108" s="280"/>
      <c r="H108" s="280"/>
      <c r="I108" s="280"/>
      <c r="J108" s="389" t="s">
        <v>352</v>
      </c>
      <c r="K108" s="385">
        <f>IF(ISNUMBER(STDEV(N103:N107)),STDEV(N103:N107),"")</f>
        <v>0</v>
      </c>
      <c r="L108" s="865" t="s">
        <v>353</v>
      </c>
      <c r="M108" s="774"/>
      <c r="N108" s="388">
        <f>IF(COUNT(N103:N107)&gt;=3,MAX(N103:N107)-MIN(N103:N107),"")</f>
        <v>0</v>
      </c>
      <c r="R108" s="98"/>
      <c r="S108" s="98"/>
      <c r="T108" s="98"/>
      <c r="U108" s="98"/>
      <c r="V108" s="98"/>
      <c r="W108" s="98"/>
    </row>
    <row r="109" spans="4:23" ht="15.75" customHeight="1" thickBot="1" x14ac:dyDescent="0.3">
      <c r="D109" s="837" t="str">
        <f>+IF(N108&lt;=G101,"cumple fidelidad","no cumple fidelidad!")</f>
        <v>cumple fidelidad</v>
      </c>
      <c r="E109" s="838"/>
      <c r="F109" s="838"/>
      <c r="G109" s="838"/>
      <c r="H109" s="838"/>
      <c r="I109" s="838"/>
      <c r="J109" s="294"/>
      <c r="K109" s="295"/>
      <c r="L109" s="294"/>
      <c r="M109" s="386" t="s">
        <v>309</v>
      </c>
      <c r="N109" s="366">
        <f>IF(ISNUMBER(N108),IF(N108&lt;=G101,0,1),"")</f>
        <v>0</v>
      </c>
      <c r="R109" s="98"/>
      <c r="S109" s="98"/>
      <c r="T109" s="98"/>
      <c r="U109" s="98"/>
      <c r="V109" s="98"/>
      <c r="W109" s="98"/>
    </row>
    <row r="110" spans="4:23" ht="12" customHeight="1" thickBot="1" x14ac:dyDescent="0.3">
      <c r="D110" s="98"/>
      <c r="E110" s="98"/>
      <c r="F110" s="98"/>
      <c r="G110" s="98"/>
      <c r="H110" s="98"/>
      <c r="I110" s="98"/>
      <c r="R110" s="98"/>
      <c r="S110" s="98"/>
      <c r="T110" s="98"/>
      <c r="U110" s="98"/>
      <c r="V110" s="98"/>
      <c r="W110" s="98"/>
    </row>
    <row r="111" spans="4:23" ht="30" customHeight="1" thickBot="1" x14ac:dyDescent="0.3">
      <c r="D111" s="333" t="s">
        <v>356</v>
      </c>
      <c r="E111" s="282"/>
      <c r="F111" s="283" t="s">
        <v>355</v>
      </c>
      <c r="G111" s="97" t="s">
        <v>338</v>
      </c>
      <c r="H111" s="284" t="s">
        <v>337</v>
      </c>
      <c r="I111" s="285" t="s">
        <v>276</v>
      </c>
      <c r="J111" s="287"/>
      <c r="K111" s="288"/>
      <c r="L111" s="289"/>
      <c r="M111" s="289"/>
      <c r="N111" s="290"/>
    </row>
    <row r="112" spans="4:23" ht="15" customHeight="1" x14ac:dyDescent="0.25">
      <c r="D112" s="291"/>
      <c r="E112" s="281"/>
      <c r="F112" s="281" t="s">
        <v>339</v>
      </c>
      <c r="G112" s="373">
        <v>36540</v>
      </c>
      <c r="H112" s="286" t="s">
        <v>289</v>
      </c>
      <c r="I112" s="280"/>
      <c r="J112" s="280"/>
      <c r="K112" s="292"/>
      <c r="L112" s="280"/>
      <c r="M112" s="280"/>
      <c r="N112" s="293"/>
    </row>
    <row r="113" spans="4:23" ht="15" customHeight="1" thickBot="1" x14ac:dyDescent="0.3">
      <c r="D113" s="291"/>
      <c r="E113" s="833" t="s">
        <v>340</v>
      </c>
      <c r="F113" s="826"/>
      <c r="G113" s="370">
        <f>IF(ISNUMBER(G112),IF(G112&lt;=$F$49,I$49,IF(G112&lt;=$F$50,$I$50,$I$51)),"")</f>
        <v>40</v>
      </c>
      <c r="H113" s="286"/>
      <c r="I113" s="280"/>
      <c r="J113" s="280"/>
      <c r="K113" s="292"/>
      <c r="L113" s="280"/>
      <c r="M113" s="280"/>
      <c r="N113" s="293"/>
    </row>
    <row r="114" spans="4:23" ht="33" customHeight="1" thickBot="1" x14ac:dyDescent="0.25">
      <c r="D114" s="276" t="s">
        <v>341</v>
      </c>
      <c r="E114" s="274" t="s">
        <v>342</v>
      </c>
      <c r="F114" s="435" t="s">
        <v>343</v>
      </c>
      <c r="G114" s="430" t="s">
        <v>344</v>
      </c>
      <c r="H114" s="274" t="s">
        <v>345</v>
      </c>
      <c r="I114" s="435" t="s">
        <v>346</v>
      </c>
      <c r="J114" s="430" t="s">
        <v>347</v>
      </c>
      <c r="K114" s="436" t="s">
        <v>348</v>
      </c>
      <c r="L114" s="435" t="s">
        <v>349</v>
      </c>
      <c r="M114" s="275" t="s">
        <v>350</v>
      </c>
      <c r="N114" s="277" t="s">
        <v>351</v>
      </c>
    </row>
    <row r="115" spans="4:23" ht="15" customHeight="1" x14ac:dyDescent="0.25">
      <c r="D115" s="278">
        <v>1</v>
      </c>
      <c r="E115" s="526">
        <v>0</v>
      </c>
      <c r="F115" s="527">
        <f>IF(ISNUMBER(E115),IF('Identificación del Instrumento'!$F$17="PRIMITIVA","",IF($G$59="DISCONTINUA",$E$84/2,0)),"")</f>
        <v>10</v>
      </c>
      <c r="G115" s="431">
        <f>IF(AND(ISNUMBER(F115),ISNUMBER(E115))=TRUE,IF($G$59="DISCONTINUA",E115+$E$84/2-F115,E115-F115),"")</f>
        <v>0</v>
      </c>
      <c r="H115" s="750">
        <v>39560</v>
      </c>
      <c r="I115" s="709">
        <f>IF(ISNUMBER(H115),IF('Identificación del Instrumento'!$F$17="PRIMITIVA","",IF($G$59="DISCONTINUA",$E$84/2,0)),"")</f>
        <v>10</v>
      </c>
      <c r="J115" s="431">
        <f>IF(AND(ISNUMBER(I115),ISNUMBER(H115))=TRUE,IF($G$59="DISCONTINUA",H115+$E$84/2-I115,H115-I115),"")</f>
        <v>39560</v>
      </c>
      <c r="K115" s="526">
        <v>0</v>
      </c>
      <c r="L115" s="437">
        <f>IF(ISNUMBER(K115),IF('Identificación del Instrumento'!$F$17="PRIMITIVA","",IF($G$59="DISCONTINUA",$E$84/2,0)),"")</f>
        <v>10</v>
      </c>
      <c r="M115" s="439">
        <f>IF(AND(ISNUMBER(L115),ISNUMBER(K115))=TRUE,IF($G$59="DISCONTINUA",K115+$E$84/2-L115,K115-L115),"")</f>
        <v>0</v>
      </c>
      <c r="N115" s="496">
        <f>IF(COUNT(G115,J115,M115)=3,-AVERAGE(G115,M115)+J115,"")</f>
        <v>39560</v>
      </c>
    </row>
    <row r="116" spans="4:23" ht="15" customHeight="1" x14ac:dyDescent="0.25">
      <c r="D116" s="278">
        <v>2</v>
      </c>
      <c r="E116" s="489">
        <v>0</v>
      </c>
      <c r="F116" s="527">
        <f>IF(ISNUMBER(E116),IF('Identificación del Instrumento'!$F$17="PRIMITIVA","",IF($G$59="DISCONTINUA",$E$84/2,0)),"")</f>
        <v>10</v>
      </c>
      <c r="G116" s="432">
        <f>IF(AND(ISNUMBER(F116),ISNUMBER(E116))=TRUE,IF($G$59="DISCONTINUA",E116+$E$84/2-F116,E116-F116),"")</f>
        <v>0</v>
      </c>
      <c r="H116" s="750">
        <v>39560</v>
      </c>
      <c r="I116" s="527">
        <f>IF(ISNUMBER(H116),IF('Identificación del Instrumento'!$F$17="PRIMITIVA","",IF($G$59="DISCONTINUA",$E$84/2,0)),"")</f>
        <v>10</v>
      </c>
      <c r="J116" s="432">
        <f>IF(AND(ISNUMBER(I116),ISNUMBER(H116))=TRUE,IF($G$59="DISCONTINUA",H116+$E$84/2-I116,H116-I116),"")</f>
        <v>39560</v>
      </c>
      <c r="K116" s="489">
        <v>0</v>
      </c>
      <c r="L116" s="437">
        <f>IF(ISNUMBER(K116),IF('Identificación del Instrumento'!$F$17="PRIMITIVA","",IF($G$59="DISCONTINUA",$E$84/2,0)),"")</f>
        <v>10</v>
      </c>
      <c r="M116" s="440">
        <f>IF(AND(ISNUMBER(L116),ISNUMBER(K116))=TRUE,IF($G$59="DISCONTINUA",K116+$E$84/2-L116,K116-L116),"")</f>
        <v>0</v>
      </c>
      <c r="N116" s="497">
        <f>IF(COUNT(G116,J116,M116)=3,-AVERAGE(G116,M116)+J116,"")</f>
        <v>39560</v>
      </c>
    </row>
    <row r="117" spans="4:23" ht="15" customHeight="1" x14ac:dyDescent="0.25">
      <c r="D117" s="278">
        <v>3</v>
      </c>
      <c r="E117" s="489">
        <v>0</v>
      </c>
      <c r="F117" s="527">
        <f>IF(ISNUMBER(E117),IF('Identificación del Instrumento'!$F$17="PRIMITIVA","",IF($G$59="DISCONTINUA",$E$84/2,0)),"")</f>
        <v>10</v>
      </c>
      <c r="G117" s="433">
        <f>IF(AND(ISNUMBER(F117),ISNUMBER(E117))=TRUE,IF($G$59="DISCONTINUA",E117+$E$84/2-F117,E117-F117),"")</f>
        <v>0</v>
      </c>
      <c r="H117" s="750">
        <v>39560</v>
      </c>
      <c r="I117" s="527">
        <f>IF(ISNUMBER(H117),IF('Identificación del Instrumento'!$F$17="PRIMITIVA","",IF($G$59="DISCONTINUA",$E$84/2,0)),"")</f>
        <v>10</v>
      </c>
      <c r="J117" s="432">
        <f>IF(AND(ISNUMBER(I117),ISNUMBER(H117))=TRUE,IF($G$59="DISCONTINUA",H117+$E$84/2-I117,H117-I117),"")</f>
        <v>39560</v>
      </c>
      <c r="K117" s="489">
        <v>0</v>
      </c>
      <c r="L117" s="437">
        <f>IF(ISNUMBER(K117),IF('Identificación del Instrumento'!$F$17="PRIMITIVA","",IF($G$59="DISCONTINUA",$E$84/2,0)),"")</f>
        <v>10</v>
      </c>
      <c r="M117" s="440">
        <f>IF(AND(ISNUMBER(L117),ISNUMBER(K117))=TRUE,IF($G$59="DISCONTINUA",K117+$E$84/2-L117,K117-L117),"")</f>
        <v>0</v>
      </c>
      <c r="N117" s="497">
        <f>IF(COUNT(G117,J117,M117)=3,-AVERAGE(G117,M117)+J117,"")</f>
        <v>39560</v>
      </c>
    </row>
    <row r="118" spans="4:23" ht="15" customHeight="1" x14ac:dyDescent="0.25">
      <c r="D118" s="278">
        <v>4</v>
      </c>
      <c r="E118" s="489">
        <v>0</v>
      </c>
      <c r="F118" s="527">
        <f>IF(ISNUMBER(E118),IF('Identificación del Instrumento'!$F$17="PRIMITIVA","",IF($G$59="DISCONTINUA",$E$84/2,0)),"")</f>
        <v>10</v>
      </c>
      <c r="G118" s="433">
        <f>IF(AND(ISNUMBER(F118),ISNUMBER(E118))=TRUE,IF($G$59="DISCONTINUA",E118+$E$84/2-F118,E118-F118),"")</f>
        <v>0</v>
      </c>
      <c r="H118" s="750">
        <v>39560</v>
      </c>
      <c r="I118" s="527">
        <f>IF(ISNUMBER(H118),IF('Identificación del Instrumento'!$F$17="PRIMITIVA","",IF($G$59="DISCONTINUA",$E$84/2,0)),"")</f>
        <v>10</v>
      </c>
      <c r="J118" s="432">
        <f>IF(AND(ISNUMBER(I118),ISNUMBER(H118))=TRUE,IF($G$59="DISCONTINUA",H118+$E$84/2-I118,H118-I118),"")</f>
        <v>39560</v>
      </c>
      <c r="K118" s="489">
        <v>0</v>
      </c>
      <c r="L118" s="437">
        <f>IF(ISNUMBER(K118),IF('Identificación del Instrumento'!$F$17="PRIMITIVA","",IF($G$59="DISCONTINUA",$E$84/2,0)),"")</f>
        <v>10</v>
      </c>
      <c r="M118" s="440">
        <f>IF(AND(ISNUMBER(L118),ISNUMBER(K118))=TRUE,IF($G$59="DISCONTINUA",K118+$E$84/2-L118,K118-L118),"")</f>
        <v>0</v>
      </c>
      <c r="N118" s="497">
        <f>IF(COUNT(G118,J118,M118)=3,-AVERAGE(G118,M118)+J118,"")</f>
        <v>39560</v>
      </c>
    </row>
    <row r="119" spans="4:23" ht="15" customHeight="1" thickBot="1" x14ac:dyDescent="0.3">
      <c r="D119" s="278">
        <v>5</v>
      </c>
      <c r="E119" s="490">
        <v>0</v>
      </c>
      <c r="F119" s="504">
        <f>IF(ISNUMBER(E119),IF('Identificación del Instrumento'!$F$17="PRIMITIVA","",IF($G$59="DISCONTINUA",$E$84/2,0)),"")</f>
        <v>10</v>
      </c>
      <c r="G119" s="434">
        <f>IF(AND(ISNUMBER(F119),ISNUMBER(E119))=TRUE,IF($G$59="DISCONTINUA",E119+$E$84/2-F119,E119-F119),"")</f>
        <v>0</v>
      </c>
      <c r="H119" s="750">
        <v>39560</v>
      </c>
      <c r="I119" s="438">
        <f>IF(ISNUMBER(H119),IF('Identificación del Instrumento'!$F$17="PRIMITIVA","",IF($G$59="DISCONTINUA",$E$84/2,0)),"")</f>
        <v>10</v>
      </c>
      <c r="J119" s="434">
        <f>IF(AND(ISNUMBER(I119),ISNUMBER(H119))=TRUE,IF($G$59="DISCONTINUA",H119+$E$84/2-I119,H119-I119),"")</f>
        <v>39560</v>
      </c>
      <c r="K119" s="490">
        <v>0</v>
      </c>
      <c r="L119" s="438">
        <f>IF(ISNUMBER(K119),IF('Identificación del Instrumento'!$F$17="PRIMITIVA","",IF($G$59="DISCONTINUA",$E$84/2,0)),"")</f>
        <v>10</v>
      </c>
      <c r="M119" s="441">
        <f>IF(AND(ISNUMBER(L119),ISNUMBER(K119))=TRUE,IF($G$59="DISCONTINUA",K119+$E$84/2-L119,K119-L119),"")</f>
        <v>0</v>
      </c>
      <c r="N119" s="498">
        <f>IF(COUNT(G119,J119,M119)&gt;=3,-AVERAGE(G119,M119)+J119,"")</f>
        <v>39560</v>
      </c>
    </row>
    <row r="120" spans="4:23" ht="15.75" customHeight="1" x14ac:dyDescent="0.25">
      <c r="D120" s="279"/>
      <c r="E120" s="280"/>
      <c r="F120" s="280"/>
      <c r="G120" s="280"/>
      <c r="H120" s="280"/>
      <c r="I120" s="280"/>
      <c r="J120" s="392" t="s">
        <v>352</v>
      </c>
      <c r="K120" s="390">
        <f>IF(ISNUMBER(STDEV(N115:N119)),STDEV(N115:N119),"")</f>
        <v>0</v>
      </c>
      <c r="L120" s="868" t="s">
        <v>357</v>
      </c>
      <c r="M120" s="821"/>
      <c r="N120" s="385">
        <f>IF(COUNT(N115:N119)&gt;=3,MAX(N115:N119)-MIN(N115:N119),"")</f>
        <v>0</v>
      </c>
    </row>
    <row r="121" spans="4:23" ht="16.5" customHeight="1" thickBot="1" x14ac:dyDescent="0.3">
      <c r="D121" s="837" t="str">
        <f>+IF(N120&lt;=G113,"cumple fidelidad","no cumple fidelidad!")</f>
        <v>cumple fidelidad</v>
      </c>
      <c r="E121" s="838"/>
      <c r="F121" s="838"/>
      <c r="G121" s="838"/>
      <c r="H121" s="838"/>
      <c r="I121" s="838"/>
      <c r="J121" s="294"/>
      <c r="K121" s="295"/>
      <c r="L121" s="294"/>
      <c r="M121" s="386" t="s">
        <v>309</v>
      </c>
      <c r="N121" s="387">
        <f>IF(ISNUMBER(N120),IF(N120&lt;=G113,0,1),"")</f>
        <v>0</v>
      </c>
    </row>
    <row r="122" spans="4:23" ht="11.25" customHeight="1" thickBot="1" x14ac:dyDescent="0.3">
      <c r="D122" s="98"/>
      <c r="E122" s="98"/>
      <c r="F122" s="98"/>
      <c r="G122" s="98"/>
      <c r="H122" s="98"/>
      <c r="I122" s="98"/>
      <c r="R122" s="98"/>
      <c r="S122" s="98"/>
      <c r="T122" s="98"/>
      <c r="U122" s="98"/>
      <c r="V122" s="98"/>
      <c r="W122" s="98"/>
    </row>
    <row r="123" spans="4:23" ht="30" customHeight="1" thickBot="1" x14ac:dyDescent="0.3">
      <c r="D123" s="333" t="s">
        <v>358</v>
      </c>
      <c r="E123" s="282"/>
      <c r="F123" s="283" t="s">
        <v>355</v>
      </c>
      <c r="G123" s="97" t="s">
        <v>338</v>
      </c>
      <c r="H123" s="284" t="s">
        <v>337</v>
      </c>
      <c r="I123" s="285" t="s">
        <v>274</v>
      </c>
      <c r="J123" s="264"/>
      <c r="K123" s="265"/>
      <c r="L123" s="266"/>
      <c r="M123" s="266"/>
      <c r="N123" s="267"/>
      <c r="R123" s="98"/>
      <c r="S123" s="98"/>
      <c r="T123" s="98"/>
      <c r="U123" s="98"/>
      <c r="V123" s="98"/>
      <c r="W123" s="98"/>
    </row>
    <row r="124" spans="4:23" ht="15" customHeight="1" x14ac:dyDescent="0.3">
      <c r="D124" s="268"/>
      <c r="E124" s="281"/>
      <c r="F124" s="281" t="s">
        <v>339</v>
      </c>
      <c r="G124" s="373">
        <f>+G112</f>
        <v>36540</v>
      </c>
      <c r="H124" s="286" t="s">
        <v>289</v>
      </c>
      <c r="I124" s="280"/>
      <c r="J124" s="269"/>
      <c r="K124" s="270"/>
      <c r="L124" s="269"/>
      <c r="M124" s="269"/>
      <c r="N124" s="271"/>
      <c r="R124" s="98"/>
      <c r="S124" s="98"/>
      <c r="T124" s="98"/>
      <c r="U124" s="98"/>
      <c r="V124" s="98"/>
      <c r="W124" s="98"/>
    </row>
    <row r="125" spans="4:23" ht="15" customHeight="1" thickBot="1" x14ac:dyDescent="0.35">
      <c r="D125" s="268"/>
      <c r="E125" s="833" t="s">
        <v>340</v>
      </c>
      <c r="F125" s="826"/>
      <c r="G125" s="370">
        <f>IF(ISNUMBER(G124),IF(G124&lt;=$F$49,I$49,IF(G124&lt;=$F$50,$I$50,$I$51)),"")</f>
        <v>40</v>
      </c>
      <c r="H125" s="286"/>
      <c r="I125" s="269"/>
      <c r="J125" s="269"/>
      <c r="K125" s="270"/>
      <c r="L125" s="269"/>
      <c r="M125" s="269"/>
      <c r="N125" s="271"/>
      <c r="R125" s="98"/>
      <c r="S125" s="98"/>
      <c r="T125" s="98"/>
      <c r="U125" s="98"/>
      <c r="V125" s="98"/>
      <c r="W125" s="98"/>
    </row>
    <row r="126" spans="4:23" ht="33" customHeight="1" thickBot="1" x14ac:dyDescent="0.3">
      <c r="D126" s="276" t="s">
        <v>359</v>
      </c>
      <c r="E126" s="274" t="s">
        <v>342</v>
      </c>
      <c r="F126" s="435" t="s">
        <v>343</v>
      </c>
      <c r="G126" s="430" t="s">
        <v>344</v>
      </c>
      <c r="H126" s="274" t="s">
        <v>345</v>
      </c>
      <c r="I126" s="435" t="s">
        <v>346</v>
      </c>
      <c r="J126" s="430" t="s">
        <v>347</v>
      </c>
      <c r="K126" s="436" t="s">
        <v>348</v>
      </c>
      <c r="L126" s="435" t="s">
        <v>349</v>
      </c>
      <c r="M126" s="275" t="s">
        <v>350</v>
      </c>
      <c r="N126" s="277" t="s">
        <v>351</v>
      </c>
      <c r="R126" s="98"/>
      <c r="S126" s="98"/>
      <c r="T126" s="98"/>
      <c r="U126" s="98"/>
      <c r="V126" s="98"/>
      <c r="W126" s="98"/>
    </row>
    <row r="127" spans="4:23" ht="15" customHeight="1" x14ac:dyDescent="0.25">
      <c r="D127" s="278">
        <v>1</v>
      </c>
      <c r="E127" s="526">
        <v>0</v>
      </c>
      <c r="F127" s="527">
        <f>IF(ISNUMBER(E127),IF('Identificación del Instrumento'!$F$17="PRIMITIVA","",IF($G$59="DISCONTINUA",$E$84/2,0)),"")</f>
        <v>10</v>
      </c>
      <c r="G127" s="431">
        <f>IF(AND(ISNUMBER(F127),ISNUMBER(E127))=TRUE,IF($G$59="DISCONTINUA",E127+$E$84/2-F127,E127-F127),"")</f>
        <v>0</v>
      </c>
      <c r="H127" s="750">
        <v>39560</v>
      </c>
      <c r="I127" s="709">
        <f>IF(ISNUMBER(H127),IF('Identificación del Instrumento'!$F$17="PRIMITIVA","",IF($G$59="DISCONTINUA",$E$84/2,0)),"")</f>
        <v>10</v>
      </c>
      <c r="J127" s="431">
        <f>IF(AND(ISNUMBER(I127),ISNUMBER(H127))=TRUE,IF($G$59="DISCONTINUA",H127+$E$84/2-I127,H127-I127),"")</f>
        <v>39560</v>
      </c>
      <c r="K127" s="526">
        <v>0</v>
      </c>
      <c r="L127" s="437">
        <f>IF(ISNUMBER(K127),IF('Identificación del Instrumento'!$F$17="PRIMITIVA","",IF($G$59="DISCONTINUA",$E$84/2,0)),"")</f>
        <v>10</v>
      </c>
      <c r="M127" s="439">
        <f>IF(AND(ISNUMBER(L127),ISNUMBER(K127))=TRUE,IF($G$59="DISCONTINUA",K127+$E$84/2-L127,K127-L127),"")</f>
        <v>0</v>
      </c>
      <c r="N127" s="496">
        <f>IF(COUNT(G127,J127,M127)=3,-AVERAGE(G127,M127)+J127,"")</f>
        <v>39560</v>
      </c>
      <c r="R127" s="98"/>
      <c r="S127" s="98"/>
      <c r="T127" s="98"/>
      <c r="U127" s="98"/>
      <c r="V127" s="98"/>
      <c r="W127" s="98"/>
    </row>
    <row r="128" spans="4:23" ht="15" customHeight="1" x14ac:dyDescent="0.25">
      <c r="D128" s="278">
        <v>2</v>
      </c>
      <c r="E128" s="489">
        <v>0</v>
      </c>
      <c r="F128" s="527">
        <f>IF(ISNUMBER(E128),IF('Identificación del Instrumento'!$F$17="PRIMITIVA","",IF($G$59="DISCONTINUA",$E$84/2,0)),"")</f>
        <v>10</v>
      </c>
      <c r="G128" s="432">
        <f>IF(AND(ISNUMBER(F128),ISNUMBER(E128))=TRUE,IF($G$59="DISCONTINUA",E128+$E$84/2-F128,E128-F128),"")</f>
        <v>0</v>
      </c>
      <c r="H128" s="750">
        <v>39560</v>
      </c>
      <c r="I128" s="527">
        <f>IF(ISNUMBER(H128),IF('Identificación del Instrumento'!$F$17="PRIMITIVA","",IF($G$59="DISCONTINUA",$E$84/2,0)),"")</f>
        <v>10</v>
      </c>
      <c r="J128" s="432">
        <f>IF(AND(ISNUMBER(I128),ISNUMBER(H128))=TRUE,IF($G$59="DISCONTINUA",H128+$E$84/2-I128,H128-I128),"")</f>
        <v>39560</v>
      </c>
      <c r="K128" s="489">
        <v>0</v>
      </c>
      <c r="L128" s="437">
        <f>IF(ISNUMBER(K128),IF('Identificación del Instrumento'!$F$17="PRIMITIVA","",IF($G$59="DISCONTINUA",$E$84/2,0)),"")</f>
        <v>10</v>
      </c>
      <c r="M128" s="440">
        <f>IF(AND(ISNUMBER(L128),ISNUMBER(K128))=TRUE,IF($G$59="DISCONTINUA",K128+$E$84/2-L128,K128-L128),"")</f>
        <v>0</v>
      </c>
      <c r="N128" s="497">
        <f>IF(COUNT(G128,J128,M128)=3,-AVERAGE(G128,M128)+J128,"")</f>
        <v>39560</v>
      </c>
      <c r="R128" s="98"/>
      <c r="S128" s="98"/>
      <c r="T128" s="98"/>
      <c r="U128" s="98"/>
      <c r="V128" s="98"/>
      <c r="W128" s="98"/>
    </row>
    <row r="129" spans="1:146" ht="15" customHeight="1" x14ac:dyDescent="0.25">
      <c r="D129" s="278">
        <v>3</v>
      </c>
      <c r="E129" s="489">
        <v>0</v>
      </c>
      <c r="F129" s="527">
        <f>IF(ISNUMBER(E129),IF('Identificación del Instrumento'!$F$17="PRIMITIVA","",IF($G$59="DISCONTINUA",$E$84/2,0)),"")</f>
        <v>10</v>
      </c>
      <c r="G129" s="433">
        <f>IF(AND(ISNUMBER(F129),ISNUMBER(E129))=TRUE,IF($G$59="DISCONTINUA",E129+$E$84/2-F129,E129-F129),"")</f>
        <v>0</v>
      </c>
      <c r="H129" s="750">
        <v>39560</v>
      </c>
      <c r="I129" s="527">
        <f>IF(ISNUMBER(H129),IF('Identificación del Instrumento'!$F$17="PRIMITIVA","",IF($G$59="DISCONTINUA",$E$84/2,0)),"")</f>
        <v>10</v>
      </c>
      <c r="J129" s="432">
        <f>IF(AND(ISNUMBER(I129),ISNUMBER(H129))=TRUE,IF($G$59="DISCONTINUA",H129+$E$84/2-I129,H129-I129),"")</f>
        <v>39560</v>
      </c>
      <c r="K129" s="489">
        <v>0</v>
      </c>
      <c r="L129" s="437">
        <f>IF(ISNUMBER(K129),IF('Identificación del Instrumento'!$F$17="PRIMITIVA","",IF($G$59="DISCONTINUA",$E$84/2,0)),"")</f>
        <v>10</v>
      </c>
      <c r="M129" s="440">
        <f>IF(AND(ISNUMBER(L129),ISNUMBER(K129))=TRUE,IF($G$59="DISCONTINUA",K129+$E$84/2-L129,K129-L129),"")</f>
        <v>0</v>
      </c>
      <c r="N129" s="497">
        <f>IF(COUNT(G129,J129,M129)=3,-AVERAGE(G129,M129)+J129,"")</f>
        <v>39560</v>
      </c>
      <c r="R129" s="98"/>
      <c r="S129" s="98"/>
      <c r="T129" s="98"/>
      <c r="U129" s="98"/>
      <c r="V129" s="98"/>
      <c r="W129" s="98"/>
    </row>
    <row r="130" spans="1:146" ht="15" customHeight="1" x14ac:dyDescent="0.25">
      <c r="D130" s="278">
        <v>4</v>
      </c>
      <c r="E130" s="489">
        <v>0</v>
      </c>
      <c r="F130" s="527">
        <f>IF(ISNUMBER(E130),IF('Identificación del Instrumento'!$F$17="PRIMITIVA","",IF($G$59="DISCONTINUA",$E$84/2,0)),"")</f>
        <v>10</v>
      </c>
      <c r="G130" s="433">
        <f>IF(AND(ISNUMBER(F130),ISNUMBER(E130))=TRUE,IF($G$59="DISCONTINUA",E130+$E$84/2-F130,E130-F130),"")</f>
        <v>0</v>
      </c>
      <c r="H130" s="750">
        <v>39560</v>
      </c>
      <c r="I130" s="527">
        <f>IF(ISNUMBER(H130),IF('Identificación del Instrumento'!$F$17="PRIMITIVA","",IF($G$59="DISCONTINUA",$E$84/2,0)),"")</f>
        <v>10</v>
      </c>
      <c r="J130" s="432">
        <f>IF(AND(ISNUMBER(I130),ISNUMBER(H130))=TRUE,IF($G$59="DISCONTINUA",H130+$E$84/2-I130,H130-I130),"")</f>
        <v>39560</v>
      </c>
      <c r="K130" s="489">
        <v>0</v>
      </c>
      <c r="L130" s="437">
        <f>IF(ISNUMBER(K130),IF('Identificación del Instrumento'!$F$17="PRIMITIVA","",IF($G$59="DISCONTINUA",$E$84/2,0)),"")</f>
        <v>10</v>
      </c>
      <c r="M130" s="440">
        <f>IF(AND(ISNUMBER(L130),ISNUMBER(K130))=TRUE,IF($G$59="DISCONTINUA",K130+$E$84/2-L130,K130-L130),"")</f>
        <v>0</v>
      </c>
      <c r="N130" s="497">
        <f>IF(COUNT(G130,J130,M130)=3,-AVERAGE(G130,M130)+J130,"")</f>
        <v>39560</v>
      </c>
      <c r="R130" s="98"/>
      <c r="S130" s="98"/>
      <c r="T130" s="98"/>
      <c r="U130" s="98"/>
      <c r="V130" s="98"/>
      <c r="W130" s="98"/>
    </row>
    <row r="131" spans="1:146" ht="15" customHeight="1" thickBot="1" x14ac:dyDescent="0.3">
      <c r="D131" s="278">
        <v>5</v>
      </c>
      <c r="E131" s="490">
        <v>0</v>
      </c>
      <c r="F131" s="504">
        <f>IF(ISNUMBER(E131),IF('Identificación del Instrumento'!$F$17="PRIMITIVA","",IF($G$59="DISCONTINUA",$E$84/2,0)),"")</f>
        <v>10</v>
      </c>
      <c r="G131" s="434">
        <f>IF(AND(ISNUMBER(F131),ISNUMBER(E131))=TRUE,IF($G$59="DISCONTINUA",E131+$E$84/2-F131,E131-F131),"")</f>
        <v>0</v>
      </c>
      <c r="H131" s="750">
        <v>39560</v>
      </c>
      <c r="I131" s="504">
        <f>IF(ISNUMBER(H131),IF('Identificación del Instrumento'!$F$17="PRIMITIVA","",IF($G$59="DISCONTINUA",$E$84/2,0)),"")</f>
        <v>10</v>
      </c>
      <c r="J131" s="434">
        <f>IF(AND(ISNUMBER(I131),ISNUMBER(H131))=TRUE,IF($G$59="DISCONTINUA",H131+$E$84/2-I131,H131-I131),"")</f>
        <v>39560</v>
      </c>
      <c r="K131" s="490">
        <v>0</v>
      </c>
      <c r="L131" s="438">
        <f>IF(ISNUMBER(K131),IF('Identificación del Instrumento'!$F$17="PRIMITIVA","",IF($G$59="DISCONTINUA",$E$84/2,0)),"")</f>
        <v>10</v>
      </c>
      <c r="M131" s="441">
        <f>IF(AND(ISNUMBER(L131),ISNUMBER(K131))=TRUE,IF($G$59="DISCONTINUA",K131+$E$84/2-L131,K131-L131),"")</f>
        <v>0</v>
      </c>
      <c r="N131" s="498">
        <f>IF(COUNT(G131,J131,M131)=3,-AVERAGE(G131,M131)+J131,"")</f>
        <v>39560</v>
      </c>
      <c r="R131" s="98"/>
      <c r="S131" s="98"/>
      <c r="T131" s="98"/>
      <c r="U131" s="98"/>
      <c r="V131" s="98"/>
      <c r="W131" s="98"/>
    </row>
    <row r="132" spans="1:146" ht="18.75" customHeight="1" thickBot="1" x14ac:dyDescent="0.3">
      <c r="D132" s="279"/>
      <c r="E132" s="280"/>
      <c r="F132" s="280"/>
      <c r="G132" s="280"/>
      <c r="H132" s="280"/>
      <c r="I132" s="280"/>
      <c r="J132" s="389" t="s">
        <v>352</v>
      </c>
      <c r="K132" s="391">
        <f>IF(ISNUMBER(STDEV(N127:N131)),STDEV(N127:N131),"")</f>
        <v>0</v>
      </c>
      <c r="L132" s="865" t="s">
        <v>353</v>
      </c>
      <c r="M132" s="774"/>
      <c r="N132" s="384">
        <f>IF(COUNT(N127:N131)&gt;=3,MAX(N127:N131)-MIN(N127:N131),"")</f>
        <v>0</v>
      </c>
      <c r="R132" s="98"/>
      <c r="S132" s="98"/>
      <c r="T132" s="98"/>
      <c r="U132" s="98"/>
      <c r="V132" s="98"/>
      <c r="W132" s="98"/>
    </row>
    <row r="133" spans="1:146" ht="18.75" customHeight="1" thickBot="1" x14ac:dyDescent="0.3">
      <c r="D133" s="932" t="str">
        <f>+IF(N132&lt;=G125,"cumple fidelidad","no cumple fidelidad!")</f>
        <v>cumple fidelidad</v>
      </c>
      <c r="E133" s="838"/>
      <c r="F133" s="838"/>
      <c r="G133" s="838"/>
      <c r="H133" s="838"/>
      <c r="I133" s="838"/>
      <c r="J133" s="272"/>
      <c r="K133" s="273"/>
      <c r="L133" s="272"/>
      <c r="M133" s="386" t="s">
        <v>309</v>
      </c>
      <c r="N133" s="366">
        <f>IF(ISNUMBER(N132),IF(N132&lt;=G125,0,1),"")</f>
        <v>0</v>
      </c>
    </row>
    <row r="134" spans="1:146" ht="11.25" customHeight="1" thickBot="1" x14ac:dyDescent="0.3">
      <c r="D134" s="192"/>
      <c r="E134" s="193"/>
      <c r="F134" s="193"/>
      <c r="G134" s="193"/>
      <c r="H134" s="193"/>
      <c r="I134" s="98"/>
    </row>
    <row r="135" spans="1:146" ht="21" customHeight="1" thickBot="1" x14ac:dyDescent="0.25">
      <c r="D135" s="930" t="s">
        <v>360</v>
      </c>
      <c r="E135" s="847"/>
      <c r="F135" s="847"/>
      <c r="G135" s="847"/>
      <c r="H135" s="858"/>
      <c r="I135" s="296"/>
      <c r="J135" s="296"/>
      <c r="K135" s="297"/>
      <c r="L135" s="377"/>
      <c r="M135" s="378" t="s">
        <v>361</v>
      </c>
      <c r="N135" s="379">
        <f>IF(OR(ISNUMBER(N97),ISNUMBER(N109),ISNUMBER(N121),ISNUMBER(N133)),IF(OR(N97=1,N109=1,N121=1,N133=1),1,0),"")</f>
        <v>0</v>
      </c>
    </row>
    <row r="136" spans="1:146" ht="16.5" customHeight="1" thickBot="1" x14ac:dyDescent="0.3">
      <c r="D136" s="298" t="s">
        <v>362</v>
      </c>
      <c r="E136" s="299" t="str">
        <f>J17</f>
        <v>III</v>
      </c>
      <c r="F136" s="300"/>
      <c r="G136" s="301" t="s">
        <v>363</v>
      </c>
      <c r="H136" s="302">
        <f>E18</f>
        <v>20</v>
      </c>
      <c r="I136" s="296"/>
      <c r="J136" s="296"/>
      <c r="K136" s="297"/>
      <c r="O136" s="191"/>
      <c r="P136" s="156"/>
    </row>
    <row r="137" spans="1:146" ht="16.5" customHeight="1" thickBot="1" x14ac:dyDescent="0.3">
      <c r="D137" s="303" t="s">
        <v>364</v>
      </c>
      <c r="E137" s="299">
        <f>+'Identificación del Instrumento'!F29</f>
        <v>1000</v>
      </c>
      <c r="F137" s="304"/>
      <c r="G137" s="305" t="s">
        <v>365</v>
      </c>
      <c r="H137" s="302">
        <f>+'Identificación del Instrumento'!D29</f>
        <v>80000</v>
      </c>
      <c r="I137" s="296"/>
      <c r="J137" s="296"/>
      <c r="K137" s="297"/>
      <c r="O137" s="191"/>
      <c r="P137" s="156"/>
    </row>
    <row r="138" spans="1:146" ht="23.25" customHeight="1" thickBot="1" x14ac:dyDescent="0.25">
      <c r="D138" s="878" t="s">
        <v>366</v>
      </c>
      <c r="E138" s="835"/>
      <c r="F138" s="835"/>
      <c r="G138" s="835"/>
      <c r="H138" s="836"/>
      <c r="I138" s="296"/>
      <c r="J138" s="296"/>
      <c r="K138" s="297"/>
      <c r="O138" s="191"/>
      <c r="P138" s="156"/>
    </row>
    <row r="139" spans="1:146" ht="15.75" customHeight="1" x14ac:dyDescent="0.25">
      <c r="D139" s="922" t="s">
        <v>367</v>
      </c>
      <c r="E139" s="826"/>
      <c r="F139" s="695">
        <v>19.399999999999999</v>
      </c>
      <c r="G139" s="864" t="s">
        <v>368</v>
      </c>
      <c r="H139" s="882">
        <f>F140-F139</f>
        <v>0.90000000000000213</v>
      </c>
      <c r="I139" s="296"/>
      <c r="J139" s="296"/>
      <c r="K139" s="297"/>
      <c r="L139" s="67" t="s">
        <v>30</v>
      </c>
    </row>
    <row r="140" spans="1:146" ht="16.5" customHeight="1" thickBot="1" x14ac:dyDescent="0.3">
      <c r="D140" s="873" t="s">
        <v>369</v>
      </c>
      <c r="E140" s="838"/>
      <c r="F140" s="696">
        <v>20.3</v>
      </c>
      <c r="G140" s="838"/>
      <c r="H140" s="883"/>
      <c r="I140" s="296"/>
      <c r="J140" s="296"/>
      <c r="K140" s="297"/>
      <c r="L140" s="67" t="s">
        <v>30</v>
      </c>
      <c r="O140" s="191"/>
      <c r="AC140" s="18"/>
      <c r="AD140" s="18"/>
      <c r="AE140" s="18"/>
      <c r="AF140" s="18"/>
      <c r="AG140" s="18"/>
    </row>
    <row r="141" spans="1:146" ht="12.75" customHeight="1" x14ac:dyDescent="0.2">
      <c r="D141" s="855" t="s">
        <v>370</v>
      </c>
      <c r="E141" s="855" t="s">
        <v>371</v>
      </c>
      <c r="F141" s="855" t="str">
        <f>IF($G$59&lt;&gt;"",IF($G$59="DISCONTINUA","Carga de redondeo           (kg)","Carga para alcanzar equilibrio (kg)"),"")</f>
        <v>Carga de redondeo           (kg)</v>
      </c>
      <c r="G141" s="855" t="s">
        <v>372</v>
      </c>
      <c r="H141" s="855" t="str">
        <f>IF($G$59&lt;&gt;"",IF($G$59="DISCONTINUA","Carga de redondeo             (kg)","Carga para alcanzar equilibrio (kg)"),"")</f>
        <v>Carga de redondeo             (kg)</v>
      </c>
      <c r="I141" s="927" t="s">
        <v>373</v>
      </c>
      <c r="J141" s="927" t="s">
        <v>374</v>
      </c>
      <c r="K141" s="927" t="s">
        <v>375</v>
      </c>
      <c r="L141" s="927" t="s">
        <v>376</v>
      </c>
      <c r="M141" s="927" t="s">
        <v>377</v>
      </c>
      <c r="P141" s="939" t="s">
        <v>378</v>
      </c>
      <c r="Q141" s="773"/>
      <c r="R141" s="773"/>
      <c r="S141" s="773"/>
      <c r="T141" s="774"/>
      <c r="U141" s="937" t="s">
        <v>379</v>
      </c>
      <c r="V141" s="933" t="s">
        <v>380</v>
      </c>
      <c r="W141" s="36"/>
      <c r="AC141" s="196"/>
      <c r="AD141" s="197"/>
      <c r="AE141" s="198"/>
      <c r="AF141" s="198"/>
      <c r="AG141" s="197"/>
    </row>
    <row r="142" spans="1:146" s="162" customFormat="1" ht="57" customHeight="1" thickBot="1" x14ac:dyDescent="0.25">
      <c r="D142" s="856"/>
      <c r="E142" s="856"/>
      <c r="F142" s="856"/>
      <c r="G142" s="856"/>
      <c r="H142" s="856"/>
      <c r="I142" s="856"/>
      <c r="J142" s="856"/>
      <c r="K142" s="856"/>
      <c r="L142" s="856"/>
      <c r="M142" s="856"/>
      <c r="O142" s="262"/>
      <c r="P142" s="260" t="s">
        <v>381</v>
      </c>
      <c r="Q142" s="261" t="s">
        <v>382</v>
      </c>
      <c r="R142" s="260" t="s">
        <v>383</v>
      </c>
      <c r="S142" s="260" t="s">
        <v>384</v>
      </c>
      <c r="T142" s="260" t="s">
        <v>385</v>
      </c>
      <c r="U142" s="890"/>
      <c r="V142" s="856"/>
      <c r="AC142" s="73"/>
      <c r="AD142" s="197"/>
      <c r="AE142" s="194"/>
      <c r="AF142" s="194"/>
      <c r="AG142" s="197"/>
      <c r="AH142" s="18"/>
      <c r="AI142" s="18"/>
      <c r="AJ142" s="18"/>
      <c r="AK142" s="18"/>
      <c r="AL142" s="18"/>
      <c r="AM142" s="18"/>
      <c r="AP142" s="18" t="s">
        <v>30</v>
      </c>
      <c r="AQ142" s="18"/>
      <c r="AR142" s="18"/>
    </row>
    <row r="143" spans="1:146" s="199" customFormat="1" ht="20.25" customHeight="1" thickBot="1" x14ac:dyDescent="0.3">
      <c r="A143" s="194"/>
      <c r="B143" s="194">
        <v>1</v>
      </c>
      <c r="C143" s="194"/>
      <c r="D143" s="697">
        <v>0</v>
      </c>
      <c r="E143" s="699">
        <v>0</v>
      </c>
      <c r="F143" s="700">
        <f>IF(ISNUMBER(D143),IF($G$59="DISCONTINUA",$E$84/2,0),"")</f>
        <v>10</v>
      </c>
      <c r="G143" s="699">
        <v>0</v>
      </c>
      <c r="H143" s="700">
        <f>IF(ISNUMBER(D143),IF($G$59="DISCONTINUA",$E$84/2,0),"")</f>
        <v>10</v>
      </c>
      <c r="I143" s="701">
        <f t="shared" ref="I143:I186" si="6">IF(AND(ISNUMBER(B143),ISNUMBER(D143),ISNUMBER(E143),$B$59=1),IF($G$59="discontinua",(E143-D143),(E143-D143)),"")</f>
        <v>0</v>
      </c>
      <c r="J143" s="701">
        <f t="shared" ref="J143:J186" si="7">IF(AND(ISNUMBER(B143),ISNUMBER(D143),ISNUMBER(G143),$B$59=1),IF($G$59="discontinua",(G143-D143),(G143-D143)),"")</f>
        <v>0</v>
      </c>
      <c r="K143" s="701">
        <f>IF(ISNUMBER(G143),ABS(G143-E143),"")</f>
        <v>0</v>
      </c>
      <c r="L143" s="701">
        <f t="shared" ref="L143:L186" si="8">IF(AND(ISNUMBER(B143),ISNUMBER(D143),ISNUMBER(E143),ISNUMBER(F143),$B$59=1),IF($G$59="discontinua",(E143+($H$136/2)-F143-D143),(E143-F143-D143)),"")</f>
        <v>0</v>
      </c>
      <c r="M143" s="701">
        <f t="shared" ref="M143:M186" si="9">IF(AND(ISNUMBER(B143),ISNUMBER(D143),ISNUMBER(G143),ISNUMBER(H143),$B$59=1),IF($G$59="discontinua",(G143+($H$136/2)-H143-D143),(G143-H143-D143)),"")</f>
        <v>0</v>
      </c>
      <c r="N143" s="194"/>
      <c r="O143" s="263"/>
      <c r="P143" s="45">
        <f t="shared" ref="P143:P153" si="10">IF(ISNUMBER(E143),$E$18/SQRT(12),"")</f>
        <v>5.7735026918962582</v>
      </c>
      <c r="Q143" s="45">
        <f t="shared" ref="Q143:Q153" si="11">IF(ISNUMBER(E143),MAX(K$96,K$120,K$108,K$132)/SQRT(12),"")</f>
        <v>0</v>
      </c>
      <c r="R143" s="45">
        <f t="shared" ref="R143:R153" si="12">B143*0.05/2</f>
        <v>2.5000000000000001E-2</v>
      </c>
      <c r="S143" s="195">
        <v>0</v>
      </c>
      <c r="T143" s="45">
        <f t="shared" ref="T143:T153" si="13">IF(ISNUMBER(E143),2*SQRT(SUMSQ(P143,Q143,R143,S143)),"")</f>
        <v>11.547113636460558</v>
      </c>
      <c r="U143" s="358" t="s">
        <v>386</v>
      </c>
      <c r="V143" s="359">
        <f>IF(ISNUMBER(I143),IF('Identificación del Instrumento'!$B$17="periódica",IF(ABS(I143)&lt;=U143,0,1),IF(ABS(L143)&lt;=U143,0,1)),"")</f>
        <v>0</v>
      </c>
      <c r="W143" s="194"/>
      <c r="X143" s="194"/>
      <c r="Y143" s="194"/>
      <c r="Z143" s="194"/>
      <c r="AA143" s="194"/>
      <c r="AB143" s="194"/>
      <c r="AC143" s="73"/>
      <c r="AD143" s="197"/>
      <c r="AE143" s="194"/>
      <c r="AF143" s="194"/>
      <c r="AG143" s="197"/>
      <c r="AH143" s="194"/>
      <c r="AI143" s="72"/>
      <c r="AJ143" s="197"/>
      <c r="AK143" s="197"/>
      <c r="AL143" s="197"/>
      <c r="AM143" s="197"/>
      <c r="AN143" s="197"/>
      <c r="AO143" s="194"/>
      <c r="AP143" s="194"/>
      <c r="AQ143" s="194"/>
      <c r="AR143" s="194"/>
      <c r="AS143" s="194"/>
      <c r="AT143" s="194"/>
      <c r="AU143" s="194"/>
      <c r="AV143" s="194"/>
      <c r="AW143" s="194"/>
      <c r="AX143" s="194"/>
      <c r="AY143" s="194"/>
      <c r="AZ143" s="194"/>
      <c r="BA143" s="194"/>
      <c r="BB143" s="194"/>
      <c r="BC143" s="194"/>
      <c r="BD143" s="194"/>
      <c r="BE143" s="194"/>
      <c r="BF143" s="194"/>
      <c r="BG143" s="194"/>
      <c r="BH143" s="194"/>
      <c r="BI143" s="194"/>
      <c r="BJ143" s="194"/>
      <c r="BK143" s="194"/>
      <c r="BL143" s="194"/>
      <c r="BM143" s="194"/>
      <c r="BN143" s="194"/>
      <c r="BO143" s="194"/>
      <c r="BP143" s="194"/>
      <c r="BQ143" s="194"/>
      <c r="BR143" s="194"/>
      <c r="BS143" s="194"/>
      <c r="BT143" s="194"/>
      <c r="BU143" s="194"/>
      <c r="BV143" s="194"/>
      <c r="BW143" s="194"/>
      <c r="BX143" s="194"/>
      <c r="BY143" s="194"/>
      <c r="BZ143" s="194"/>
      <c r="CA143" s="194"/>
      <c r="CB143" s="194"/>
      <c r="CC143" s="194"/>
      <c r="CD143" s="194"/>
      <c r="CE143" s="194"/>
      <c r="CF143" s="194"/>
      <c r="CG143" s="194"/>
      <c r="CH143" s="194"/>
      <c r="CI143" s="194"/>
      <c r="CJ143" s="194"/>
      <c r="CK143" s="194"/>
      <c r="CL143" s="194"/>
      <c r="CM143" s="194"/>
      <c r="CN143" s="194"/>
      <c r="CO143" s="194"/>
      <c r="CP143" s="194"/>
      <c r="CQ143" s="194"/>
      <c r="CR143" s="194"/>
      <c r="CS143" s="194"/>
      <c r="CT143" s="194"/>
      <c r="CU143" s="194"/>
      <c r="CV143" s="194"/>
      <c r="CW143" s="194"/>
      <c r="CX143" s="194"/>
      <c r="CY143" s="194"/>
      <c r="CZ143" s="194"/>
      <c r="DA143" s="194"/>
      <c r="DB143" s="194"/>
      <c r="DC143" s="194"/>
      <c r="DD143" s="194"/>
      <c r="DE143" s="194"/>
      <c r="DF143" s="194"/>
      <c r="DG143" s="194"/>
      <c r="DH143" s="194"/>
      <c r="DI143" s="194"/>
      <c r="DJ143" s="194"/>
      <c r="DK143" s="194"/>
      <c r="DL143" s="194"/>
      <c r="DM143" s="194"/>
      <c r="DN143" s="194"/>
      <c r="DO143" s="194"/>
      <c r="DP143" s="194"/>
      <c r="DQ143" s="194"/>
      <c r="DR143" s="194"/>
      <c r="DS143" s="194"/>
      <c r="DT143" s="194"/>
      <c r="DU143" s="194"/>
      <c r="DV143" s="194"/>
      <c r="DW143" s="194"/>
      <c r="DX143" s="194"/>
      <c r="DY143" s="194"/>
      <c r="DZ143" s="194"/>
      <c r="EA143" s="194"/>
      <c r="EB143" s="194"/>
      <c r="EC143" s="194"/>
      <c r="ED143" s="194"/>
      <c r="EE143" s="194"/>
      <c r="EF143" s="194"/>
      <c r="EG143" s="194"/>
      <c r="EH143" s="194"/>
      <c r="EI143" s="194"/>
      <c r="EJ143" s="194"/>
      <c r="EK143" s="194"/>
      <c r="EL143" s="194"/>
      <c r="EM143" s="194"/>
      <c r="EN143" s="194"/>
      <c r="EO143" s="194"/>
      <c r="EP143" s="194"/>
    </row>
    <row r="144" spans="1:146" s="199" customFormat="1" ht="20.25" customHeight="1" thickBot="1" x14ac:dyDescent="0.3">
      <c r="A144" s="194"/>
      <c r="B144" s="194">
        <v>1</v>
      </c>
      <c r="C144" s="194"/>
      <c r="D144" s="537">
        <v>1000</v>
      </c>
      <c r="E144" s="537">
        <v>1000</v>
      </c>
      <c r="F144" s="748">
        <f>IF(ISNUMBER(E144),IF('Identificación del Instrumento'!$F$17="PRIMITIVA","",IF($G$59="DISCONTINUA",$E$84/2,0)),"")</f>
        <v>10</v>
      </c>
      <c r="G144" s="537">
        <v>1000</v>
      </c>
      <c r="H144" s="748">
        <f>IF(ISNUMBER(G144),IF('Identificación del Instrumento'!$F$17="PRIMITIVA","",IF($G$59="DISCONTINUA",$E$84/2,0)),"")</f>
        <v>10</v>
      </c>
      <c r="I144" s="701">
        <f t="shared" si="6"/>
        <v>0</v>
      </c>
      <c r="J144" s="701">
        <f t="shared" si="7"/>
        <v>0</v>
      </c>
      <c r="K144" s="701">
        <f>IF(AND(ISNUMBER($I144),ISNUMBER($J144)),ABS($J144-$I144),"")</f>
        <v>0</v>
      </c>
      <c r="L144" s="701">
        <f t="shared" si="8"/>
        <v>0</v>
      </c>
      <c r="M144" s="701">
        <f t="shared" si="9"/>
        <v>0</v>
      </c>
      <c r="N144" s="194"/>
      <c r="O144" s="263"/>
      <c r="P144" s="45">
        <f t="shared" si="10"/>
        <v>5.7735026918962582</v>
      </c>
      <c r="Q144" s="45">
        <f t="shared" si="11"/>
        <v>0</v>
      </c>
      <c r="R144" s="45">
        <f t="shared" si="12"/>
        <v>2.5000000000000001E-2</v>
      </c>
      <c r="S144" s="195">
        <v>0</v>
      </c>
      <c r="T144" s="45">
        <f t="shared" si="13"/>
        <v>11.547113636460558</v>
      </c>
      <c r="U144" s="358">
        <f t="shared" ref="U144:U153" si="14">IF(ISNUMBER(E144),IF(D144&lt;=$F$49,I$49,IF(D144&lt;=$F$50,$I$50,$I$51)),"")</f>
        <v>20</v>
      </c>
      <c r="V144" s="359">
        <f>IF(ISNUMBER(I144),IF('Identificación del Instrumento'!$B$17="periódica",IF(ABS(I144)&lt;=U144,0,1),IF(ABS(L144)&lt;=U144,0,1)),"")</f>
        <v>0</v>
      </c>
      <c r="W144" s="194"/>
      <c r="X144" s="194"/>
      <c r="Y144" s="194"/>
      <c r="Z144" s="194"/>
      <c r="AA144" s="194"/>
      <c r="AB144" s="194"/>
      <c r="AC144" s="73"/>
      <c r="AD144" s="197"/>
      <c r="AE144" s="194"/>
      <c r="AF144" s="194"/>
      <c r="AG144" s="197"/>
      <c r="AH144" s="194"/>
      <c r="AI144" s="72"/>
      <c r="AJ144" s="197"/>
      <c r="AK144" s="197"/>
      <c r="AL144" s="197"/>
      <c r="AM144" s="197"/>
      <c r="AN144" s="197"/>
      <c r="AO144" s="194"/>
      <c r="AP144" s="194"/>
      <c r="AQ144" s="194"/>
      <c r="AR144" s="194"/>
      <c r="AS144" s="194"/>
      <c r="AT144" s="194"/>
      <c r="AU144" s="194"/>
      <c r="AV144" s="194"/>
      <c r="AW144" s="194"/>
      <c r="AX144" s="194"/>
      <c r="AY144" s="194"/>
      <c r="AZ144" s="194"/>
      <c r="BA144" s="194"/>
      <c r="BB144" s="194"/>
      <c r="BC144" s="194"/>
      <c r="BD144" s="194"/>
      <c r="BE144" s="194"/>
      <c r="BF144" s="194"/>
      <c r="BG144" s="194"/>
      <c r="BH144" s="194"/>
      <c r="BI144" s="194"/>
      <c r="BJ144" s="194"/>
      <c r="BK144" s="194"/>
      <c r="BL144" s="194"/>
      <c r="BM144" s="194"/>
      <c r="BN144" s="194"/>
      <c r="BO144" s="194"/>
      <c r="BP144" s="194"/>
      <c r="BQ144" s="194"/>
      <c r="BR144" s="194"/>
      <c r="BS144" s="194"/>
      <c r="BT144" s="194"/>
      <c r="BU144" s="194"/>
      <c r="BV144" s="194"/>
      <c r="BW144" s="194"/>
      <c r="BX144" s="194"/>
      <c r="BY144" s="194"/>
      <c r="BZ144" s="194"/>
      <c r="CA144" s="194"/>
      <c r="CB144" s="194"/>
      <c r="CC144" s="194"/>
      <c r="CD144" s="194"/>
      <c r="CE144" s="194"/>
      <c r="CF144" s="194"/>
      <c r="CG144" s="194"/>
      <c r="CH144" s="194"/>
      <c r="CI144" s="194"/>
      <c r="CJ144" s="194"/>
      <c r="CK144" s="194"/>
      <c r="CL144" s="194"/>
      <c r="CM144" s="194"/>
      <c r="CN144" s="194"/>
      <c r="CO144" s="194"/>
      <c r="CP144" s="194"/>
      <c r="CQ144" s="194"/>
      <c r="CR144" s="194"/>
      <c r="CS144" s="194"/>
      <c r="CT144" s="194"/>
      <c r="CU144" s="194"/>
      <c r="CV144" s="194"/>
      <c r="CW144" s="194"/>
      <c r="CX144" s="194"/>
      <c r="CY144" s="194"/>
      <c r="CZ144" s="194"/>
      <c r="DA144" s="194"/>
      <c r="DB144" s="194"/>
      <c r="DC144" s="194"/>
      <c r="DD144" s="194"/>
      <c r="DE144" s="194"/>
      <c r="DF144" s="194"/>
      <c r="DG144" s="194"/>
      <c r="DH144" s="194"/>
      <c r="DI144" s="194"/>
      <c r="DJ144" s="194"/>
      <c r="DK144" s="194"/>
      <c r="DL144" s="194"/>
      <c r="DM144" s="194"/>
      <c r="DN144" s="194"/>
      <c r="DO144" s="194"/>
      <c r="DP144" s="194"/>
      <c r="DQ144" s="194"/>
      <c r="DR144" s="194"/>
      <c r="DS144" s="194"/>
      <c r="DT144" s="194"/>
      <c r="DU144" s="194"/>
      <c r="DV144" s="194"/>
      <c r="DW144" s="194"/>
      <c r="DX144" s="194"/>
      <c r="DY144" s="194"/>
      <c r="DZ144" s="194"/>
      <c r="EA144" s="194"/>
      <c r="EB144" s="194"/>
      <c r="EC144" s="194"/>
      <c r="ED144" s="194"/>
      <c r="EE144" s="194"/>
      <c r="EF144" s="194"/>
      <c r="EG144" s="194"/>
      <c r="EH144" s="194"/>
      <c r="EI144" s="194"/>
      <c r="EJ144" s="194"/>
      <c r="EK144" s="194"/>
      <c r="EL144" s="194"/>
      <c r="EM144" s="194"/>
      <c r="EN144" s="194"/>
      <c r="EO144" s="194"/>
      <c r="EP144" s="194"/>
    </row>
    <row r="145" spans="1:146" s="199" customFormat="1" ht="20.25" customHeight="1" thickBot="1" x14ac:dyDescent="0.3">
      <c r="A145" s="194"/>
      <c r="B145" s="194">
        <v>2</v>
      </c>
      <c r="C145" s="194"/>
      <c r="D145" s="537">
        <v>2000</v>
      </c>
      <c r="E145" s="537">
        <v>2000</v>
      </c>
      <c r="F145" s="748">
        <f>IF(ISNUMBER(E145),IF('Identificación del Instrumento'!$F$17="PRIMITIVA","",IF($G$59="DISCONTINUA",$E$84/2,0)),"")</f>
        <v>10</v>
      </c>
      <c r="G145" s="537">
        <v>2000</v>
      </c>
      <c r="H145" s="748">
        <f>IF(ISNUMBER(G145),IF('Identificación del Instrumento'!$F$17="PRIMITIVA","",IF($G$59="DISCONTINUA",$E$84/2,0)),"")</f>
        <v>10</v>
      </c>
      <c r="I145" s="701">
        <f t="shared" si="6"/>
        <v>0</v>
      </c>
      <c r="J145" s="701">
        <f t="shared" si="7"/>
        <v>0</v>
      </c>
      <c r="K145" s="701">
        <f t="shared" ref="K145:K186" si="15">IF(AND(ISNUMBER(I145),ISNUMBER(J145)),ABS(J145-I145),"")</f>
        <v>0</v>
      </c>
      <c r="L145" s="701">
        <f t="shared" si="8"/>
        <v>0</v>
      </c>
      <c r="M145" s="701">
        <f t="shared" si="9"/>
        <v>0</v>
      </c>
      <c r="N145" s="194"/>
      <c r="O145" s="263"/>
      <c r="P145" s="45">
        <f t="shared" si="10"/>
        <v>5.7735026918962582</v>
      </c>
      <c r="Q145" s="45">
        <f t="shared" si="11"/>
        <v>0</v>
      </c>
      <c r="R145" s="45">
        <f t="shared" si="12"/>
        <v>0.05</v>
      </c>
      <c r="S145" s="195">
        <v>0</v>
      </c>
      <c r="T145" s="45">
        <f t="shared" si="13"/>
        <v>11.547438388375726</v>
      </c>
      <c r="U145" s="358">
        <f t="shared" si="14"/>
        <v>20</v>
      </c>
      <c r="V145" s="359">
        <f>IF(ISNUMBER(I145),IF('Identificación del Instrumento'!$B$17="periódica",IF(ABS(I145)&lt;=U145,0,1),IF(ABS(L145)&lt;=U145,0,1)),"")</f>
        <v>0</v>
      </c>
      <c r="W145" s="194"/>
      <c r="X145" s="194"/>
      <c r="Y145" s="194"/>
      <c r="Z145" s="194"/>
      <c r="AA145" s="194"/>
      <c r="AB145" s="194"/>
      <c r="AC145" s="73"/>
      <c r="AD145" s="197"/>
      <c r="AE145" s="194"/>
      <c r="AF145" s="194"/>
      <c r="AG145" s="197"/>
      <c r="AH145" s="194"/>
      <c r="AI145" s="72"/>
      <c r="AJ145" s="197"/>
      <c r="AK145" s="197"/>
      <c r="AL145" s="197"/>
      <c r="AM145" s="197"/>
      <c r="AN145" s="197"/>
      <c r="AO145" s="194"/>
      <c r="AP145" s="194"/>
      <c r="AQ145" s="194"/>
      <c r="AR145" s="194"/>
      <c r="AS145" s="194"/>
      <c r="AT145" s="194"/>
      <c r="AU145" s="194"/>
      <c r="AV145" s="194"/>
      <c r="AW145" s="194"/>
      <c r="AX145" s="194"/>
      <c r="AY145" s="194"/>
      <c r="AZ145" s="194"/>
      <c r="BA145" s="194"/>
      <c r="BB145" s="194"/>
      <c r="BC145" s="194"/>
      <c r="BD145" s="194"/>
      <c r="BE145" s="194"/>
      <c r="BF145" s="194"/>
      <c r="BG145" s="194"/>
      <c r="BH145" s="194"/>
      <c r="BI145" s="194"/>
      <c r="BJ145" s="194"/>
      <c r="BK145" s="194"/>
      <c r="BL145" s="194"/>
      <c r="BM145" s="194"/>
      <c r="BN145" s="194"/>
      <c r="BO145" s="194"/>
      <c r="BP145" s="194"/>
      <c r="BQ145" s="194"/>
      <c r="BR145" s="194"/>
      <c r="BS145" s="194"/>
      <c r="BT145" s="194"/>
      <c r="BU145" s="194"/>
      <c r="BV145" s="194"/>
      <c r="BW145" s="194"/>
      <c r="BX145" s="194"/>
      <c r="BY145" s="194"/>
      <c r="BZ145" s="194"/>
      <c r="CA145" s="194"/>
      <c r="CB145" s="194"/>
      <c r="CC145" s="194"/>
      <c r="CD145" s="194"/>
      <c r="CE145" s="194"/>
      <c r="CF145" s="194"/>
      <c r="CG145" s="194"/>
      <c r="CH145" s="194"/>
      <c r="CI145" s="194"/>
      <c r="CJ145" s="194"/>
      <c r="CK145" s="194"/>
      <c r="CL145" s="194"/>
      <c r="CM145" s="194"/>
      <c r="CN145" s="194"/>
      <c r="CO145" s="194"/>
      <c r="CP145" s="194"/>
      <c r="CQ145" s="194"/>
      <c r="CR145" s="194"/>
      <c r="CS145" s="194"/>
      <c r="CT145" s="194"/>
      <c r="CU145" s="194"/>
      <c r="CV145" s="194"/>
      <c r="CW145" s="194"/>
      <c r="CX145" s="194"/>
      <c r="CY145" s="194"/>
      <c r="CZ145" s="194"/>
      <c r="DA145" s="194"/>
      <c r="DB145" s="194"/>
      <c r="DC145" s="194"/>
      <c r="DD145" s="194"/>
      <c r="DE145" s="194"/>
      <c r="DF145" s="194"/>
      <c r="DG145" s="194"/>
      <c r="DH145" s="194"/>
      <c r="DI145" s="194"/>
      <c r="DJ145" s="194"/>
      <c r="DK145" s="194"/>
      <c r="DL145" s="194"/>
      <c r="DM145" s="194"/>
      <c r="DN145" s="194"/>
      <c r="DO145" s="194"/>
      <c r="DP145" s="194"/>
      <c r="DQ145" s="194"/>
      <c r="DR145" s="194"/>
      <c r="DS145" s="194"/>
      <c r="DT145" s="194"/>
      <c r="DU145" s="194"/>
      <c r="DV145" s="194"/>
      <c r="DW145" s="194"/>
      <c r="DX145" s="194"/>
      <c r="DY145" s="194"/>
      <c r="DZ145" s="194"/>
      <c r="EA145" s="194"/>
      <c r="EB145" s="194"/>
      <c r="EC145" s="194"/>
      <c r="ED145" s="194"/>
      <c r="EE145" s="194"/>
      <c r="EF145" s="194"/>
      <c r="EG145" s="194"/>
      <c r="EH145" s="194"/>
      <c r="EI145" s="194"/>
      <c r="EJ145" s="194"/>
      <c r="EK145" s="194"/>
      <c r="EL145" s="194"/>
      <c r="EM145" s="194"/>
      <c r="EN145" s="194"/>
      <c r="EO145" s="194"/>
      <c r="EP145" s="194"/>
    </row>
    <row r="146" spans="1:146" s="199" customFormat="1" ht="20.25" customHeight="1" thickBot="1" x14ac:dyDescent="0.3">
      <c r="A146" s="194"/>
      <c r="B146" s="194">
        <v>3</v>
      </c>
      <c r="C146" s="194"/>
      <c r="D146" s="537">
        <v>4000</v>
      </c>
      <c r="E146" s="537">
        <v>4000</v>
      </c>
      <c r="F146" s="748">
        <f>IF(ISNUMBER(E146),IF('Identificación del Instrumento'!$F$17="PRIMITIVA","",IF($G$59="DISCONTINUA",$E$84/2,0)),"")</f>
        <v>10</v>
      </c>
      <c r="G146" s="537">
        <v>4000</v>
      </c>
      <c r="H146" s="748">
        <f>IF(ISNUMBER(G146),IF('Identificación del Instrumento'!$F$17="PRIMITIVA","",IF($G$59="DISCONTINUA",$E$84/2,0)),"")</f>
        <v>10</v>
      </c>
      <c r="I146" s="701">
        <f t="shared" si="6"/>
        <v>0</v>
      </c>
      <c r="J146" s="701">
        <f t="shared" si="7"/>
        <v>0</v>
      </c>
      <c r="K146" s="701">
        <f t="shared" si="15"/>
        <v>0</v>
      </c>
      <c r="L146" s="701">
        <f t="shared" si="8"/>
        <v>0</v>
      </c>
      <c r="M146" s="701">
        <f t="shared" si="9"/>
        <v>0</v>
      </c>
      <c r="N146" s="194"/>
      <c r="O146" s="263"/>
      <c r="P146" s="45">
        <f t="shared" si="10"/>
        <v>5.7735026918962582</v>
      </c>
      <c r="Q146" s="45">
        <f t="shared" si="11"/>
        <v>0</v>
      </c>
      <c r="R146" s="45">
        <f t="shared" si="12"/>
        <v>7.5000000000000011E-2</v>
      </c>
      <c r="S146" s="195">
        <v>0</v>
      </c>
      <c r="T146" s="45">
        <f t="shared" si="13"/>
        <v>11.547979621272864</v>
      </c>
      <c r="U146" s="358">
        <f t="shared" si="14"/>
        <v>20</v>
      </c>
      <c r="V146" s="359">
        <f>IF(ISNUMBER(I146),IF('Identificación del Instrumento'!$B$17="periódica",IF(ABS(I146)&lt;=U146,0,1),IF(ABS(L146)&lt;=U146,0,1)),"")</f>
        <v>0</v>
      </c>
      <c r="W146" s="194"/>
      <c r="X146" s="194"/>
      <c r="Y146" s="194"/>
      <c r="Z146" s="194"/>
      <c r="AA146" s="194"/>
      <c r="AB146" s="194"/>
      <c r="AC146" s="73"/>
      <c r="AD146" s="197"/>
      <c r="AE146" s="194"/>
      <c r="AF146" s="194"/>
      <c r="AG146" s="197"/>
      <c r="AH146" s="194"/>
      <c r="AI146" s="72"/>
      <c r="AJ146" s="197"/>
      <c r="AK146" s="197"/>
      <c r="AL146" s="197"/>
      <c r="AM146" s="197"/>
      <c r="AN146" s="197"/>
      <c r="AO146" s="194"/>
      <c r="AP146" s="194"/>
      <c r="AQ146" s="194"/>
      <c r="AR146" s="194"/>
      <c r="AS146" s="194"/>
      <c r="AT146" s="194"/>
      <c r="AU146" s="194"/>
      <c r="AV146" s="194"/>
      <c r="AW146" s="194"/>
      <c r="AX146" s="194"/>
      <c r="AY146" s="194"/>
      <c r="AZ146" s="194"/>
      <c r="BA146" s="194"/>
      <c r="BB146" s="194"/>
      <c r="BC146" s="194"/>
      <c r="BD146" s="194"/>
      <c r="BE146" s="194"/>
      <c r="BF146" s="194"/>
      <c r="BG146" s="194"/>
      <c r="BH146" s="194"/>
      <c r="BI146" s="194"/>
      <c r="BJ146" s="194"/>
      <c r="BK146" s="194"/>
      <c r="BL146" s="194"/>
      <c r="BM146" s="194"/>
      <c r="BN146" s="194"/>
      <c r="BO146" s="194"/>
      <c r="BP146" s="194"/>
      <c r="BQ146" s="194"/>
      <c r="BR146" s="194"/>
      <c r="BS146" s="194"/>
      <c r="BT146" s="194"/>
      <c r="BU146" s="194"/>
      <c r="BV146" s="194"/>
      <c r="BW146" s="194"/>
      <c r="BX146" s="194"/>
      <c r="BY146" s="194"/>
      <c r="BZ146" s="194"/>
      <c r="CA146" s="194"/>
      <c r="CB146" s="194"/>
      <c r="CC146" s="194"/>
      <c r="CD146" s="194"/>
      <c r="CE146" s="194"/>
      <c r="CF146" s="194"/>
      <c r="CG146" s="194"/>
      <c r="CH146" s="194"/>
      <c r="CI146" s="194"/>
      <c r="CJ146" s="194"/>
      <c r="CK146" s="194"/>
      <c r="CL146" s="194"/>
      <c r="CM146" s="194"/>
      <c r="CN146" s="194"/>
      <c r="CO146" s="194"/>
      <c r="CP146" s="194"/>
      <c r="CQ146" s="194"/>
      <c r="CR146" s="194"/>
      <c r="CS146" s="194"/>
      <c r="CT146" s="194"/>
      <c r="CU146" s="194"/>
      <c r="CV146" s="194"/>
      <c r="CW146" s="194"/>
      <c r="CX146" s="194"/>
      <c r="CY146" s="194"/>
      <c r="CZ146" s="194"/>
      <c r="DA146" s="194"/>
      <c r="DB146" s="194"/>
      <c r="DC146" s="194"/>
      <c r="DD146" s="194"/>
      <c r="DE146" s="194"/>
      <c r="DF146" s="194"/>
      <c r="DG146" s="194"/>
      <c r="DH146" s="194"/>
      <c r="DI146" s="194"/>
      <c r="DJ146" s="194"/>
      <c r="DK146" s="194"/>
      <c r="DL146" s="194"/>
      <c r="DM146" s="194"/>
      <c r="DN146" s="194"/>
      <c r="DO146" s="194"/>
      <c r="DP146" s="194"/>
      <c r="DQ146" s="194"/>
      <c r="DR146" s="194"/>
      <c r="DS146" s="194"/>
      <c r="DT146" s="194"/>
      <c r="DU146" s="194"/>
      <c r="DV146" s="194"/>
      <c r="DW146" s="194"/>
      <c r="DX146" s="194"/>
      <c r="DY146" s="194"/>
      <c r="DZ146" s="194"/>
      <c r="EA146" s="194"/>
      <c r="EB146" s="194"/>
      <c r="EC146" s="194"/>
      <c r="ED146" s="194"/>
      <c r="EE146" s="194"/>
      <c r="EF146" s="194"/>
      <c r="EG146" s="194"/>
      <c r="EH146" s="194"/>
      <c r="EI146" s="194"/>
      <c r="EJ146" s="194"/>
      <c r="EK146" s="194"/>
      <c r="EL146" s="194"/>
      <c r="EM146" s="194"/>
      <c r="EN146" s="194"/>
      <c r="EO146" s="194"/>
      <c r="EP146" s="194"/>
    </row>
    <row r="147" spans="1:146" s="199" customFormat="1" ht="20.25" customHeight="1" thickBot="1" x14ac:dyDescent="0.3">
      <c r="A147" s="194"/>
      <c r="B147" s="194">
        <v>4</v>
      </c>
      <c r="C147" s="194"/>
      <c r="D147" s="537">
        <f t="shared" ref="D147:D155" si="16">D146+2000</f>
        <v>6000</v>
      </c>
      <c r="E147" s="537">
        <v>6000</v>
      </c>
      <c r="F147" s="748">
        <f>IF(ISNUMBER(E147),IF('Identificación del Instrumento'!$F$17="PRIMITIVA","",IF($G$59="DISCONTINUA",$E$84/2,0)),"")</f>
        <v>10</v>
      </c>
      <c r="G147" s="537">
        <v>6000</v>
      </c>
      <c r="H147" s="748">
        <f>IF(ISNUMBER(G147),IF('Identificación del Instrumento'!$F$17="PRIMITIVA","",IF($G$59="DISCONTINUA",$E$84/2,0)),"")</f>
        <v>10</v>
      </c>
      <c r="I147" s="701">
        <f t="shared" si="6"/>
        <v>0</v>
      </c>
      <c r="J147" s="701">
        <f t="shared" si="7"/>
        <v>0</v>
      </c>
      <c r="K147" s="701">
        <f t="shared" si="15"/>
        <v>0</v>
      </c>
      <c r="L147" s="701">
        <f t="shared" si="8"/>
        <v>0</v>
      </c>
      <c r="M147" s="701">
        <f t="shared" si="9"/>
        <v>0</v>
      </c>
      <c r="N147" s="194"/>
      <c r="O147" s="263"/>
      <c r="P147" s="45">
        <f t="shared" si="10"/>
        <v>5.7735026918962582</v>
      </c>
      <c r="Q147" s="45">
        <f t="shared" si="11"/>
        <v>0</v>
      </c>
      <c r="R147" s="45">
        <f t="shared" si="12"/>
        <v>0.1</v>
      </c>
      <c r="S147" s="195">
        <v>0</v>
      </c>
      <c r="T147" s="45">
        <f t="shared" si="13"/>
        <v>11.548737304715758</v>
      </c>
      <c r="U147" s="358">
        <f t="shared" si="14"/>
        <v>20</v>
      </c>
      <c r="V147" s="359">
        <f>IF(ISNUMBER(I147),IF('Identificación del Instrumento'!$B$17="periódica",IF(ABS(I147)&lt;=U147,0,1),IF(ABS(L147)&lt;=U147,0,1)),"")</f>
        <v>0</v>
      </c>
      <c r="W147" s="194"/>
      <c r="X147" s="194"/>
      <c r="Y147" s="194"/>
      <c r="Z147" s="194"/>
      <c r="AA147" s="194"/>
      <c r="AB147" s="194"/>
      <c r="AC147" s="73"/>
      <c r="AD147" s="197"/>
      <c r="AE147" s="194"/>
      <c r="AF147" s="194"/>
      <c r="AG147" s="197"/>
      <c r="AH147" s="194"/>
      <c r="AI147" s="72"/>
      <c r="AJ147" s="197"/>
      <c r="AK147" s="197"/>
      <c r="AL147" s="197"/>
      <c r="AM147" s="197"/>
      <c r="AN147" s="197"/>
      <c r="AO147" s="194"/>
      <c r="AP147" s="194"/>
      <c r="AQ147" s="194"/>
      <c r="AR147" s="194"/>
      <c r="AS147" s="194"/>
      <c r="AT147" s="194"/>
      <c r="AU147" s="194"/>
      <c r="AV147" s="194"/>
      <c r="AW147" s="194"/>
      <c r="AX147" s="194"/>
      <c r="AY147" s="194"/>
      <c r="AZ147" s="194"/>
      <c r="BA147" s="194"/>
      <c r="BB147" s="194"/>
      <c r="BC147" s="194"/>
      <c r="BD147" s="194"/>
      <c r="BE147" s="194"/>
      <c r="BF147" s="194"/>
      <c r="BG147" s="194"/>
      <c r="BH147" s="194"/>
      <c r="BI147" s="194"/>
      <c r="BJ147" s="194"/>
      <c r="BK147" s="194"/>
      <c r="BL147" s="194"/>
      <c r="BM147" s="194"/>
      <c r="BN147" s="194"/>
      <c r="BO147" s="194"/>
      <c r="BP147" s="194"/>
      <c r="BQ147" s="194"/>
      <c r="BR147" s="194"/>
      <c r="BS147" s="194"/>
      <c r="BT147" s="194"/>
      <c r="BU147" s="194"/>
      <c r="BV147" s="194"/>
      <c r="BW147" s="194"/>
      <c r="BX147" s="194"/>
      <c r="BY147" s="194"/>
      <c r="BZ147" s="194"/>
      <c r="CA147" s="194"/>
      <c r="CB147" s="194"/>
      <c r="CC147" s="194"/>
      <c r="CD147" s="194"/>
      <c r="CE147" s="194"/>
      <c r="CF147" s="194"/>
      <c r="CG147" s="194"/>
      <c r="CH147" s="194"/>
      <c r="CI147" s="194"/>
      <c r="CJ147" s="194"/>
      <c r="CK147" s="194"/>
      <c r="CL147" s="194"/>
      <c r="CM147" s="194"/>
      <c r="CN147" s="194"/>
      <c r="CO147" s="194"/>
      <c r="CP147" s="194"/>
      <c r="CQ147" s="194"/>
      <c r="CR147" s="194"/>
      <c r="CS147" s="194"/>
      <c r="CT147" s="194"/>
      <c r="CU147" s="194"/>
      <c r="CV147" s="194"/>
      <c r="CW147" s="194"/>
      <c r="CX147" s="194"/>
      <c r="CY147" s="194"/>
      <c r="CZ147" s="194"/>
      <c r="DA147" s="194"/>
      <c r="DB147" s="194"/>
      <c r="DC147" s="194"/>
      <c r="DD147" s="194"/>
      <c r="DE147" s="194"/>
      <c r="DF147" s="194"/>
      <c r="DG147" s="194"/>
      <c r="DH147" s="194"/>
      <c r="DI147" s="194"/>
      <c r="DJ147" s="194"/>
      <c r="DK147" s="194"/>
      <c r="DL147" s="194"/>
      <c r="DM147" s="194"/>
      <c r="DN147" s="194"/>
      <c r="DO147" s="194"/>
      <c r="DP147" s="194"/>
      <c r="DQ147" s="194"/>
      <c r="DR147" s="194"/>
      <c r="DS147" s="194"/>
      <c r="DT147" s="194"/>
      <c r="DU147" s="194"/>
      <c r="DV147" s="194"/>
      <c r="DW147" s="194"/>
      <c r="DX147" s="194"/>
      <c r="DY147" s="194"/>
      <c r="DZ147" s="194"/>
      <c r="EA147" s="194"/>
      <c r="EB147" s="194"/>
      <c r="EC147" s="194"/>
      <c r="ED147" s="194"/>
      <c r="EE147" s="194"/>
      <c r="EF147" s="194"/>
      <c r="EG147" s="194"/>
      <c r="EH147" s="194"/>
      <c r="EI147" s="194"/>
      <c r="EJ147" s="194"/>
      <c r="EK147" s="194"/>
      <c r="EL147" s="194"/>
      <c r="EM147" s="194"/>
      <c r="EN147" s="194"/>
      <c r="EO147" s="194"/>
      <c r="EP147" s="194"/>
    </row>
    <row r="148" spans="1:146" s="199" customFormat="1" ht="20.25" customHeight="1" thickBot="1" x14ac:dyDescent="0.3">
      <c r="A148" s="194"/>
      <c r="B148" s="194">
        <v>5</v>
      </c>
      <c r="C148" s="194"/>
      <c r="D148" s="537">
        <f t="shared" si="16"/>
        <v>8000</v>
      </c>
      <c r="E148" s="537">
        <v>8000</v>
      </c>
      <c r="F148" s="748">
        <f>IF(ISNUMBER(E148),IF('Identificación del Instrumento'!$F$17="PRIMITIVA","",IF($G$59="DISCONTINUA",$E$84/2,0)),"")</f>
        <v>10</v>
      </c>
      <c r="G148" s="537">
        <v>8000</v>
      </c>
      <c r="H148" s="748">
        <f>IF(ISNUMBER(G148),IF('Identificación del Instrumento'!$F$17="PRIMITIVA","",IF($G$59="DISCONTINUA",$E$84/2,0)),"")</f>
        <v>10</v>
      </c>
      <c r="I148" s="701">
        <f t="shared" si="6"/>
        <v>0</v>
      </c>
      <c r="J148" s="701">
        <f t="shared" si="7"/>
        <v>0</v>
      </c>
      <c r="K148" s="701">
        <f t="shared" si="15"/>
        <v>0</v>
      </c>
      <c r="L148" s="701">
        <f t="shared" si="8"/>
        <v>0</v>
      </c>
      <c r="M148" s="701">
        <f t="shared" si="9"/>
        <v>0</v>
      </c>
      <c r="N148" s="194"/>
      <c r="O148" s="263"/>
      <c r="P148" s="45">
        <f t="shared" si="10"/>
        <v>5.7735026918962582</v>
      </c>
      <c r="Q148" s="45">
        <f t="shared" si="11"/>
        <v>0</v>
      </c>
      <c r="R148" s="45">
        <f t="shared" si="12"/>
        <v>0.125</v>
      </c>
      <c r="S148" s="195">
        <v>0</v>
      </c>
      <c r="T148" s="45">
        <f t="shared" si="13"/>
        <v>11.549711396105678</v>
      </c>
      <c r="U148" s="358">
        <f t="shared" si="14"/>
        <v>20</v>
      </c>
      <c r="V148" s="359">
        <f>IF(ISNUMBER(I148),IF('Identificación del Instrumento'!$B$17="periódica",IF(ABS(I148)&lt;=U148,0,1),IF(ABS(L148)&lt;=U148,0,1)),"")</f>
        <v>0</v>
      </c>
      <c r="W148" s="194"/>
      <c r="X148" s="194"/>
      <c r="Y148" s="194"/>
      <c r="Z148" s="194"/>
      <c r="AA148" s="194"/>
      <c r="AB148" s="194"/>
      <c r="AC148" s="73"/>
      <c r="AD148" s="197"/>
      <c r="AE148" s="194"/>
      <c r="AF148" s="194"/>
      <c r="AG148" s="197"/>
      <c r="AH148" s="194"/>
      <c r="AI148" s="72"/>
      <c r="AJ148" s="197"/>
      <c r="AK148" s="197"/>
      <c r="AL148" s="197"/>
      <c r="AM148" s="197"/>
      <c r="AN148" s="197"/>
      <c r="AO148" s="194"/>
      <c r="AP148" s="194"/>
      <c r="AQ148" s="194"/>
      <c r="AR148" s="194"/>
      <c r="AS148" s="194"/>
      <c r="AT148" s="194"/>
      <c r="AU148" s="194"/>
      <c r="AV148" s="194"/>
      <c r="AW148" s="194"/>
      <c r="AX148" s="194"/>
      <c r="AY148" s="194"/>
      <c r="AZ148" s="194"/>
      <c r="BA148" s="194"/>
      <c r="BB148" s="194"/>
      <c r="BC148" s="194"/>
      <c r="BD148" s="194"/>
      <c r="BE148" s="194"/>
      <c r="BF148" s="194"/>
      <c r="BG148" s="194"/>
      <c r="BH148" s="194"/>
      <c r="BI148" s="194"/>
      <c r="BJ148" s="194"/>
      <c r="BK148" s="194"/>
      <c r="BL148" s="194"/>
      <c r="BM148" s="194"/>
      <c r="BN148" s="194"/>
      <c r="BO148" s="194"/>
      <c r="BP148" s="194"/>
      <c r="BQ148" s="194"/>
      <c r="BR148" s="194"/>
      <c r="BS148" s="194"/>
      <c r="BT148" s="194"/>
      <c r="BU148" s="194"/>
      <c r="BV148" s="194"/>
      <c r="BW148" s="194"/>
      <c r="BX148" s="194"/>
      <c r="BY148" s="194"/>
      <c r="BZ148" s="194"/>
      <c r="CA148" s="194"/>
      <c r="CB148" s="194"/>
      <c r="CC148" s="194"/>
      <c r="CD148" s="194"/>
      <c r="CE148" s="194"/>
      <c r="CF148" s="194"/>
      <c r="CG148" s="194"/>
      <c r="CH148" s="194"/>
      <c r="CI148" s="194"/>
      <c r="CJ148" s="194"/>
      <c r="CK148" s="194"/>
      <c r="CL148" s="194"/>
      <c r="CM148" s="194"/>
      <c r="CN148" s="194"/>
      <c r="CO148" s="194"/>
      <c r="CP148" s="194"/>
      <c r="CQ148" s="194"/>
      <c r="CR148" s="194"/>
      <c r="CS148" s="194"/>
      <c r="CT148" s="194"/>
      <c r="CU148" s="194"/>
      <c r="CV148" s="194"/>
      <c r="CW148" s="194"/>
      <c r="CX148" s="194"/>
      <c r="CY148" s="194"/>
      <c r="CZ148" s="194"/>
      <c r="DA148" s="194"/>
      <c r="DB148" s="194"/>
      <c r="DC148" s="194"/>
      <c r="DD148" s="194"/>
      <c r="DE148" s="194"/>
      <c r="DF148" s="194"/>
      <c r="DG148" s="194"/>
      <c r="DH148" s="194"/>
      <c r="DI148" s="194"/>
      <c r="DJ148" s="194"/>
      <c r="DK148" s="194"/>
      <c r="DL148" s="194"/>
      <c r="DM148" s="194"/>
      <c r="DN148" s="194"/>
      <c r="DO148" s="194"/>
      <c r="DP148" s="194"/>
      <c r="DQ148" s="194"/>
      <c r="DR148" s="194"/>
      <c r="DS148" s="194"/>
      <c r="DT148" s="194"/>
      <c r="DU148" s="194"/>
      <c r="DV148" s="194"/>
      <c r="DW148" s="194"/>
      <c r="DX148" s="194"/>
      <c r="DY148" s="194"/>
      <c r="DZ148" s="194"/>
      <c r="EA148" s="194"/>
      <c r="EB148" s="194"/>
      <c r="EC148" s="194"/>
      <c r="ED148" s="194"/>
      <c r="EE148" s="194"/>
      <c r="EF148" s="194"/>
      <c r="EG148" s="194"/>
      <c r="EH148" s="194"/>
      <c r="EI148" s="194"/>
      <c r="EJ148" s="194"/>
      <c r="EK148" s="194"/>
      <c r="EL148" s="194"/>
      <c r="EM148" s="194"/>
      <c r="EN148" s="194"/>
      <c r="EO148" s="194"/>
      <c r="EP148" s="194"/>
    </row>
    <row r="149" spans="1:146" s="199" customFormat="1" ht="20.25" customHeight="1" thickBot="1" x14ac:dyDescent="0.3">
      <c r="A149" s="194"/>
      <c r="B149" s="194">
        <v>6</v>
      </c>
      <c r="C149" s="194"/>
      <c r="D149" s="537">
        <f t="shared" si="16"/>
        <v>10000</v>
      </c>
      <c r="E149" s="537">
        <v>10000</v>
      </c>
      <c r="F149" s="748">
        <f>IF(ISNUMBER(E149),IF('Identificación del Instrumento'!$F$17="PRIMITIVA","",IF($G$59="DISCONTINUA",$E$84/2,0)),"")</f>
        <v>10</v>
      </c>
      <c r="G149" s="537">
        <v>10000</v>
      </c>
      <c r="H149" s="748">
        <f>IF(ISNUMBER(G149),IF('Identificación del Instrumento'!$F$17="PRIMITIVA","",IF($G$59="DISCONTINUA",$E$84/2,0)),"")</f>
        <v>10</v>
      </c>
      <c r="I149" s="701">
        <f t="shared" si="6"/>
        <v>0</v>
      </c>
      <c r="J149" s="701">
        <f t="shared" si="7"/>
        <v>0</v>
      </c>
      <c r="K149" s="701">
        <f t="shared" si="15"/>
        <v>0</v>
      </c>
      <c r="L149" s="701">
        <f t="shared" si="8"/>
        <v>0</v>
      </c>
      <c r="M149" s="701">
        <f t="shared" si="9"/>
        <v>0</v>
      </c>
      <c r="N149" s="194"/>
      <c r="O149" s="263"/>
      <c r="P149" s="45">
        <f t="shared" si="10"/>
        <v>5.7735026918962582</v>
      </c>
      <c r="Q149" s="45">
        <f t="shared" si="11"/>
        <v>0</v>
      </c>
      <c r="R149" s="45">
        <f t="shared" si="12"/>
        <v>0.15000000000000002</v>
      </c>
      <c r="S149" s="195">
        <v>0</v>
      </c>
      <c r="T149" s="45">
        <f t="shared" si="13"/>
        <v>11.550901840693365</v>
      </c>
      <c r="U149" s="358">
        <f t="shared" si="14"/>
        <v>20</v>
      </c>
      <c r="V149" s="359">
        <f>IF(ISNUMBER(I149),IF('Identificación del Instrumento'!$B$17="periódica",IF(ABS(I149)&lt;=U149,0,1),IF(ABS(L149)&lt;=U149,0,1)),"")</f>
        <v>0</v>
      </c>
      <c r="W149" s="194"/>
      <c r="X149" s="194"/>
      <c r="Y149" s="194"/>
      <c r="Z149" s="194"/>
      <c r="AA149" s="194"/>
      <c r="AB149" s="194"/>
      <c r="AC149" s="73"/>
      <c r="AD149" s="197"/>
      <c r="AE149" s="194"/>
      <c r="AF149" s="194"/>
      <c r="AG149" s="197"/>
      <c r="AH149" s="194"/>
      <c r="AI149" s="72"/>
      <c r="AJ149" s="197"/>
      <c r="AK149" s="197"/>
      <c r="AL149" s="197"/>
      <c r="AM149" s="197"/>
      <c r="AN149" s="197"/>
      <c r="AO149" s="194"/>
      <c r="AP149" s="194"/>
      <c r="AQ149" s="194"/>
      <c r="AR149" s="194"/>
      <c r="AS149" s="194"/>
      <c r="AT149" s="194"/>
      <c r="AU149" s="194"/>
      <c r="AV149" s="194"/>
      <c r="AW149" s="194"/>
      <c r="AX149" s="194"/>
      <c r="AY149" s="194"/>
      <c r="AZ149" s="194"/>
      <c r="BA149" s="194"/>
      <c r="BB149" s="194"/>
      <c r="BC149" s="194"/>
      <c r="BD149" s="194"/>
      <c r="BE149" s="194"/>
      <c r="BF149" s="194"/>
      <c r="BG149" s="194"/>
      <c r="BH149" s="194"/>
      <c r="BI149" s="194"/>
      <c r="BJ149" s="194"/>
      <c r="BK149" s="194"/>
      <c r="BL149" s="194"/>
      <c r="BM149" s="194"/>
      <c r="BN149" s="194"/>
      <c r="BO149" s="194"/>
      <c r="BP149" s="194"/>
      <c r="BQ149" s="194"/>
      <c r="BR149" s="194"/>
      <c r="BS149" s="194"/>
      <c r="BT149" s="194"/>
      <c r="BU149" s="194"/>
      <c r="BV149" s="194"/>
      <c r="BW149" s="194"/>
      <c r="BX149" s="194"/>
      <c r="BY149" s="194"/>
      <c r="BZ149" s="194"/>
      <c r="CA149" s="194"/>
      <c r="CB149" s="194"/>
      <c r="CC149" s="194"/>
      <c r="CD149" s="194"/>
      <c r="CE149" s="194"/>
      <c r="CF149" s="194"/>
      <c r="CG149" s="194"/>
      <c r="CH149" s="194"/>
      <c r="CI149" s="194"/>
      <c r="CJ149" s="194"/>
      <c r="CK149" s="194"/>
      <c r="CL149" s="194"/>
      <c r="CM149" s="194"/>
      <c r="CN149" s="194"/>
      <c r="CO149" s="194"/>
      <c r="CP149" s="194"/>
      <c r="CQ149" s="194"/>
      <c r="CR149" s="194"/>
      <c r="CS149" s="194"/>
      <c r="CT149" s="194"/>
      <c r="CU149" s="194"/>
      <c r="CV149" s="194"/>
      <c r="CW149" s="194"/>
      <c r="CX149" s="194"/>
      <c r="CY149" s="194"/>
      <c r="CZ149" s="194"/>
      <c r="DA149" s="194"/>
      <c r="DB149" s="194"/>
      <c r="DC149" s="194"/>
      <c r="DD149" s="194"/>
      <c r="DE149" s="194"/>
      <c r="DF149" s="194"/>
      <c r="DG149" s="194"/>
      <c r="DH149" s="194"/>
      <c r="DI149" s="194"/>
      <c r="DJ149" s="194"/>
      <c r="DK149" s="194"/>
      <c r="DL149" s="194"/>
      <c r="DM149" s="194"/>
      <c r="DN149" s="194"/>
      <c r="DO149" s="194"/>
      <c r="DP149" s="194"/>
      <c r="DQ149" s="194"/>
      <c r="DR149" s="194"/>
      <c r="DS149" s="194"/>
      <c r="DT149" s="194"/>
      <c r="DU149" s="194"/>
      <c r="DV149" s="194"/>
      <c r="DW149" s="194"/>
      <c r="DX149" s="194"/>
      <c r="DY149" s="194"/>
      <c r="DZ149" s="194"/>
      <c r="EA149" s="194"/>
      <c r="EB149" s="194"/>
      <c r="EC149" s="194"/>
      <c r="ED149" s="194"/>
      <c r="EE149" s="194"/>
      <c r="EF149" s="194"/>
      <c r="EG149" s="194"/>
      <c r="EH149" s="194"/>
      <c r="EI149" s="194"/>
      <c r="EJ149" s="194"/>
      <c r="EK149" s="194"/>
      <c r="EL149" s="194"/>
      <c r="EM149" s="194"/>
      <c r="EN149" s="194"/>
      <c r="EO149" s="194"/>
      <c r="EP149" s="194"/>
    </row>
    <row r="150" spans="1:146" s="199" customFormat="1" ht="20.25" customHeight="1" thickBot="1" x14ac:dyDescent="0.3">
      <c r="A150" s="194"/>
      <c r="B150" s="194">
        <v>7</v>
      </c>
      <c r="C150" s="194"/>
      <c r="D150" s="537">
        <f t="shared" si="16"/>
        <v>12000</v>
      </c>
      <c r="E150" s="537">
        <v>12000</v>
      </c>
      <c r="F150" s="748">
        <f>IF(ISNUMBER(E150),IF('Identificación del Instrumento'!$F$17="PRIMITIVA","",IF($G$59="DISCONTINUA",$E$84/2,0)),"")</f>
        <v>10</v>
      </c>
      <c r="G150" s="537">
        <v>12000</v>
      </c>
      <c r="H150" s="748">
        <f>IF(ISNUMBER(G150),IF('Identificación del Instrumento'!$F$17="PRIMITIVA","",IF($G$59="DISCONTINUA",$E$84/2,0)),"")</f>
        <v>10</v>
      </c>
      <c r="I150" s="701">
        <f t="shared" si="6"/>
        <v>0</v>
      </c>
      <c r="J150" s="701">
        <f t="shared" si="7"/>
        <v>0</v>
      </c>
      <c r="K150" s="701">
        <f t="shared" si="15"/>
        <v>0</v>
      </c>
      <c r="L150" s="701">
        <f t="shared" si="8"/>
        <v>0</v>
      </c>
      <c r="M150" s="701">
        <f t="shared" si="9"/>
        <v>0</v>
      </c>
      <c r="N150" s="194"/>
      <c r="O150" s="263"/>
      <c r="P150" s="45">
        <f t="shared" si="10"/>
        <v>5.7735026918962582</v>
      </c>
      <c r="Q150" s="45">
        <f t="shared" si="11"/>
        <v>0</v>
      </c>
      <c r="R150" s="45">
        <f t="shared" si="12"/>
        <v>0.17500000000000002</v>
      </c>
      <c r="S150" s="195">
        <v>0</v>
      </c>
      <c r="T150" s="45">
        <f t="shared" si="13"/>
        <v>11.552308571594397</v>
      </c>
      <c r="U150" s="358">
        <f t="shared" si="14"/>
        <v>40</v>
      </c>
      <c r="V150" s="359">
        <f>IF(ISNUMBER(I150),IF('Identificación del Instrumento'!$B$17="periódica",IF(ABS(I150)&lt;=U150,0,1),IF(ABS(L150)&lt;=U150,0,1)),"")</f>
        <v>0</v>
      </c>
      <c r="W150" s="194"/>
      <c r="X150" s="194"/>
      <c r="Y150" s="194"/>
      <c r="Z150" s="194"/>
      <c r="AA150" s="194"/>
      <c r="AB150" s="194"/>
      <c r="AC150" s="73"/>
      <c r="AD150" s="197"/>
      <c r="AE150" s="194"/>
      <c r="AF150" s="194"/>
      <c r="AG150" s="197"/>
      <c r="AH150" s="194"/>
      <c r="AI150" s="72"/>
      <c r="AJ150" s="197"/>
      <c r="AK150" s="197"/>
      <c r="AL150" s="197"/>
      <c r="AM150" s="197"/>
      <c r="AN150" s="197"/>
      <c r="AO150" s="194"/>
      <c r="AP150" s="194"/>
      <c r="AQ150" s="194"/>
      <c r="AR150" s="194"/>
      <c r="AS150" s="194"/>
      <c r="AT150" s="194"/>
      <c r="AU150" s="194"/>
      <c r="AV150" s="194"/>
      <c r="AW150" s="194"/>
      <c r="AX150" s="194"/>
      <c r="AY150" s="194"/>
      <c r="AZ150" s="194"/>
      <c r="BA150" s="194"/>
      <c r="BB150" s="194"/>
      <c r="BC150" s="194"/>
      <c r="BD150" s="194"/>
      <c r="BE150" s="194"/>
      <c r="BF150" s="194"/>
      <c r="BG150" s="194"/>
      <c r="BH150" s="194"/>
      <c r="BI150" s="194"/>
      <c r="BJ150" s="194"/>
      <c r="BK150" s="194"/>
      <c r="BL150" s="194"/>
      <c r="BM150" s="194"/>
      <c r="BN150" s="194"/>
      <c r="BO150" s="194"/>
      <c r="BP150" s="194"/>
      <c r="BQ150" s="194"/>
      <c r="BR150" s="194"/>
      <c r="BS150" s="194"/>
      <c r="BT150" s="194"/>
      <c r="BU150" s="194"/>
      <c r="BV150" s="194"/>
      <c r="BW150" s="194"/>
      <c r="BX150" s="194"/>
      <c r="BY150" s="194"/>
      <c r="BZ150" s="194"/>
      <c r="CA150" s="194"/>
      <c r="CB150" s="194"/>
      <c r="CC150" s="194"/>
      <c r="CD150" s="194"/>
      <c r="CE150" s="194"/>
      <c r="CF150" s="194"/>
      <c r="CG150" s="194"/>
      <c r="CH150" s="194"/>
      <c r="CI150" s="194"/>
      <c r="CJ150" s="194"/>
      <c r="CK150" s="194"/>
      <c r="CL150" s="194"/>
      <c r="CM150" s="194"/>
      <c r="CN150" s="194"/>
      <c r="CO150" s="194"/>
      <c r="CP150" s="194"/>
      <c r="CQ150" s="194"/>
      <c r="CR150" s="194"/>
      <c r="CS150" s="194"/>
      <c r="CT150" s="194"/>
      <c r="CU150" s="194"/>
      <c r="CV150" s="194"/>
      <c r="CW150" s="194"/>
      <c r="CX150" s="194"/>
      <c r="CY150" s="194"/>
      <c r="CZ150" s="194"/>
      <c r="DA150" s="194"/>
      <c r="DB150" s="194"/>
      <c r="DC150" s="194"/>
      <c r="DD150" s="194"/>
      <c r="DE150" s="194"/>
      <c r="DF150" s="194"/>
      <c r="DG150" s="194"/>
      <c r="DH150" s="194"/>
      <c r="DI150" s="194"/>
      <c r="DJ150" s="194"/>
      <c r="DK150" s="194"/>
      <c r="DL150" s="194"/>
      <c r="DM150" s="194"/>
      <c r="DN150" s="194"/>
      <c r="DO150" s="194"/>
      <c r="DP150" s="194"/>
      <c r="DQ150" s="194"/>
      <c r="DR150" s="194"/>
      <c r="DS150" s="194"/>
      <c r="DT150" s="194"/>
      <c r="DU150" s="194"/>
      <c r="DV150" s="194"/>
      <c r="DW150" s="194"/>
      <c r="DX150" s="194"/>
      <c r="DY150" s="194"/>
      <c r="DZ150" s="194"/>
      <c r="EA150" s="194"/>
      <c r="EB150" s="194"/>
      <c r="EC150" s="194"/>
      <c r="ED150" s="194"/>
      <c r="EE150" s="194"/>
      <c r="EF150" s="194"/>
      <c r="EG150" s="194"/>
      <c r="EH150" s="194"/>
      <c r="EI150" s="194"/>
      <c r="EJ150" s="194"/>
      <c r="EK150" s="194"/>
      <c r="EL150" s="194"/>
      <c r="EM150" s="194"/>
      <c r="EN150" s="194"/>
      <c r="EO150" s="194"/>
      <c r="EP150" s="194"/>
    </row>
    <row r="151" spans="1:146" s="199" customFormat="1" ht="20.25" customHeight="1" thickBot="1" x14ac:dyDescent="0.3">
      <c r="A151" s="194"/>
      <c r="B151" s="194">
        <v>8</v>
      </c>
      <c r="C151" s="194"/>
      <c r="D151" s="537">
        <f t="shared" si="16"/>
        <v>14000</v>
      </c>
      <c r="E151" s="537">
        <v>14000</v>
      </c>
      <c r="F151" s="748">
        <f>IF(ISNUMBER(E151),IF('Identificación del Instrumento'!$F$17="PRIMITIVA","",IF($G$59="DISCONTINUA",$E$84/2,0)),"")</f>
        <v>10</v>
      </c>
      <c r="G151" s="537">
        <v>14000</v>
      </c>
      <c r="H151" s="748">
        <f>IF(ISNUMBER(G151),IF('Identificación del Instrumento'!$F$17="PRIMITIVA","",IF($G$59="DISCONTINUA",$E$84/2,0)),"")</f>
        <v>10</v>
      </c>
      <c r="I151" s="701">
        <f t="shared" si="6"/>
        <v>0</v>
      </c>
      <c r="J151" s="701">
        <f t="shared" si="7"/>
        <v>0</v>
      </c>
      <c r="K151" s="701">
        <f t="shared" si="15"/>
        <v>0</v>
      </c>
      <c r="L151" s="701">
        <f t="shared" si="8"/>
        <v>0</v>
      </c>
      <c r="M151" s="701">
        <f t="shared" si="9"/>
        <v>0</v>
      </c>
      <c r="N151" s="194"/>
      <c r="O151" s="263"/>
      <c r="P151" s="45">
        <f t="shared" si="10"/>
        <v>5.7735026918962582</v>
      </c>
      <c r="Q151" s="45">
        <f t="shared" si="11"/>
        <v>0</v>
      </c>
      <c r="R151" s="45">
        <f t="shared" si="12"/>
        <v>0.2</v>
      </c>
      <c r="S151" s="195">
        <v>0</v>
      </c>
      <c r="T151" s="45">
        <f t="shared" si="13"/>
        <v>11.553931509807965</v>
      </c>
      <c r="U151" s="358">
        <f t="shared" si="14"/>
        <v>40</v>
      </c>
      <c r="V151" s="359">
        <f>IF(ISNUMBER(I151),IF('Identificación del Instrumento'!$B$17="periódica",IF(ABS(I151)&lt;=U151,0,1),IF(ABS(L151)&lt;=U151,0,1)),"")</f>
        <v>0</v>
      </c>
      <c r="W151" s="194"/>
      <c r="X151" s="194"/>
      <c r="Y151" s="194"/>
      <c r="Z151" s="194"/>
      <c r="AA151" s="194"/>
      <c r="AB151" s="194"/>
      <c r="AC151" s="73"/>
      <c r="AD151" s="197"/>
      <c r="AE151" s="194"/>
      <c r="AF151" s="194"/>
      <c r="AG151" s="197"/>
      <c r="AH151" s="194"/>
      <c r="AI151" s="72"/>
      <c r="AJ151" s="197"/>
      <c r="AK151" s="197"/>
      <c r="AL151" s="197"/>
      <c r="AM151" s="197"/>
      <c r="AN151" s="197"/>
      <c r="AO151" s="194"/>
      <c r="AP151" s="194"/>
      <c r="AQ151" s="194"/>
      <c r="AR151" s="194"/>
      <c r="AS151" s="194"/>
      <c r="AT151" s="194"/>
      <c r="AU151" s="194"/>
      <c r="AV151" s="194"/>
      <c r="AW151" s="194"/>
      <c r="AX151" s="194"/>
      <c r="AY151" s="194"/>
      <c r="AZ151" s="194"/>
      <c r="BA151" s="194"/>
      <c r="BB151" s="194"/>
      <c r="BC151" s="194"/>
      <c r="BD151" s="194"/>
      <c r="BE151" s="194"/>
      <c r="BF151" s="194"/>
      <c r="BG151" s="194"/>
      <c r="BH151" s="194"/>
      <c r="BI151" s="194"/>
      <c r="BJ151" s="194"/>
      <c r="BK151" s="194"/>
      <c r="BL151" s="194"/>
      <c r="BM151" s="194"/>
      <c r="BN151" s="194"/>
      <c r="BO151" s="194"/>
      <c r="BP151" s="194"/>
      <c r="BQ151" s="194"/>
      <c r="BR151" s="194"/>
      <c r="BS151" s="194"/>
      <c r="BT151" s="194"/>
      <c r="BU151" s="194"/>
      <c r="BV151" s="194"/>
      <c r="BW151" s="194"/>
      <c r="BX151" s="194"/>
      <c r="BY151" s="194"/>
      <c r="BZ151" s="194"/>
      <c r="CA151" s="194"/>
      <c r="CB151" s="194"/>
      <c r="CC151" s="194"/>
      <c r="CD151" s="194"/>
      <c r="CE151" s="194"/>
      <c r="CF151" s="194"/>
      <c r="CG151" s="194"/>
      <c r="CH151" s="194"/>
      <c r="CI151" s="194"/>
      <c r="CJ151" s="194"/>
      <c r="CK151" s="194"/>
      <c r="CL151" s="194"/>
      <c r="CM151" s="194"/>
      <c r="CN151" s="194"/>
      <c r="CO151" s="194"/>
      <c r="CP151" s="194"/>
      <c r="CQ151" s="194"/>
      <c r="CR151" s="194"/>
      <c r="CS151" s="194"/>
      <c r="CT151" s="194"/>
      <c r="CU151" s="194"/>
      <c r="CV151" s="194"/>
      <c r="CW151" s="194"/>
      <c r="CX151" s="194"/>
      <c r="CY151" s="194"/>
      <c r="CZ151" s="194"/>
      <c r="DA151" s="194"/>
      <c r="DB151" s="194"/>
      <c r="DC151" s="194"/>
      <c r="DD151" s="194"/>
      <c r="DE151" s="194"/>
      <c r="DF151" s="194"/>
      <c r="DG151" s="194"/>
      <c r="DH151" s="194"/>
      <c r="DI151" s="194"/>
      <c r="DJ151" s="194"/>
      <c r="DK151" s="194"/>
      <c r="DL151" s="194"/>
      <c r="DM151" s="194"/>
      <c r="DN151" s="194"/>
      <c r="DO151" s="194"/>
      <c r="DP151" s="194"/>
      <c r="DQ151" s="194"/>
      <c r="DR151" s="194"/>
      <c r="DS151" s="194"/>
      <c r="DT151" s="194"/>
      <c r="DU151" s="194"/>
      <c r="DV151" s="194"/>
      <c r="DW151" s="194"/>
      <c r="DX151" s="194"/>
      <c r="DY151" s="194"/>
      <c r="DZ151" s="194"/>
      <c r="EA151" s="194"/>
      <c r="EB151" s="194"/>
      <c r="EC151" s="194"/>
      <c r="ED151" s="194"/>
      <c r="EE151" s="194"/>
      <c r="EF151" s="194"/>
      <c r="EG151" s="194"/>
      <c r="EH151" s="194"/>
      <c r="EI151" s="194"/>
      <c r="EJ151" s="194"/>
      <c r="EK151" s="194"/>
      <c r="EL151" s="194"/>
      <c r="EM151" s="194"/>
      <c r="EN151" s="194"/>
      <c r="EO151" s="194"/>
      <c r="EP151" s="194"/>
    </row>
    <row r="152" spans="1:146" s="199" customFormat="1" ht="20.25" customHeight="1" thickBot="1" x14ac:dyDescent="0.3">
      <c r="A152" s="194"/>
      <c r="B152" s="194">
        <v>9</v>
      </c>
      <c r="C152" s="194"/>
      <c r="D152" s="537">
        <f t="shared" si="16"/>
        <v>16000</v>
      </c>
      <c r="E152" s="537">
        <v>16000</v>
      </c>
      <c r="F152" s="748">
        <f>IF(ISNUMBER(E152),IF('Identificación del Instrumento'!$F$17="PRIMITIVA","",IF($G$59="DISCONTINUA",$E$84/2,0)),"")</f>
        <v>10</v>
      </c>
      <c r="G152" s="537">
        <v>16000</v>
      </c>
      <c r="H152" s="748">
        <f>IF(ISNUMBER(G152),IF('Identificación del Instrumento'!$F$17="PRIMITIVA","",IF($G$59="DISCONTINUA",$E$84/2,0)),"")</f>
        <v>10</v>
      </c>
      <c r="I152" s="701">
        <f t="shared" si="6"/>
        <v>0</v>
      </c>
      <c r="J152" s="701">
        <f t="shared" si="7"/>
        <v>0</v>
      </c>
      <c r="K152" s="701">
        <f t="shared" si="15"/>
        <v>0</v>
      </c>
      <c r="L152" s="701">
        <f t="shared" si="8"/>
        <v>0</v>
      </c>
      <c r="M152" s="701">
        <f t="shared" si="9"/>
        <v>0</v>
      </c>
      <c r="N152" s="194"/>
      <c r="O152" s="263"/>
      <c r="P152" s="45">
        <f t="shared" si="10"/>
        <v>5.7735026918962582</v>
      </c>
      <c r="Q152" s="45">
        <f t="shared" si="11"/>
        <v>0</v>
      </c>
      <c r="R152" s="45">
        <f t="shared" si="12"/>
        <v>0.22500000000000001</v>
      </c>
      <c r="S152" s="195">
        <v>0</v>
      </c>
      <c r="T152" s="45">
        <f t="shared" si="13"/>
        <v>11.555770564239035</v>
      </c>
      <c r="U152" s="358">
        <f t="shared" si="14"/>
        <v>40</v>
      </c>
      <c r="V152" s="359">
        <f>IF(ISNUMBER(I152),IF('Identificación del Instrumento'!$B$17="periódica",IF(ABS(I152)&lt;=U152,0,1),IF(ABS(L152)&lt;=U152,0,1)),"")</f>
        <v>0</v>
      </c>
      <c r="W152" s="194"/>
      <c r="X152" s="194"/>
      <c r="Y152" s="194"/>
      <c r="Z152" s="194"/>
      <c r="AA152" s="194"/>
      <c r="AB152" s="194"/>
      <c r="AC152" s="73"/>
      <c r="AD152" s="197"/>
      <c r="AE152" s="194"/>
      <c r="AF152" s="194"/>
      <c r="AG152" s="197"/>
      <c r="AH152" s="194"/>
      <c r="AI152" s="72"/>
      <c r="AJ152" s="197"/>
      <c r="AK152" s="197"/>
      <c r="AL152" s="197"/>
      <c r="AM152" s="197"/>
      <c r="AN152" s="197"/>
      <c r="AO152" s="194"/>
      <c r="AP152" s="194"/>
      <c r="AQ152" s="194"/>
      <c r="AR152" s="194"/>
      <c r="AS152" s="194"/>
      <c r="AT152" s="194"/>
      <c r="AU152" s="194"/>
      <c r="AV152" s="194"/>
      <c r="AW152" s="194"/>
      <c r="AX152" s="194"/>
      <c r="AY152" s="194"/>
      <c r="AZ152" s="194"/>
      <c r="BA152" s="194"/>
      <c r="BB152" s="194"/>
      <c r="BC152" s="194"/>
      <c r="BD152" s="194"/>
      <c r="BE152" s="194"/>
      <c r="BF152" s="194"/>
      <c r="BG152" s="194"/>
      <c r="BH152" s="194"/>
      <c r="BI152" s="194"/>
      <c r="BJ152" s="194"/>
      <c r="BK152" s="194"/>
      <c r="BL152" s="194"/>
      <c r="BM152" s="194"/>
      <c r="BN152" s="194"/>
      <c r="BO152" s="194"/>
      <c r="BP152" s="194"/>
      <c r="BQ152" s="194"/>
      <c r="BR152" s="194"/>
      <c r="BS152" s="194"/>
      <c r="BT152" s="194"/>
      <c r="BU152" s="194"/>
      <c r="BV152" s="194"/>
      <c r="BW152" s="194"/>
      <c r="BX152" s="194"/>
      <c r="BY152" s="194"/>
      <c r="BZ152" s="194"/>
      <c r="CA152" s="194"/>
      <c r="CB152" s="194"/>
      <c r="CC152" s="194"/>
      <c r="CD152" s="194"/>
      <c r="CE152" s="194"/>
      <c r="CF152" s="194"/>
      <c r="CG152" s="194"/>
      <c r="CH152" s="194"/>
      <c r="CI152" s="194"/>
      <c r="CJ152" s="194"/>
      <c r="CK152" s="194"/>
      <c r="CL152" s="194"/>
      <c r="CM152" s="194"/>
      <c r="CN152" s="194"/>
      <c r="CO152" s="194"/>
      <c r="CP152" s="194"/>
      <c r="CQ152" s="194"/>
      <c r="CR152" s="194"/>
      <c r="CS152" s="194"/>
      <c r="CT152" s="194"/>
      <c r="CU152" s="194"/>
      <c r="CV152" s="194"/>
      <c r="CW152" s="194"/>
      <c r="CX152" s="194"/>
      <c r="CY152" s="194"/>
      <c r="CZ152" s="194"/>
      <c r="DA152" s="194"/>
      <c r="DB152" s="194"/>
      <c r="DC152" s="194"/>
      <c r="DD152" s="194"/>
      <c r="DE152" s="194"/>
      <c r="DF152" s="194"/>
      <c r="DG152" s="194"/>
      <c r="DH152" s="194"/>
      <c r="DI152" s="194"/>
      <c r="DJ152" s="194"/>
      <c r="DK152" s="194"/>
      <c r="DL152" s="194"/>
      <c r="DM152" s="194"/>
      <c r="DN152" s="194"/>
      <c r="DO152" s="194"/>
      <c r="DP152" s="194"/>
      <c r="DQ152" s="194"/>
      <c r="DR152" s="194"/>
      <c r="DS152" s="194"/>
      <c r="DT152" s="194"/>
      <c r="DU152" s="194"/>
      <c r="DV152" s="194"/>
      <c r="DW152" s="194"/>
      <c r="DX152" s="194"/>
      <c r="DY152" s="194"/>
      <c r="DZ152" s="194"/>
      <c r="EA152" s="194"/>
      <c r="EB152" s="194"/>
      <c r="EC152" s="194"/>
      <c r="ED152" s="194"/>
      <c r="EE152" s="194"/>
      <c r="EF152" s="194"/>
      <c r="EG152" s="194"/>
      <c r="EH152" s="194"/>
      <c r="EI152" s="194"/>
      <c r="EJ152" s="194"/>
      <c r="EK152" s="194"/>
      <c r="EL152" s="194"/>
      <c r="EM152" s="194"/>
      <c r="EN152" s="194"/>
      <c r="EO152" s="194"/>
      <c r="EP152" s="194"/>
    </row>
    <row r="153" spans="1:146" s="199" customFormat="1" ht="20.25" customHeight="1" thickBot="1" x14ac:dyDescent="0.3">
      <c r="A153" s="194"/>
      <c r="B153" s="194">
        <v>10</v>
      </c>
      <c r="C153" s="194"/>
      <c r="D153" s="537">
        <f t="shared" si="16"/>
        <v>18000</v>
      </c>
      <c r="E153" s="537">
        <v>18000</v>
      </c>
      <c r="F153" s="748">
        <f>IF(ISNUMBER(E153),IF('Identificación del Instrumento'!$F$17="PRIMITIVA","",IF($G$59="DISCONTINUA",$E$84/2,0)),"")</f>
        <v>10</v>
      </c>
      <c r="G153" s="537">
        <v>18000</v>
      </c>
      <c r="H153" s="748">
        <f>IF(ISNUMBER(G153),IF('Identificación del Instrumento'!$F$17="PRIMITIVA","",IF($G$59="DISCONTINUA",$E$84/2,0)),"")</f>
        <v>10</v>
      </c>
      <c r="I153" s="701">
        <f t="shared" si="6"/>
        <v>0</v>
      </c>
      <c r="J153" s="701">
        <f t="shared" si="7"/>
        <v>0</v>
      </c>
      <c r="K153" s="701">
        <f t="shared" si="15"/>
        <v>0</v>
      </c>
      <c r="L153" s="701">
        <f t="shared" si="8"/>
        <v>0</v>
      </c>
      <c r="M153" s="701">
        <f t="shared" si="9"/>
        <v>0</v>
      </c>
      <c r="N153" s="194"/>
      <c r="O153" s="263"/>
      <c r="P153" s="45">
        <f t="shared" si="10"/>
        <v>5.7735026918962582</v>
      </c>
      <c r="Q153" s="45">
        <f t="shared" si="11"/>
        <v>0</v>
      </c>
      <c r="R153" s="45">
        <f t="shared" si="12"/>
        <v>0.25</v>
      </c>
      <c r="S153" s="195">
        <v>0</v>
      </c>
      <c r="T153" s="45">
        <f t="shared" si="13"/>
        <v>11.557825631723874</v>
      </c>
      <c r="U153" s="358">
        <f t="shared" si="14"/>
        <v>40</v>
      </c>
      <c r="V153" s="359">
        <f>IF(ISNUMBER(I153),IF('Identificación del Instrumento'!$B$17="periódica",IF(ABS(I153)&lt;=U153,0,1),IF(ABS(L153)&lt;=U153,0,1)),"")</f>
        <v>0</v>
      </c>
      <c r="W153" s="194"/>
      <c r="X153" s="194"/>
      <c r="Y153" s="194"/>
      <c r="Z153" s="194"/>
      <c r="AA153" s="194"/>
      <c r="AB153" s="194"/>
      <c r="AC153" s="73"/>
      <c r="AD153" s="197"/>
      <c r="AE153" s="194"/>
      <c r="AF153" s="194"/>
      <c r="AG153" s="197"/>
      <c r="AH153" s="194"/>
      <c r="AI153" s="72"/>
      <c r="AJ153" s="197"/>
      <c r="AK153" s="197"/>
      <c r="AL153" s="197"/>
      <c r="AM153" s="197"/>
      <c r="AN153" s="197"/>
      <c r="AO153" s="194"/>
      <c r="AP153" s="194"/>
      <c r="AQ153" s="194"/>
      <c r="AR153" s="194"/>
      <c r="AS153" s="194"/>
      <c r="AT153" s="194"/>
      <c r="AU153" s="194"/>
      <c r="AV153" s="194"/>
      <c r="AW153" s="194"/>
      <c r="AX153" s="194"/>
      <c r="AY153" s="194"/>
      <c r="AZ153" s="194"/>
      <c r="BA153" s="194"/>
      <c r="BB153" s="194"/>
      <c r="BC153" s="194"/>
      <c r="BD153" s="194"/>
      <c r="BE153" s="194"/>
      <c r="BF153" s="194"/>
      <c r="BG153" s="194"/>
      <c r="BH153" s="194"/>
      <c r="BI153" s="194"/>
      <c r="BJ153" s="194"/>
      <c r="BK153" s="194"/>
      <c r="BL153" s="194"/>
      <c r="BM153" s="194"/>
      <c r="BN153" s="194"/>
      <c r="BO153" s="194"/>
      <c r="BP153" s="194"/>
      <c r="BQ153" s="194"/>
      <c r="BR153" s="194"/>
      <c r="BS153" s="194"/>
      <c r="BT153" s="194"/>
      <c r="BU153" s="194"/>
      <c r="BV153" s="194"/>
      <c r="BW153" s="194"/>
      <c r="BX153" s="194"/>
      <c r="BY153" s="194"/>
      <c r="BZ153" s="194"/>
      <c r="CA153" s="194"/>
      <c r="CB153" s="194"/>
      <c r="CC153" s="194"/>
      <c r="CD153" s="194"/>
      <c r="CE153" s="194"/>
      <c r="CF153" s="194"/>
      <c r="CG153" s="194"/>
      <c r="CH153" s="194"/>
      <c r="CI153" s="194"/>
      <c r="CJ153" s="194"/>
      <c r="CK153" s="194"/>
      <c r="CL153" s="194"/>
      <c r="CM153" s="194"/>
      <c r="CN153" s="194"/>
      <c r="CO153" s="194"/>
      <c r="CP153" s="194"/>
      <c r="CQ153" s="194"/>
      <c r="CR153" s="194"/>
      <c r="CS153" s="194"/>
      <c r="CT153" s="194"/>
      <c r="CU153" s="194"/>
      <c r="CV153" s="194"/>
      <c r="CW153" s="194"/>
      <c r="CX153" s="194"/>
      <c r="CY153" s="194"/>
      <c r="CZ153" s="194"/>
      <c r="DA153" s="194"/>
      <c r="DB153" s="194"/>
      <c r="DC153" s="194"/>
      <c r="DD153" s="194"/>
      <c r="DE153" s="194"/>
      <c r="DF153" s="194"/>
      <c r="DG153" s="194"/>
      <c r="DH153" s="194"/>
      <c r="DI153" s="194"/>
      <c r="DJ153" s="194"/>
      <c r="DK153" s="194"/>
      <c r="DL153" s="194"/>
      <c r="DM153" s="194"/>
      <c r="DN153" s="194"/>
      <c r="DO153" s="194"/>
      <c r="DP153" s="194"/>
      <c r="DQ153" s="194"/>
      <c r="DR153" s="194"/>
      <c r="DS153" s="194"/>
      <c r="DT153" s="194"/>
      <c r="DU153" s="194"/>
      <c r="DV153" s="194"/>
      <c r="DW153" s="194"/>
      <c r="DX153" s="194"/>
      <c r="DY153" s="194"/>
      <c r="DZ153" s="194"/>
      <c r="EA153" s="194"/>
      <c r="EB153" s="194"/>
      <c r="EC153" s="194"/>
      <c r="ED153" s="194"/>
      <c r="EE153" s="194"/>
      <c r="EF153" s="194"/>
      <c r="EG153" s="194"/>
      <c r="EH153" s="194"/>
      <c r="EI153" s="194"/>
      <c r="EJ153" s="194"/>
      <c r="EK153" s="194"/>
      <c r="EL153" s="194"/>
      <c r="EM153" s="194"/>
      <c r="EN153" s="194"/>
      <c r="EO153" s="194"/>
      <c r="EP153" s="194"/>
    </row>
    <row r="154" spans="1:146" s="199" customFormat="1" ht="20.25" customHeight="1" thickBot="1" x14ac:dyDescent="0.3">
      <c r="A154" s="194"/>
      <c r="B154" s="194">
        <v>11</v>
      </c>
      <c r="C154" s="194"/>
      <c r="D154" s="537">
        <f t="shared" si="16"/>
        <v>20000</v>
      </c>
      <c r="E154" s="537">
        <v>20000</v>
      </c>
      <c r="F154" s="748">
        <f>IF(ISNUMBER(E154),IF('Identificación del Instrumento'!$F$17="PRIMITIVA","",IF($G$59="DISCONTINUA",$E$84/2,0)),"")</f>
        <v>10</v>
      </c>
      <c r="G154" s="537">
        <v>20000</v>
      </c>
      <c r="H154" s="748">
        <f>IF(ISNUMBER(G154),IF('Identificación del Instrumento'!$F$17="PRIMITIVA","",IF($G$59="DISCONTINUA",$E$84/2,0)),"")</f>
        <v>10</v>
      </c>
      <c r="I154" s="701">
        <f t="shared" si="6"/>
        <v>0</v>
      </c>
      <c r="J154" s="701">
        <f t="shared" si="7"/>
        <v>0</v>
      </c>
      <c r="K154" s="701">
        <f t="shared" si="15"/>
        <v>0</v>
      </c>
      <c r="L154" s="701">
        <f t="shared" si="8"/>
        <v>0</v>
      </c>
      <c r="M154" s="701">
        <f t="shared" si="9"/>
        <v>0</v>
      </c>
      <c r="N154" s="194"/>
      <c r="O154" s="263"/>
      <c r="P154" s="45"/>
      <c r="Q154" s="45"/>
      <c r="R154" s="45"/>
      <c r="S154" s="195"/>
      <c r="T154" s="45"/>
      <c r="U154" s="358"/>
      <c r="V154" s="359"/>
      <c r="W154" s="194"/>
      <c r="X154" s="194"/>
      <c r="Y154" s="194"/>
      <c r="Z154" s="194"/>
      <c r="AA154" s="194"/>
      <c r="AB154" s="194"/>
      <c r="AC154" s="73"/>
      <c r="AD154" s="197"/>
      <c r="AE154" s="194"/>
      <c r="AF154" s="194"/>
      <c r="AG154" s="197"/>
      <c r="AH154" s="194"/>
      <c r="AI154" s="72"/>
      <c r="AJ154" s="197"/>
      <c r="AK154" s="197"/>
      <c r="AL154" s="197"/>
      <c r="AM154" s="197"/>
      <c r="AN154" s="197"/>
      <c r="AO154" s="194"/>
      <c r="AP154" s="194"/>
      <c r="AQ154" s="194"/>
      <c r="AR154" s="194"/>
      <c r="AS154" s="194"/>
      <c r="AT154" s="194"/>
      <c r="AU154" s="194"/>
      <c r="AV154" s="194"/>
      <c r="AW154" s="194"/>
      <c r="AX154" s="194"/>
      <c r="AY154" s="194"/>
      <c r="AZ154" s="194"/>
      <c r="BA154" s="194"/>
      <c r="BB154" s="194"/>
      <c r="BC154" s="194"/>
      <c r="BD154" s="194"/>
      <c r="BE154" s="194"/>
      <c r="BF154" s="194"/>
      <c r="BG154" s="194"/>
      <c r="BH154" s="194"/>
      <c r="BI154" s="194"/>
      <c r="BJ154" s="194"/>
      <c r="BK154" s="194"/>
      <c r="BL154" s="194"/>
      <c r="BM154" s="194"/>
      <c r="BN154" s="194"/>
      <c r="BO154" s="194"/>
      <c r="BP154" s="194"/>
      <c r="BQ154" s="194"/>
      <c r="BR154" s="194"/>
      <c r="BS154" s="194"/>
      <c r="BT154" s="194"/>
      <c r="BU154" s="194"/>
      <c r="BV154" s="194"/>
      <c r="BW154" s="194"/>
      <c r="BX154" s="194"/>
      <c r="BY154" s="194"/>
      <c r="BZ154" s="194"/>
      <c r="CA154" s="194"/>
      <c r="CB154" s="194"/>
      <c r="CC154" s="194"/>
      <c r="CD154" s="194"/>
      <c r="CE154" s="194"/>
      <c r="CF154" s="194"/>
      <c r="CG154" s="194"/>
      <c r="CH154" s="194"/>
      <c r="CI154" s="194"/>
      <c r="CJ154" s="194"/>
      <c r="CK154" s="194"/>
      <c r="CL154" s="194"/>
      <c r="CM154" s="194"/>
      <c r="CN154" s="194"/>
      <c r="CO154" s="194"/>
      <c r="CP154" s="194"/>
      <c r="CQ154" s="194"/>
      <c r="CR154" s="194"/>
      <c r="CS154" s="194"/>
      <c r="CT154" s="194"/>
      <c r="CU154" s="194"/>
      <c r="CV154" s="194"/>
      <c r="CW154" s="194"/>
      <c r="CX154" s="194"/>
      <c r="CY154" s="194"/>
      <c r="CZ154" s="194"/>
      <c r="DA154" s="194"/>
      <c r="DB154" s="194"/>
      <c r="DC154" s="194"/>
      <c r="DD154" s="194"/>
      <c r="DE154" s="194"/>
      <c r="DF154" s="194"/>
      <c r="DG154" s="194"/>
      <c r="DH154" s="194"/>
      <c r="DI154" s="194"/>
      <c r="DJ154" s="194"/>
      <c r="DK154" s="194"/>
      <c r="DL154" s="194"/>
      <c r="DM154" s="194"/>
      <c r="DN154" s="194"/>
      <c r="DO154" s="194"/>
      <c r="DP154" s="194"/>
      <c r="DQ154" s="194"/>
      <c r="DR154" s="194"/>
      <c r="DS154" s="194"/>
      <c r="DT154" s="194"/>
      <c r="DU154" s="194"/>
      <c r="DV154" s="194"/>
      <c r="DW154" s="194"/>
      <c r="DX154" s="194"/>
      <c r="DY154" s="194"/>
      <c r="DZ154" s="194"/>
      <c r="EA154" s="194"/>
      <c r="EB154" s="194"/>
      <c r="EC154" s="194"/>
      <c r="ED154" s="194"/>
      <c r="EE154" s="194"/>
      <c r="EF154" s="194"/>
      <c r="EG154" s="194"/>
      <c r="EH154" s="194"/>
      <c r="EI154" s="194"/>
      <c r="EJ154" s="194"/>
      <c r="EK154" s="194"/>
      <c r="EL154" s="194"/>
      <c r="EM154" s="194"/>
      <c r="EN154" s="194"/>
      <c r="EO154" s="194"/>
      <c r="EP154" s="194"/>
    </row>
    <row r="155" spans="1:146" s="199" customFormat="1" ht="20.25" customHeight="1" thickBot="1" x14ac:dyDescent="0.3">
      <c r="A155" s="194"/>
      <c r="B155" s="194">
        <v>12</v>
      </c>
      <c r="C155" s="194"/>
      <c r="D155" s="537">
        <f t="shared" si="16"/>
        <v>22000</v>
      </c>
      <c r="E155" s="537">
        <v>22000</v>
      </c>
      <c r="F155" s="748">
        <f>IF(ISNUMBER(E155),IF('Identificación del Instrumento'!$F$17="PRIMITIVA","",IF($G$59="DISCONTINUA",$E$84/2,0)),"")</f>
        <v>10</v>
      </c>
      <c r="G155" s="537">
        <v>22000</v>
      </c>
      <c r="H155" s="748">
        <f>IF(ISNUMBER(G155),IF('Identificación del Instrumento'!$F$17="PRIMITIVA","",IF($G$59="DISCONTINUA",$E$84/2,0)),"")</f>
        <v>10</v>
      </c>
      <c r="I155" s="701">
        <f t="shared" si="6"/>
        <v>0</v>
      </c>
      <c r="J155" s="701">
        <f t="shared" si="7"/>
        <v>0</v>
      </c>
      <c r="K155" s="701">
        <f t="shared" si="15"/>
        <v>0</v>
      </c>
      <c r="L155" s="701">
        <f t="shared" si="8"/>
        <v>0</v>
      </c>
      <c r="M155" s="701">
        <f t="shared" si="9"/>
        <v>0</v>
      </c>
      <c r="N155" s="194"/>
      <c r="O155" s="263"/>
      <c r="P155" s="45"/>
      <c r="Q155" s="45"/>
      <c r="R155" s="45"/>
      <c r="S155" s="195"/>
      <c r="T155" s="45"/>
      <c r="U155" s="358"/>
      <c r="V155" s="359"/>
      <c r="W155" s="194"/>
      <c r="X155" s="194"/>
      <c r="Y155" s="194"/>
      <c r="Z155" s="194"/>
      <c r="AA155" s="194"/>
      <c r="AB155" s="194"/>
      <c r="AC155" s="73"/>
      <c r="AD155" s="197"/>
      <c r="AE155" s="194"/>
      <c r="AF155" s="194"/>
      <c r="AG155" s="197"/>
      <c r="AH155" s="194"/>
      <c r="AI155" s="72"/>
      <c r="AJ155" s="197"/>
      <c r="AK155" s="197"/>
      <c r="AL155" s="197"/>
      <c r="AM155" s="197"/>
      <c r="AN155" s="197"/>
      <c r="AO155" s="194"/>
      <c r="AP155" s="194"/>
      <c r="AQ155" s="194"/>
      <c r="AR155" s="194"/>
      <c r="AS155" s="194"/>
      <c r="AT155" s="194"/>
      <c r="AU155" s="194"/>
      <c r="AV155" s="194"/>
      <c r="AW155" s="194"/>
      <c r="AX155" s="194"/>
      <c r="AY155" s="194"/>
      <c r="AZ155" s="194"/>
      <c r="BA155" s="194"/>
      <c r="BB155" s="194"/>
      <c r="BC155" s="194"/>
      <c r="BD155" s="194"/>
      <c r="BE155" s="194"/>
      <c r="BF155" s="194"/>
      <c r="BG155" s="194"/>
      <c r="BH155" s="194"/>
      <c r="BI155" s="194"/>
      <c r="BJ155" s="194"/>
      <c r="BK155" s="194"/>
      <c r="BL155" s="194"/>
      <c r="BM155" s="194"/>
      <c r="BN155" s="194"/>
      <c r="BO155" s="194"/>
      <c r="BP155" s="194"/>
      <c r="BQ155" s="194"/>
      <c r="BR155" s="194"/>
      <c r="BS155" s="194"/>
      <c r="BT155" s="194"/>
      <c r="BU155" s="194"/>
      <c r="BV155" s="194"/>
      <c r="BW155" s="194"/>
      <c r="BX155" s="194"/>
      <c r="BY155" s="194"/>
      <c r="BZ155" s="194"/>
      <c r="CA155" s="194"/>
      <c r="CB155" s="194"/>
      <c r="CC155" s="194"/>
      <c r="CD155" s="194"/>
      <c r="CE155" s="194"/>
      <c r="CF155" s="194"/>
      <c r="CG155" s="194"/>
      <c r="CH155" s="194"/>
      <c r="CI155" s="194"/>
      <c r="CJ155" s="194"/>
      <c r="CK155" s="194"/>
      <c r="CL155" s="194"/>
      <c r="CM155" s="194"/>
      <c r="CN155" s="194"/>
      <c r="CO155" s="194"/>
      <c r="CP155" s="194"/>
      <c r="CQ155" s="194"/>
      <c r="CR155" s="194"/>
      <c r="CS155" s="194"/>
      <c r="CT155" s="194"/>
      <c r="CU155" s="194"/>
      <c r="CV155" s="194"/>
      <c r="CW155" s="194"/>
      <c r="CX155" s="194"/>
      <c r="CY155" s="194"/>
      <c r="CZ155" s="194"/>
      <c r="DA155" s="194"/>
      <c r="DB155" s="194"/>
      <c r="DC155" s="194"/>
      <c r="DD155" s="194"/>
      <c r="DE155" s="194"/>
      <c r="DF155" s="194"/>
      <c r="DG155" s="194"/>
      <c r="DH155" s="194"/>
      <c r="DI155" s="194"/>
      <c r="DJ155" s="194"/>
      <c r="DK155" s="194"/>
      <c r="DL155" s="194"/>
      <c r="DM155" s="194"/>
      <c r="DN155" s="194"/>
      <c r="DO155" s="194"/>
      <c r="DP155" s="194"/>
      <c r="DQ155" s="194"/>
      <c r="DR155" s="194"/>
      <c r="DS155" s="194"/>
      <c r="DT155" s="194"/>
      <c r="DU155" s="194"/>
      <c r="DV155" s="194"/>
      <c r="DW155" s="194"/>
      <c r="DX155" s="194"/>
      <c r="DY155" s="194"/>
      <c r="DZ155" s="194"/>
      <c r="EA155" s="194"/>
      <c r="EB155" s="194"/>
      <c r="EC155" s="194"/>
      <c r="ED155" s="194"/>
      <c r="EE155" s="194"/>
      <c r="EF155" s="194"/>
      <c r="EG155" s="194"/>
      <c r="EH155" s="194"/>
      <c r="EI155" s="194"/>
      <c r="EJ155" s="194"/>
      <c r="EK155" s="194"/>
      <c r="EL155" s="194"/>
      <c r="EM155" s="194"/>
      <c r="EN155" s="194"/>
      <c r="EO155" s="194"/>
      <c r="EP155" s="194"/>
    </row>
    <row r="156" spans="1:146" s="199" customFormat="1" ht="20.25" customHeight="1" thickBot="1" x14ac:dyDescent="0.3">
      <c r="A156" s="194"/>
      <c r="B156" s="194">
        <v>13</v>
      </c>
      <c r="C156" s="194"/>
      <c r="D156" s="537"/>
      <c r="E156" s="537"/>
      <c r="F156" s="748" t="str">
        <f>IF(ISNUMBER(E156),IF('Identificación del Instrumento'!$F$17="PRIMITIVA","",IF($G$59="DISCONTINUA",$E$84/2,0)),"")</f>
        <v/>
      </c>
      <c r="G156" s="537"/>
      <c r="H156" s="748"/>
      <c r="I156" s="701" t="str">
        <f t="shared" si="6"/>
        <v/>
      </c>
      <c r="J156" s="701" t="str">
        <f t="shared" si="7"/>
        <v/>
      </c>
      <c r="K156" s="701" t="str">
        <f t="shared" si="15"/>
        <v/>
      </c>
      <c r="L156" s="701" t="str">
        <f t="shared" si="8"/>
        <v/>
      </c>
      <c r="M156" s="701" t="str">
        <f t="shared" si="9"/>
        <v/>
      </c>
      <c r="N156" s="194"/>
      <c r="O156" s="263"/>
      <c r="P156" s="45"/>
      <c r="Q156" s="45"/>
      <c r="R156" s="45"/>
      <c r="S156" s="195"/>
      <c r="T156" s="45"/>
      <c r="U156" s="358"/>
      <c r="V156" s="359"/>
      <c r="W156" s="194"/>
      <c r="X156" s="194"/>
      <c r="Y156" s="194"/>
      <c r="Z156" s="194"/>
      <c r="AA156" s="194"/>
      <c r="AB156" s="194"/>
      <c r="AC156" s="73"/>
      <c r="AD156" s="197"/>
      <c r="AE156" s="194"/>
      <c r="AF156" s="194"/>
      <c r="AG156" s="197"/>
      <c r="AH156" s="194"/>
      <c r="AI156" s="72"/>
      <c r="AJ156" s="197"/>
      <c r="AK156" s="197"/>
      <c r="AL156" s="197"/>
      <c r="AM156" s="197"/>
      <c r="AN156" s="197"/>
      <c r="AO156" s="194"/>
      <c r="AP156" s="194"/>
      <c r="AQ156" s="194"/>
      <c r="AR156" s="194"/>
      <c r="AS156" s="194"/>
      <c r="AT156" s="194"/>
      <c r="AU156" s="194"/>
      <c r="AV156" s="194"/>
      <c r="AW156" s="194"/>
      <c r="AX156" s="194"/>
      <c r="AY156" s="194"/>
      <c r="AZ156" s="194"/>
      <c r="BA156" s="194"/>
      <c r="BB156" s="194"/>
      <c r="BC156" s="194"/>
      <c r="BD156" s="194"/>
      <c r="BE156" s="194"/>
      <c r="BF156" s="194"/>
      <c r="BG156" s="194"/>
      <c r="BH156" s="194"/>
      <c r="BI156" s="194"/>
      <c r="BJ156" s="194"/>
      <c r="BK156" s="194"/>
      <c r="BL156" s="194"/>
      <c r="BM156" s="194"/>
      <c r="BN156" s="194"/>
      <c r="BO156" s="194"/>
      <c r="BP156" s="194"/>
      <c r="BQ156" s="194"/>
      <c r="BR156" s="194"/>
      <c r="BS156" s="194"/>
      <c r="BT156" s="194"/>
      <c r="BU156" s="194"/>
      <c r="BV156" s="194"/>
      <c r="BW156" s="194"/>
      <c r="BX156" s="194"/>
      <c r="BY156" s="194"/>
      <c r="BZ156" s="194"/>
      <c r="CA156" s="194"/>
      <c r="CB156" s="194"/>
      <c r="CC156" s="194"/>
      <c r="CD156" s="194"/>
      <c r="CE156" s="194"/>
      <c r="CF156" s="194"/>
      <c r="CG156" s="194"/>
      <c r="CH156" s="194"/>
      <c r="CI156" s="194"/>
      <c r="CJ156" s="194"/>
      <c r="CK156" s="194"/>
      <c r="CL156" s="194"/>
      <c r="CM156" s="194"/>
      <c r="CN156" s="194"/>
      <c r="CO156" s="194"/>
      <c r="CP156" s="194"/>
      <c r="CQ156" s="194"/>
      <c r="CR156" s="194"/>
      <c r="CS156" s="194"/>
      <c r="CT156" s="194"/>
      <c r="CU156" s="194"/>
      <c r="CV156" s="194"/>
      <c r="CW156" s="194"/>
      <c r="CX156" s="194"/>
      <c r="CY156" s="194"/>
      <c r="CZ156" s="194"/>
      <c r="DA156" s="194"/>
      <c r="DB156" s="194"/>
      <c r="DC156" s="194"/>
      <c r="DD156" s="194"/>
      <c r="DE156" s="194"/>
      <c r="DF156" s="194"/>
      <c r="DG156" s="194"/>
      <c r="DH156" s="194"/>
      <c r="DI156" s="194"/>
      <c r="DJ156" s="194"/>
      <c r="DK156" s="194"/>
      <c r="DL156" s="194"/>
      <c r="DM156" s="194"/>
      <c r="DN156" s="194"/>
      <c r="DO156" s="194"/>
      <c r="DP156" s="194"/>
      <c r="DQ156" s="194"/>
      <c r="DR156" s="194"/>
      <c r="DS156" s="194"/>
      <c r="DT156" s="194"/>
      <c r="DU156" s="194"/>
      <c r="DV156" s="194"/>
      <c r="DW156" s="194"/>
      <c r="DX156" s="194"/>
      <c r="DY156" s="194"/>
      <c r="DZ156" s="194"/>
      <c r="EA156" s="194"/>
      <c r="EB156" s="194"/>
      <c r="EC156" s="194"/>
      <c r="ED156" s="194"/>
      <c r="EE156" s="194"/>
      <c r="EF156" s="194"/>
      <c r="EG156" s="194"/>
      <c r="EH156" s="194"/>
      <c r="EI156" s="194"/>
      <c r="EJ156" s="194"/>
      <c r="EK156" s="194"/>
      <c r="EL156" s="194"/>
      <c r="EM156" s="194"/>
      <c r="EN156" s="194"/>
      <c r="EO156" s="194"/>
      <c r="EP156" s="194"/>
    </row>
    <row r="157" spans="1:146" s="199" customFormat="1" ht="20.25" customHeight="1" thickBot="1" x14ac:dyDescent="0.3">
      <c r="A157" s="194"/>
      <c r="B157" s="194">
        <v>14</v>
      </c>
      <c r="C157" s="194"/>
      <c r="D157" s="537"/>
      <c r="E157" s="537"/>
      <c r="F157" s="748" t="str">
        <f>IF(ISNUMBER(E157),IF('Identificación del Instrumento'!$F$17="PRIMITIVA","",IF($G$59="DISCONTINUA",$E$84/2,0)),"")</f>
        <v/>
      </c>
      <c r="G157" s="537"/>
      <c r="H157" s="748" t="str">
        <f>IF(ISNUMBER(G157),IF('Identificación del Instrumento'!$F$17="PRIMITIVA","",IF($G$59="DISCONTINUA",$E$84/2,0)),"")</f>
        <v/>
      </c>
      <c r="I157" s="701" t="str">
        <f t="shared" si="6"/>
        <v/>
      </c>
      <c r="J157" s="701" t="str">
        <f t="shared" si="7"/>
        <v/>
      </c>
      <c r="K157" s="701" t="str">
        <f t="shared" si="15"/>
        <v/>
      </c>
      <c r="L157" s="701" t="str">
        <f t="shared" si="8"/>
        <v/>
      </c>
      <c r="M157" s="701" t="str">
        <f t="shared" si="9"/>
        <v/>
      </c>
      <c r="N157" s="194"/>
      <c r="O157" s="263"/>
      <c r="P157" s="45"/>
      <c r="Q157" s="45"/>
      <c r="R157" s="45"/>
      <c r="S157" s="195"/>
      <c r="T157" s="45"/>
      <c r="U157" s="358"/>
      <c r="V157" s="359"/>
      <c r="W157" s="194"/>
      <c r="X157" s="194"/>
      <c r="Y157" s="194"/>
      <c r="Z157" s="194"/>
      <c r="AA157" s="194"/>
      <c r="AB157" s="194"/>
      <c r="AC157" s="73"/>
      <c r="AD157" s="197"/>
      <c r="AE157" s="194"/>
      <c r="AF157" s="194"/>
      <c r="AG157" s="197"/>
      <c r="AH157" s="194"/>
      <c r="AI157" s="72"/>
      <c r="AJ157" s="197"/>
      <c r="AK157" s="197"/>
      <c r="AL157" s="197"/>
      <c r="AM157" s="197"/>
      <c r="AN157" s="197"/>
      <c r="AO157" s="194"/>
      <c r="AP157" s="194"/>
      <c r="AQ157" s="194"/>
      <c r="AR157" s="194"/>
      <c r="AS157" s="194"/>
      <c r="AT157" s="194"/>
      <c r="AU157" s="194"/>
      <c r="AV157" s="194"/>
      <c r="AW157" s="194"/>
      <c r="AX157" s="194"/>
      <c r="AY157" s="194"/>
      <c r="AZ157" s="194"/>
      <c r="BA157" s="194"/>
      <c r="BB157" s="194"/>
      <c r="BC157" s="194"/>
      <c r="BD157" s="194"/>
      <c r="BE157" s="194"/>
      <c r="BF157" s="194"/>
      <c r="BG157" s="194"/>
      <c r="BH157" s="194"/>
      <c r="BI157" s="194"/>
      <c r="BJ157" s="194"/>
      <c r="BK157" s="194"/>
      <c r="BL157" s="194"/>
      <c r="BM157" s="194"/>
      <c r="BN157" s="194"/>
      <c r="BO157" s="194"/>
      <c r="BP157" s="194"/>
      <c r="BQ157" s="194"/>
      <c r="BR157" s="194"/>
      <c r="BS157" s="194"/>
      <c r="BT157" s="194"/>
      <c r="BU157" s="194"/>
      <c r="BV157" s="194"/>
      <c r="BW157" s="194"/>
      <c r="BX157" s="194"/>
      <c r="BY157" s="194"/>
      <c r="BZ157" s="194"/>
      <c r="CA157" s="194"/>
      <c r="CB157" s="194"/>
      <c r="CC157" s="194"/>
      <c r="CD157" s="194"/>
      <c r="CE157" s="194"/>
      <c r="CF157" s="194"/>
      <c r="CG157" s="194"/>
      <c r="CH157" s="194"/>
      <c r="CI157" s="194"/>
      <c r="CJ157" s="194"/>
      <c r="CK157" s="194"/>
      <c r="CL157" s="194"/>
      <c r="CM157" s="194"/>
      <c r="CN157" s="194"/>
      <c r="CO157" s="194"/>
      <c r="CP157" s="194"/>
      <c r="CQ157" s="194"/>
      <c r="CR157" s="194"/>
      <c r="CS157" s="194"/>
      <c r="CT157" s="194"/>
      <c r="CU157" s="194"/>
      <c r="CV157" s="194"/>
      <c r="CW157" s="194"/>
      <c r="CX157" s="194"/>
      <c r="CY157" s="194"/>
      <c r="CZ157" s="194"/>
      <c r="DA157" s="194"/>
      <c r="DB157" s="194"/>
      <c r="DC157" s="194"/>
      <c r="DD157" s="194"/>
      <c r="DE157" s="194"/>
      <c r="DF157" s="194"/>
      <c r="DG157" s="194"/>
      <c r="DH157" s="194"/>
      <c r="DI157" s="194"/>
      <c r="DJ157" s="194"/>
      <c r="DK157" s="194"/>
      <c r="DL157" s="194"/>
      <c r="DM157" s="194"/>
      <c r="DN157" s="194"/>
      <c r="DO157" s="194"/>
      <c r="DP157" s="194"/>
      <c r="DQ157" s="194"/>
      <c r="DR157" s="194"/>
      <c r="DS157" s="194"/>
      <c r="DT157" s="194"/>
      <c r="DU157" s="194"/>
      <c r="DV157" s="194"/>
      <c r="DW157" s="194"/>
      <c r="DX157" s="194"/>
      <c r="DY157" s="194"/>
      <c r="DZ157" s="194"/>
      <c r="EA157" s="194"/>
      <c r="EB157" s="194"/>
      <c r="EC157" s="194"/>
      <c r="ED157" s="194"/>
      <c r="EE157" s="194"/>
      <c r="EF157" s="194"/>
      <c r="EG157" s="194"/>
      <c r="EH157" s="194"/>
      <c r="EI157" s="194"/>
      <c r="EJ157" s="194"/>
      <c r="EK157" s="194"/>
      <c r="EL157" s="194"/>
      <c r="EM157" s="194"/>
      <c r="EN157" s="194"/>
      <c r="EO157" s="194"/>
      <c r="EP157" s="194"/>
    </row>
    <row r="158" spans="1:146" s="199" customFormat="1" ht="16.5" customHeight="1" thickBot="1" x14ac:dyDescent="0.3">
      <c r="A158" s="194"/>
      <c r="B158" s="194">
        <v>15</v>
      </c>
      <c r="C158" s="194"/>
      <c r="D158" s="537"/>
      <c r="E158" s="537"/>
      <c r="F158" s="748" t="str">
        <f>IF(ISNUMBER(E158),IF('Identificación del Instrumento'!$F$17="PRIMITIVA","",IF($G$59="DISCONTINUA",$E$84/2,0)),"")</f>
        <v/>
      </c>
      <c r="G158" s="537"/>
      <c r="H158" s="748" t="str">
        <f>IF(ISNUMBER(G158),IF('Identificación del Instrumento'!$F$17="PRIMITIVA","",IF($G$59="DISCONTINUA",$E$84/2,0)),"")</f>
        <v/>
      </c>
      <c r="I158" s="701" t="str">
        <f t="shared" si="6"/>
        <v/>
      </c>
      <c r="J158" s="701" t="str">
        <f t="shared" si="7"/>
        <v/>
      </c>
      <c r="K158" s="701" t="str">
        <f t="shared" si="15"/>
        <v/>
      </c>
      <c r="L158" s="701" t="str">
        <f t="shared" si="8"/>
        <v/>
      </c>
      <c r="M158" s="701" t="str">
        <f t="shared" si="9"/>
        <v/>
      </c>
      <c r="N158" s="194"/>
      <c r="O158" s="263"/>
      <c r="P158" s="45"/>
      <c r="Q158" s="45"/>
      <c r="R158" s="45"/>
      <c r="S158" s="195"/>
      <c r="T158" s="45"/>
      <c r="U158" s="358"/>
      <c r="V158" s="359"/>
      <c r="W158" s="194"/>
      <c r="X158" s="194"/>
      <c r="Y158" s="194"/>
      <c r="Z158" s="194"/>
      <c r="AA158" s="194"/>
      <c r="AB158" s="194"/>
      <c r="AC158" s="73"/>
      <c r="AD158" s="197"/>
      <c r="AE158" s="194"/>
      <c r="AF158" s="194"/>
      <c r="AG158" s="197"/>
      <c r="AH158" s="194"/>
      <c r="AI158" s="72"/>
      <c r="AJ158" s="197"/>
      <c r="AK158" s="197"/>
      <c r="AL158" s="197"/>
      <c r="AM158" s="197"/>
      <c r="AN158" s="197"/>
      <c r="AO158" s="194"/>
      <c r="AP158" s="194"/>
      <c r="AQ158" s="194"/>
      <c r="AR158" s="194"/>
      <c r="AS158" s="194"/>
      <c r="AT158" s="194"/>
      <c r="AU158" s="194"/>
      <c r="AV158" s="194"/>
      <c r="AW158" s="194"/>
      <c r="AX158" s="194"/>
      <c r="AY158" s="194"/>
      <c r="AZ158" s="194"/>
      <c r="BA158" s="194"/>
      <c r="BB158" s="194"/>
      <c r="BC158" s="194"/>
      <c r="BD158" s="194"/>
      <c r="BE158" s="194"/>
      <c r="BF158" s="194"/>
      <c r="BG158" s="194"/>
      <c r="BH158" s="194"/>
      <c r="BI158" s="194"/>
      <c r="BJ158" s="194"/>
      <c r="BK158" s="194"/>
      <c r="BL158" s="194"/>
      <c r="BM158" s="194"/>
      <c r="BN158" s="194"/>
      <c r="BO158" s="194"/>
      <c r="BP158" s="194"/>
      <c r="BQ158" s="194"/>
      <c r="BR158" s="194"/>
      <c r="BS158" s="194"/>
      <c r="BT158" s="194"/>
      <c r="BU158" s="194"/>
      <c r="BV158" s="194"/>
      <c r="BW158" s="194"/>
      <c r="BX158" s="194"/>
      <c r="BY158" s="194"/>
      <c r="BZ158" s="194"/>
      <c r="CA158" s="194"/>
      <c r="CB158" s="194"/>
      <c r="CC158" s="194"/>
      <c r="CD158" s="194"/>
      <c r="CE158" s="194"/>
      <c r="CF158" s="194"/>
      <c r="CG158" s="194"/>
      <c r="CH158" s="194"/>
      <c r="CI158" s="194"/>
      <c r="CJ158" s="194"/>
      <c r="CK158" s="194"/>
      <c r="CL158" s="194"/>
      <c r="CM158" s="194"/>
      <c r="CN158" s="194"/>
      <c r="CO158" s="194"/>
      <c r="CP158" s="194"/>
      <c r="CQ158" s="194"/>
      <c r="CR158" s="194"/>
      <c r="CS158" s="194"/>
      <c r="CT158" s="194"/>
      <c r="CU158" s="194"/>
      <c r="CV158" s="194"/>
      <c r="CW158" s="194"/>
      <c r="CX158" s="194"/>
      <c r="CY158" s="194"/>
      <c r="CZ158" s="194"/>
      <c r="DA158" s="194"/>
      <c r="DB158" s="194"/>
      <c r="DC158" s="194"/>
      <c r="DD158" s="194"/>
      <c r="DE158" s="194"/>
      <c r="DF158" s="194"/>
      <c r="DG158" s="194"/>
      <c r="DH158" s="194"/>
      <c r="DI158" s="194"/>
      <c r="DJ158" s="194"/>
      <c r="DK158" s="194"/>
      <c r="DL158" s="194"/>
      <c r="DM158" s="194"/>
      <c r="DN158" s="194"/>
      <c r="DO158" s="194"/>
      <c r="DP158" s="194"/>
      <c r="DQ158" s="194"/>
      <c r="DR158" s="194"/>
      <c r="DS158" s="194"/>
      <c r="DT158" s="194"/>
      <c r="DU158" s="194"/>
      <c r="DV158" s="194"/>
      <c r="DW158" s="194"/>
      <c r="DX158" s="194"/>
      <c r="DY158" s="194"/>
      <c r="DZ158" s="194"/>
      <c r="EA158" s="194"/>
      <c r="EB158" s="194"/>
      <c r="EC158" s="194"/>
      <c r="ED158" s="194"/>
      <c r="EE158" s="194"/>
      <c r="EF158" s="194"/>
      <c r="EG158" s="194"/>
      <c r="EH158" s="194"/>
      <c r="EI158" s="194"/>
      <c r="EJ158" s="194"/>
      <c r="EK158" s="194"/>
      <c r="EL158" s="194"/>
      <c r="EM158" s="194"/>
      <c r="EN158" s="194"/>
      <c r="EO158" s="194"/>
      <c r="EP158" s="194"/>
    </row>
    <row r="159" spans="1:146" s="199" customFormat="1" ht="16.5" customHeight="1" thickBot="1" x14ac:dyDescent="0.3">
      <c r="A159" s="194"/>
      <c r="B159" s="194">
        <v>16</v>
      </c>
      <c r="C159" s="194"/>
      <c r="D159" s="537"/>
      <c r="E159" s="537"/>
      <c r="F159" s="748" t="str">
        <f>IF(ISNUMBER(E159),IF('Identificación del Instrumento'!$F$17="PRIMITIVA","",IF($G$59="DISCONTINUA",$E$84/2,0)),"")</f>
        <v/>
      </c>
      <c r="G159" s="537"/>
      <c r="H159" s="748" t="str">
        <f>IF(ISNUMBER(G159),IF('Identificación del Instrumento'!$F$17="PRIMITIVA","",IF($G$59="DISCONTINUA",$E$84/2,0)),"")</f>
        <v/>
      </c>
      <c r="I159" s="701" t="str">
        <f t="shared" si="6"/>
        <v/>
      </c>
      <c r="J159" s="701" t="str">
        <f t="shared" si="7"/>
        <v/>
      </c>
      <c r="K159" s="701" t="str">
        <f t="shared" si="15"/>
        <v/>
      </c>
      <c r="L159" s="701" t="str">
        <f t="shared" si="8"/>
        <v/>
      </c>
      <c r="M159" s="701" t="str">
        <f t="shared" si="9"/>
        <v/>
      </c>
      <c r="N159" s="194"/>
      <c r="O159" s="263"/>
      <c r="P159" s="45"/>
      <c r="Q159" s="45"/>
      <c r="R159" s="45"/>
      <c r="S159" s="195"/>
      <c r="T159" s="45"/>
      <c r="U159" s="358"/>
      <c r="V159" s="359"/>
      <c r="W159" s="194"/>
      <c r="X159" s="194"/>
      <c r="Y159" s="194"/>
      <c r="Z159" s="194"/>
      <c r="AA159" s="194"/>
      <c r="AB159" s="194"/>
      <c r="AC159" s="73"/>
      <c r="AD159" s="197"/>
      <c r="AE159" s="194"/>
      <c r="AF159" s="194"/>
      <c r="AG159" s="197"/>
      <c r="AH159" s="194"/>
      <c r="AI159" s="72"/>
      <c r="AJ159" s="197"/>
      <c r="AK159" s="197"/>
      <c r="AL159" s="197"/>
      <c r="AM159" s="197"/>
      <c r="AN159" s="197"/>
      <c r="AO159" s="194"/>
      <c r="AP159" s="194"/>
      <c r="AQ159" s="194"/>
      <c r="AR159" s="194"/>
      <c r="AS159" s="194"/>
      <c r="AT159" s="194"/>
      <c r="AU159" s="194"/>
      <c r="AV159" s="194"/>
      <c r="AW159" s="194"/>
      <c r="AX159" s="194"/>
      <c r="AY159" s="194"/>
      <c r="AZ159" s="194"/>
      <c r="BA159" s="194"/>
      <c r="BB159" s="194"/>
      <c r="BC159" s="194"/>
      <c r="BD159" s="194"/>
      <c r="BE159" s="194"/>
      <c r="BF159" s="194"/>
      <c r="BG159" s="194"/>
      <c r="BH159" s="194"/>
      <c r="BI159" s="194"/>
      <c r="BJ159" s="194"/>
      <c r="BK159" s="194"/>
      <c r="BL159" s="194"/>
      <c r="BM159" s="194"/>
      <c r="BN159" s="194"/>
      <c r="BO159" s="194"/>
      <c r="BP159" s="194"/>
      <c r="BQ159" s="194"/>
      <c r="BR159" s="194"/>
      <c r="BS159" s="194"/>
      <c r="BT159" s="194"/>
      <c r="BU159" s="194"/>
      <c r="BV159" s="194"/>
      <c r="BW159" s="194"/>
      <c r="BX159" s="194"/>
      <c r="BY159" s="194"/>
      <c r="BZ159" s="194"/>
      <c r="CA159" s="194"/>
      <c r="CB159" s="194"/>
      <c r="CC159" s="194"/>
      <c r="CD159" s="194"/>
      <c r="CE159" s="194"/>
      <c r="CF159" s="194"/>
      <c r="CG159" s="194"/>
      <c r="CH159" s="194"/>
      <c r="CI159" s="194"/>
      <c r="CJ159" s="194"/>
      <c r="CK159" s="194"/>
      <c r="CL159" s="194"/>
      <c r="CM159" s="194"/>
      <c r="CN159" s="194"/>
      <c r="CO159" s="194"/>
      <c r="CP159" s="194"/>
      <c r="CQ159" s="194"/>
      <c r="CR159" s="194"/>
      <c r="CS159" s="194"/>
      <c r="CT159" s="194"/>
      <c r="CU159" s="194"/>
      <c r="CV159" s="194"/>
      <c r="CW159" s="194"/>
      <c r="CX159" s="194"/>
      <c r="CY159" s="194"/>
      <c r="CZ159" s="194"/>
      <c r="DA159" s="194"/>
      <c r="DB159" s="194"/>
      <c r="DC159" s="194"/>
      <c r="DD159" s="194"/>
      <c r="DE159" s="194"/>
      <c r="DF159" s="194"/>
      <c r="DG159" s="194"/>
      <c r="DH159" s="194"/>
      <c r="DI159" s="194"/>
      <c r="DJ159" s="194"/>
      <c r="DK159" s="194"/>
      <c r="DL159" s="194"/>
      <c r="DM159" s="194"/>
      <c r="DN159" s="194"/>
      <c r="DO159" s="194"/>
      <c r="DP159" s="194"/>
      <c r="DQ159" s="194"/>
      <c r="DR159" s="194"/>
      <c r="DS159" s="194"/>
      <c r="DT159" s="194"/>
      <c r="DU159" s="194"/>
      <c r="DV159" s="194"/>
      <c r="DW159" s="194"/>
      <c r="DX159" s="194"/>
      <c r="DY159" s="194"/>
      <c r="DZ159" s="194"/>
      <c r="EA159" s="194"/>
      <c r="EB159" s="194"/>
      <c r="EC159" s="194"/>
      <c r="ED159" s="194"/>
      <c r="EE159" s="194"/>
      <c r="EF159" s="194"/>
      <c r="EG159" s="194"/>
      <c r="EH159" s="194"/>
      <c r="EI159" s="194"/>
      <c r="EJ159" s="194"/>
      <c r="EK159" s="194"/>
      <c r="EL159" s="194"/>
      <c r="EM159" s="194"/>
      <c r="EN159" s="194"/>
      <c r="EO159" s="194"/>
      <c r="EP159" s="194"/>
    </row>
    <row r="160" spans="1:146" s="199" customFormat="1" ht="16.5" customHeight="1" thickBot="1" x14ac:dyDescent="0.3">
      <c r="A160" s="194"/>
      <c r="B160" s="194">
        <v>17</v>
      </c>
      <c r="C160" s="194"/>
      <c r="D160" s="537"/>
      <c r="E160" s="537"/>
      <c r="F160" s="748" t="str">
        <f>IF(ISNUMBER(E160),IF('Identificación del Instrumento'!$F$17="PRIMITIVA","",IF($G$59="DISCONTINUA",$E$84/2,0)),"")</f>
        <v/>
      </c>
      <c r="G160" s="537"/>
      <c r="H160" s="748" t="str">
        <f>IF(ISNUMBER(G160),IF('Identificación del Instrumento'!$F$17="PRIMITIVA","",IF($G$59="DISCONTINUA",$E$84/2,0)),"")</f>
        <v/>
      </c>
      <c r="I160" s="701" t="str">
        <f t="shared" si="6"/>
        <v/>
      </c>
      <c r="J160" s="701" t="str">
        <f t="shared" si="7"/>
        <v/>
      </c>
      <c r="K160" s="701" t="str">
        <f t="shared" si="15"/>
        <v/>
      </c>
      <c r="L160" s="701" t="str">
        <f t="shared" si="8"/>
        <v/>
      </c>
      <c r="M160" s="701" t="str">
        <f t="shared" si="9"/>
        <v/>
      </c>
      <c r="N160" s="194"/>
      <c r="O160" s="263"/>
      <c r="P160" s="45" t="str">
        <f t="shared" ref="P160:P186" si="17">IF(ISNUMBER(E160),$E$18/SQRT(12),"")</f>
        <v/>
      </c>
      <c r="Q160" s="45" t="str">
        <f t="shared" ref="Q160:Q186" si="18">IF(ISNUMBER(E160),MAX(K$96,K$120,K$108,K$132)/SQRT(12),"")</f>
        <v/>
      </c>
      <c r="R160" s="45">
        <f t="shared" ref="R160:R186" si="19">B160*0.05/2</f>
        <v>0.42500000000000004</v>
      </c>
      <c r="S160" s="195">
        <v>0</v>
      </c>
      <c r="T160" s="45" t="str">
        <f t="shared" ref="T160:T186" si="20">IF(ISNUMBER(E160),2*SQRT(SUMSQ(P160,Q160,R160,S160)),"")</f>
        <v/>
      </c>
      <c r="U160" s="358" t="str">
        <f t="shared" ref="U160:U186" si="21">IF(ISNUMBER(E160),IF(D160&lt;=$F$49,I$49,IF(D160&lt;=$F$50,$I$50,$I$51)),"")</f>
        <v/>
      </c>
      <c r="V160" s="359" t="str">
        <f>IF(ISNUMBER(I160),IF('Identificación del Instrumento'!$B$17="periódica",IF(ABS(I160)&lt;=U160,0,1),IF(ABS(L160)&lt;=U160,0,1)),"")</f>
        <v/>
      </c>
      <c r="W160" s="194"/>
      <c r="X160" s="194"/>
      <c r="Y160" s="194"/>
      <c r="Z160" s="194"/>
      <c r="AA160" s="194"/>
      <c r="AB160" s="194"/>
      <c r="AC160" s="73"/>
      <c r="AD160" s="197"/>
      <c r="AE160" s="194"/>
      <c r="AF160" s="194"/>
      <c r="AG160" s="197"/>
      <c r="AH160" s="194"/>
      <c r="AI160" s="72"/>
      <c r="AJ160" s="197"/>
      <c r="AK160" s="197"/>
      <c r="AL160" s="197"/>
      <c r="AM160" s="197"/>
      <c r="AN160" s="197"/>
      <c r="AO160" s="194"/>
      <c r="AP160" s="194"/>
      <c r="AQ160" s="194"/>
      <c r="AR160" s="194"/>
      <c r="AS160" s="194"/>
      <c r="AT160" s="194"/>
      <c r="AU160" s="194"/>
      <c r="AV160" s="194"/>
      <c r="AW160" s="194"/>
      <c r="AX160" s="194"/>
      <c r="AY160" s="194"/>
      <c r="AZ160" s="194"/>
      <c r="BA160" s="194"/>
      <c r="BB160" s="194"/>
      <c r="BC160" s="194"/>
      <c r="BD160" s="194"/>
      <c r="BE160" s="194"/>
      <c r="BF160" s="194"/>
      <c r="BG160" s="194"/>
      <c r="BH160" s="194"/>
      <c r="BI160" s="194"/>
      <c r="BJ160" s="194"/>
      <c r="BK160" s="194"/>
      <c r="BL160" s="194"/>
      <c r="BM160" s="194"/>
      <c r="BN160" s="194"/>
      <c r="BO160" s="194"/>
      <c r="BP160" s="194"/>
      <c r="BQ160" s="194"/>
      <c r="BR160" s="194"/>
      <c r="BS160" s="194"/>
      <c r="BT160" s="194"/>
      <c r="BU160" s="194"/>
      <c r="BV160" s="194"/>
      <c r="BW160" s="194"/>
      <c r="BX160" s="194"/>
      <c r="BY160" s="194"/>
      <c r="BZ160" s="194"/>
      <c r="CA160" s="194"/>
      <c r="CB160" s="194"/>
      <c r="CC160" s="194"/>
      <c r="CD160" s="194"/>
      <c r="CE160" s="194"/>
      <c r="CF160" s="194"/>
      <c r="CG160" s="194"/>
      <c r="CH160" s="194"/>
      <c r="CI160" s="194"/>
      <c r="CJ160" s="194"/>
      <c r="CK160" s="194"/>
      <c r="CL160" s="194"/>
      <c r="CM160" s="194"/>
      <c r="CN160" s="194"/>
      <c r="CO160" s="194"/>
      <c r="CP160" s="194"/>
      <c r="CQ160" s="194"/>
      <c r="CR160" s="194"/>
      <c r="CS160" s="194"/>
      <c r="CT160" s="194"/>
      <c r="CU160" s="194"/>
      <c r="CV160" s="194"/>
      <c r="CW160" s="194"/>
      <c r="CX160" s="194"/>
      <c r="CY160" s="194"/>
      <c r="CZ160" s="194"/>
      <c r="DA160" s="194"/>
      <c r="DB160" s="194"/>
      <c r="DC160" s="194"/>
      <c r="DD160" s="194"/>
      <c r="DE160" s="194"/>
      <c r="DF160" s="194"/>
      <c r="DG160" s="194"/>
      <c r="DH160" s="194"/>
      <c r="DI160" s="194"/>
      <c r="DJ160" s="194"/>
      <c r="DK160" s="194"/>
      <c r="DL160" s="194"/>
      <c r="DM160" s="194"/>
      <c r="DN160" s="194"/>
      <c r="DO160" s="194"/>
      <c r="DP160" s="194"/>
      <c r="DQ160" s="194"/>
      <c r="DR160" s="194"/>
      <c r="DS160" s="194"/>
      <c r="DT160" s="194"/>
      <c r="DU160" s="194"/>
      <c r="DV160" s="194"/>
      <c r="DW160" s="194"/>
      <c r="DX160" s="194"/>
      <c r="DY160" s="194"/>
      <c r="DZ160" s="194"/>
      <c r="EA160" s="194"/>
      <c r="EB160" s="194"/>
      <c r="EC160" s="194"/>
      <c r="ED160" s="194"/>
      <c r="EE160" s="194"/>
      <c r="EF160" s="194"/>
      <c r="EG160" s="194"/>
      <c r="EH160" s="194"/>
      <c r="EI160" s="194"/>
      <c r="EJ160" s="194"/>
      <c r="EK160" s="194"/>
      <c r="EL160" s="194"/>
      <c r="EM160" s="194"/>
      <c r="EN160" s="194"/>
      <c r="EO160" s="194"/>
      <c r="EP160" s="194"/>
    </row>
    <row r="161" spans="1:146" s="199" customFormat="1" ht="16.5" customHeight="1" thickBot="1" x14ac:dyDescent="0.3">
      <c r="A161" s="194"/>
      <c r="B161" s="194">
        <v>18</v>
      </c>
      <c r="C161" s="194"/>
      <c r="D161" s="537"/>
      <c r="E161" s="537"/>
      <c r="F161" s="748" t="str">
        <f>IF(ISNUMBER(E161),IF('Identificación del Instrumento'!$F$17="PRIMITIVA","",IF($G$59="DISCONTINUA",$E$84/2,0)),"")</f>
        <v/>
      </c>
      <c r="G161" s="537"/>
      <c r="H161" s="748" t="str">
        <f>IF(ISNUMBER(G161),IF('Identificación del Instrumento'!$F$17="PRIMITIVA","",IF($G$59="DISCONTINUA",$E$84/2,0)),"")</f>
        <v/>
      </c>
      <c r="I161" s="701" t="str">
        <f t="shared" si="6"/>
        <v/>
      </c>
      <c r="J161" s="701" t="str">
        <f t="shared" si="7"/>
        <v/>
      </c>
      <c r="K161" s="701" t="str">
        <f t="shared" si="15"/>
        <v/>
      </c>
      <c r="L161" s="701" t="str">
        <f t="shared" si="8"/>
        <v/>
      </c>
      <c r="M161" s="701" t="str">
        <f t="shared" si="9"/>
        <v/>
      </c>
      <c r="N161" s="194"/>
      <c r="O161" s="263"/>
      <c r="P161" s="45" t="str">
        <f t="shared" si="17"/>
        <v/>
      </c>
      <c r="Q161" s="45" t="str">
        <f t="shared" si="18"/>
        <v/>
      </c>
      <c r="R161" s="45">
        <f t="shared" si="19"/>
        <v>0.45</v>
      </c>
      <c r="S161" s="195">
        <v>0</v>
      </c>
      <c r="T161" s="45" t="str">
        <f t="shared" si="20"/>
        <v/>
      </c>
      <c r="U161" s="358" t="str">
        <f t="shared" si="21"/>
        <v/>
      </c>
      <c r="V161" s="359" t="str">
        <f>IF(ISNUMBER(I161),IF('Identificación del Instrumento'!$B$17="periódica",IF(ABS(I161)&lt;=U161,0,1),IF(ABS(L161)&lt;=U161,0,1)),"")</f>
        <v/>
      </c>
      <c r="W161" s="194"/>
      <c r="X161" s="194"/>
      <c r="Y161" s="194"/>
      <c r="Z161" s="194"/>
      <c r="AA161" s="194"/>
      <c r="AB161" s="194"/>
      <c r="AC161" s="73"/>
      <c r="AD161" s="197"/>
      <c r="AE161" s="194"/>
      <c r="AF161" s="194"/>
      <c r="AG161" s="197"/>
      <c r="AH161" s="194"/>
      <c r="AI161" s="72"/>
      <c r="AJ161" s="197"/>
      <c r="AK161" s="197"/>
      <c r="AL161" s="197"/>
      <c r="AM161" s="197"/>
      <c r="AN161" s="197"/>
      <c r="AO161" s="194"/>
      <c r="AP161" s="194"/>
      <c r="AQ161" s="194"/>
      <c r="AR161" s="194"/>
      <c r="AS161" s="194"/>
      <c r="AT161" s="194"/>
      <c r="AU161" s="194"/>
      <c r="AV161" s="194"/>
      <c r="AW161" s="194"/>
      <c r="AX161" s="194"/>
      <c r="AY161" s="194"/>
      <c r="AZ161" s="194"/>
      <c r="BA161" s="194"/>
      <c r="BB161" s="194"/>
      <c r="BC161" s="194"/>
      <c r="BD161" s="194"/>
      <c r="BE161" s="194"/>
      <c r="BF161" s="194"/>
      <c r="BG161" s="194"/>
      <c r="BH161" s="194"/>
      <c r="BI161" s="194"/>
      <c r="BJ161" s="194"/>
      <c r="BK161" s="194"/>
      <c r="BL161" s="194"/>
      <c r="BM161" s="194"/>
      <c r="BN161" s="194"/>
      <c r="BO161" s="194"/>
      <c r="BP161" s="194"/>
      <c r="BQ161" s="194"/>
      <c r="BR161" s="194"/>
      <c r="BS161" s="194"/>
      <c r="BT161" s="194"/>
      <c r="BU161" s="194"/>
      <c r="BV161" s="194"/>
      <c r="BW161" s="194"/>
      <c r="BX161" s="194"/>
      <c r="BY161" s="194"/>
      <c r="BZ161" s="194"/>
      <c r="CA161" s="194"/>
      <c r="CB161" s="194"/>
      <c r="CC161" s="194"/>
      <c r="CD161" s="194"/>
      <c r="CE161" s="194"/>
      <c r="CF161" s="194"/>
      <c r="CG161" s="194"/>
      <c r="CH161" s="194"/>
      <c r="CI161" s="194"/>
      <c r="CJ161" s="194"/>
      <c r="CK161" s="194"/>
      <c r="CL161" s="194"/>
      <c r="CM161" s="194"/>
      <c r="CN161" s="194"/>
      <c r="CO161" s="194"/>
      <c r="CP161" s="194"/>
      <c r="CQ161" s="194"/>
      <c r="CR161" s="194"/>
      <c r="CS161" s="194"/>
      <c r="CT161" s="194"/>
      <c r="CU161" s="194"/>
      <c r="CV161" s="194"/>
      <c r="CW161" s="194"/>
      <c r="CX161" s="194"/>
      <c r="CY161" s="194"/>
      <c r="CZ161" s="194"/>
      <c r="DA161" s="194"/>
      <c r="DB161" s="194"/>
      <c r="DC161" s="194"/>
      <c r="DD161" s="194"/>
      <c r="DE161" s="194"/>
      <c r="DF161" s="194"/>
      <c r="DG161" s="194"/>
      <c r="DH161" s="194"/>
      <c r="DI161" s="194"/>
      <c r="DJ161" s="194"/>
      <c r="DK161" s="194"/>
      <c r="DL161" s="194"/>
      <c r="DM161" s="194"/>
      <c r="DN161" s="194"/>
      <c r="DO161" s="194"/>
      <c r="DP161" s="194"/>
      <c r="DQ161" s="194"/>
      <c r="DR161" s="194"/>
      <c r="DS161" s="194"/>
      <c r="DT161" s="194"/>
      <c r="DU161" s="194"/>
      <c r="DV161" s="194"/>
      <c r="DW161" s="194"/>
      <c r="DX161" s="194"/>
      <c r="DY161" s="194"/>
      <c r="DZ161" s="194"/>
      <c r="EA161" s="194"/>
      <c r="EB161" s="194"/>
      <c r="EC161" s="194"/>
      <c r="ED161" s="194"/>
      <c r="EE161" s="194"/>
      <c r="EF161" s="194"/>
      <c r="EG161" s="194"/>
      <c r="EH161" s="194"/>
      <c r="EI161" s="194"/>
      <c r="EJ161" s="194"/>
      <c r="EK161" s="194"/>
      <c r="EL161" s="194"/>
      <c r="EM161" s="194"/>
      <c r="EN161" s="194"/>
      <c r="EO161" s="194"/>
      <c r="EP161" s="194"/>
    </row>
    <row r="162" spans="1:146" s="199" customFormat="1" ht="16.5" customHeight="1" thickBot="1" x14ac:dyDescent="0.3">
      <c r="A162" s="194"/>
      <c r="B162" s="194">
        <v>19</v>
      </c>
      <c r="C162" s="194"/>
      <c r="D162" s="537"/>
      <c r="E162" s="537"/>
      <c r="F162" s="748" t="str">
        <f>IF(ISNUMBER(E162),IF('Identificación del Instrumento'!$F$17="PRIMITIVA","",IF($G$59="DISCONTINUA",$E$84/2,0)),"")</f>
        <v/>
      </c>
      <c r="G162" s="537"/>
      <c r="H162" s="748" t="str">
        <f>IF(ISNUMBER(G162),IF('Identificación del Instrumento'!$F$17="PRIMITIVA","",IF($G$59="DISCONTINUA",$E$84/2,0)),"")</f>
        <v/>
      </c>
      <c r="I162" s="701" t="str">
        <f t="shared" si="6"/>
        <v/>
      </c>
      <c r="J162" s="701" t="str">
        <f t="shared" si="7"/>
        <v/>
      </c>
      <c r="K162" s="701" t="str">
        <f t="shared" si="15"/>
        <v/>
      </c>
      <c r="L162" s="701" t="str">
        <f t="shared" si="8"/>
        <v/>
      </c>
      <c r="M162" s="701" t="str">
        <f t="shared" si="9"/>
        <v/>
      </c>
      <c r="N162" s="194"/>
      <c r="O162" s="263"/>
      <c r="P162" s="45" t="str">
        <f t="shared" si="17"/>
        <v/>
      </c>
      <c r="Q162" s="45" t="str">
        <f t="shared" si="18"/>
        <v/>
      </c>
      <c r="R162" s="45">
        <f t="shared" si="19"/>
        <v>0.47500000000000003</v>
      </c>
      <c r="S162" s="195">
        <v>0</v>
      </c>
      <c r="T162" s="45" t="str">
        <f t="shared" si="20"/>
        <v/>
      </c>
      <c r="U162" s="358" t="str">
        <f t="shared" si="21"/>
        <v/>
      </c>
      <c r="V162" s="359" t="str">
        <f>IF(ISNUMBER(I162),IF('Identificación del Instrumento'!$B$17="periódica",IF(ABS(I162)&lt;=U162,0,1),IF(ABS(L162)&lt;=U162,0,1)),"")</f>
        <v/>
      </c>
      <c r="W162" s="194"/>
      <c r="X162" s="194"/>
      <c r="Y162" s="194"/>
      <c r="Z162" s="194"/>
      <c r="AA162" s="194"/>
      <c r="AB162" s="194"/>
      <c r="AC162" s="73"/>
      <c r="AD162" s="197"/>
      <c r="AE162" s="194"/>
      <c r="AF162" s="194"/>
      <c r="AG162" s="197"/>
      <c r="AH162" s="194"/>
      <c r="AI162" s="72"/>
      <c r="AJ162" s="197"/>
      <c r="AK162" s="197"/>
      <c r="AL162" s="197"/>
      <c r="AM162" s="197"/>
      <c r="AN162" s="197"/>
      <c r="AO162" s="194"/>
      <c r="AP162" s="194"/>
      <c r="AQ162" s="194"/>
      <c r="AR162" s="194"/>
      <c r="AS162" s="194"/>
      <c r="AT162" s="194"/>
      <c r="AU162" s="194"/>
      <c r="AV162" s="194"/>
      <c r="AW162" s="194"/>
      <c r="AX162" s="194"/>
      <c r="AY162" s="194"/>
      <c r="AZ162" s="194"/>
      <c r="BA162" s="194"/>
      <c r="BB162" s="194"/>
      <c r="BC162" s="194"/>
      <c r="BD162" s="194"/>
      <c r="BE162" s="194"/>
      <c r="BF162" s="194"/>
      <c r="BG162" s="194"/>
      <c r="BH162" s="194"/>
      <c r="BI162" s="194"/>
      <c r="BJ162" s="194"/>
      <c r="BK162" s="194"/>
      <c r="BL162" s="194"/>
      <c r="BM162" s="194"/>
      <c r="BN162" s="194"/>
      <c r="BO162" s="194"/>
      <c r="BP162" s="194"/>
      <c r="BQ162" s="194"/>
      <c r="BR162" s="194"/>
      <c r="BS162" s="194"/>
      <c r="BT162" s="194"/>
      <c r="BU162" s="194"/>
      <c r="BV162" s="194"/>
      <c r="BW162" s="194"/>
      <c r="BX162" s="194"/>
      <c r="BY162" s="194"/>
      <c r="BZ162" s="194"/>
      <c r="CA162" s="194"/>
      <c r="CB162" s="194"/>
      <c r="CC162" s="194"/>
      <c r="CD162" s="194"/>
      <c r="CE162" s="194"/>
      <c r="CF162" s="194"/>
      <c r="CG162" s="194"/>
      <c r="CH162" s="194"/>
      <c r="CI162" s="194"/>
      <c r="CJ162" s="194"/>
      <c r="CK162" s="194"/>
      <c r="CL162" s="194"/>
      <c r="CM162" s="194"/>
      <c r="CN162" s="194"/>
      <c r="CO162" s="194"/>
      <c r="CP162" s="194"/>
      <c r="CQ162" s="194"/>
      <c r="CR162" s="194"/>
      <c r="CS162" s="194"/>
      <c r="CT162" s="194"/>
      <c r="CU162" s="194"/>
      <c r="CV162" s="194"/>
      <c r="CW162" s="194"/>
      <c r="CX162" s="194"/>
      <c r="CY162" s="194"/>
      <c r="CZ162" s="194"/>
      <c r="DA162" s="194"/>
      <c r="DB162" s="194"/>
      <c r="DC162" s="194"/>
      <c r="DD162" s="194"/>
      <c r="DE162" s="194"/>
      <c r="DF162" s="194"/>
      <c r="DG162" s="194"/>
      <c r="DH162" s="194"/>
      <c r="DI162" s="194"/>
      <c r="DJ162" s="194"/>
      <c r="DK162" s="194"/>
      <c r="DL162" s="194"/>
      <c r="DM162" s="194"/>
      <c r="DN162" s="194"/>
      <c r="DO162" s="194"/>
      <c r="DP162" s="194"/>
      <c r="DQ162" s="194"/>
      <c r="DR162" s="194"/>
      <c r="DS162" s="194"/>
      <c r="DT162" s="194"/>
      <c r="DU162" s="194"/>
      <c r="DV162" s="194"/>
      <c r="DW162" s="194"/>
      <c r="DX162" s="194"/>
      <c r="DY162" s="194"/>
      <c r="DZ162" s="194"/>
      <c r="EA162" s="194"/>
      <c r="EB162" s="194"/>
      <c r="EC162" s="194"/>
      <c r="ED162" s="194"/>
      <c r="EE162" s="194"/>
      <c r="EF162" s="194"/>
      <c r="EG162" s="194"/>
      <c r="EH162" s="194"/>
      <c r="EI162" s="194"/>
      <c r="EJ162" s="194"/>
      <c r="EK162" s="194"/>
      <c r="EL162" s="194"/>
      <c r="EM162" s="194"/>
      <c r="EN162" s="194"/>
      <c r="EO162" s="194"/>
      <c r="EP162" s="194"/>
    </row>
    <row r="163" spans="1:146" s="199" customFormat="1" ht="16.5" customHeight="1" thickBot="1" x14ac:dyDescent="0.3">
      <c r="A163" s="194"/>
      <c r="B163" s="194">
        <v>20</v>
      </c>
      <c r="C163" s="194"/>
      <c r="D163" s="537"/>
      <c r="E163" s="537"/>
      <c r="F163" s="748" t="str">
        <f>IF(ISNUMBER(E163),IF('Identificación del Instrumento'!$F$17="PRIMITIVA","",IF($G$59="DISCONTINUA",$E$84/2,0)),"")</f>
        <v/>
      </c>
      <c r="G163" s="537"/>
      <c r="H163" s="748" t="str">
        <f>IF(ISNUMBER(G163),IF('Identificación del Instrumento'!$F$17="PRIMITIVA","",IF($G$59="DISCONTINUA",$E$84/2,0)),"")</f>
        <v/>
      </c>
      <c r="I163" s="701" t="str">
        <f t="shared" si="6"/>
        <v/>
      </c>
      <c r="J163" s="701" t="str">
        <f t="shared" si="7"/>
        <v/>
      </c>
      <c r="K163" s="701" t="str">
        <f t="shared" si="15"/>
        <v/>
      </c>
      <c r="L163" s="701" t="str">
        <f t="shared" si="8"/>
        <v/>
      </c>
      <c r="M163" s="701" t="str">
        <f t="shared" si="9"/>
        <v/>
      </c>
      <c r="N163" s="194"/>
      <c r="O163" s="263"/>
      <c r="P163" s="45" t="str">
        <f t="shared" si="17"/>
        <v/>
      </c>
      <c r="Q163" s="45" t="str">
        <f t="shared" si="18"/>
        <v/>
      </c>
      <c r="R163" s="45">
        <f t="shared" si="19"/>
        <v>0.5</v>
      </c>
      <c r="S163" s="195">
        <v>0</v>
      </c>
      <c r="T163" s="45" t="str">
        <f t="shared" si="20"/>
        <v/>
      </c>
      <c r="U163" s="358" t="str">
        <f t="shared" si="21"/>
        <v/>
      </c>
      <c r="V163" s="359" t="str">
        <f>IF(ISNUMBER(I163),IF('Identificación del Instrumento'!$B$17="periódica",IF(ABS(I163)&lt;=U163,0,1),IF(ABS(L163)&lt;=U163,0,1)),"")</f>
        <v/>
      </c>
      <c r="W163" s="194"/>
      <c r="X163" s="194"/>
      <c r="Y163" s="194"/>
      <c r="Z163" s="194"/>
      <c r="AA163" s="194"/>
      <c r="AB163" s="194"/>
      <c r="AC163" s="73"/>
      <c r="AD163" s="197"/>
      <c r="AE163" s="194"/>
      <c r="AF163" s="194"/>
      <c r="AG163" s="197"/>
      <c r="AH163" s="194"/>
      <c r="AI163" s="72"/>
      <c r="AJ163" s="197"/>
      <c r="AK163" s="197"/>
      <c r="AL163" s="197"/>
      <c r="AM163" s="197"/>
      <c r="AN163" s="197"/>
      <c r="AO163" s="194"/>
      <c r="AP163" s="194"/>
      <c r="AQ163" s="194"/>
      <c r="AR163" s="194"/>
      <c r="AS163" s="194"/>
      <c r="AT163" s="194"/>
      <c r="AU163" s="194"/>
      <c r="AV163" s="194"/>
      <c r="AW163" s="194"/>
      <c r="AX163" s="194"/>
      <c r="AY163" s="194"/>
      <c r="AZ163" s="194"/>
      <c r="BA163" s="194"/>
      <c r="BB163" s="194"/>
      <c r="BC163" s="194"/>
      <c r="BD163" s="194"/>
      <c r="BE163" s="194"/>
      <c r="BF163" s="194"/>
      <c r="BG163" s="194"/>
      <c r="BH163" s="194"/>
      <c r="BI163" s="194"/>
      <c r="BJ163" s="194"/>
      <c r="BK163" s="194"/>
      <c r="BL163" s="194"/>
      <c r="BM163" s="194"/>
      <c r="BN163" s="194"/>
      <c r="BO163" s="194"/>
      <c r="BP163" s="194"/>
      <c r="BQ163" s="194"/>
      <c r="BR163" s="194"/>
      <c r="BS163" s="194"/>
      <c r="BT163" s="194"/>
      <c r="BU163" s="194"/>
      <c r="BV163" s="194"/>
      <c r="BW163" s="194"/>
      <c r="BX163" s="194"/>
      <c r="BY163" s="194"/>
      <c r="BZ163" s="194"/>
      <c r="CA163" s="194"/>
      <c r="CB163" s="194"/>
      <c r="CC163" s="194"/>
      <c r="CD163" s="194"/>
      <c r="CE163" s="194"/>
      <c r="CF163" s="194"/>
      <c r="CG163" s="194"/>
      <c r="CH163" s="194"/>
      <c r="CI163" s="194"/>
      <c r="CJ163" s="194"/>
      <c r="CK163" s="194"/>
      <c r="CL163" s="194"/>
      <c r="CM163" s="194"/>
      <c r="CN163" s="194"/>
      <c r="CO163" s="194"/>
      <c r="CP163" s="194"/>
      <c r="CQ163" s="194"/>
      <c r="CR163" s="194"/>
      <c r="CS163" s="194"/>
      <c r="CT163" s="194"/>
      <c r="CU163" s="194"/>
      <c r="CV163" s="194"/>
      <c r="CW163" s="194"/>
      <c r="CX163" s="194"/>
      <c r="CY163" s="194"/>
      <c r="CZ163" s="194"/>
      <c r="DA163" s="194"/>
      <c r="DB163" s="194"/>
      <c r="DC163" s="194"/>
      <c r="DD163" s="194"/>
      <c r="DE163" s="194"/>
      <c r="DF163" s="194"/>
      <c r="DG163" s="194"/>
      <c r="DH163" s="194"/>
      <c r="DI163" s="194"/>
      <c r="DJ163" s="194"/>
      <c r="DK163" s="194"/>
      <c r="DL163" s="194"/>
      <c r="DM163" s="194"/>
      <c r="DN163" s="194"/>
      <c r="DO163" s="194"/>
      <c r="DP163" s="194"/>
      <c r="DQ163" s="194"/>
      <c r="DR163" s="194"/>
      <c r="DS163" s="194"/>
      <c r="DT163" s="194"/>
      <c r="DU163" s="194"/>
      <c r="DV163" s="194"/>
      <c r="DW163" s="194"/>
      <c r="DX163" s="194"/>
      <c r="DY163" s="194"/>
      <c r="DZ163" s="194"/>
      <c r="EA163" s="194"/>
      <c r="EB163" s="194"/>
      <c r="EC163" s="194"/>
      <c r="ED163" s="194"/>
      <c r="EE163" s="194"/>
      <c r="EF163" s="194"/>
      <c r="EG163" s="194"/>
      <c r="EH163" s="194"/>
      <c r="EI163" s="194"/>
      <c r="EJ163" s="194"/>
      <c r="EK163" s="194"/>
      <c r="EL163" s="194"/>
      <c r="EM163" s="194"/>
      <c r="EN163" s="194"/>
      <c r="EO163" s="194"/>
      <c r="EP163" s="194"/>
    </row>
    <row r="164" spans="1:146" s="199" customFormat="1" ht="16.5" customHeight="1" thickBot="1" x14ac:dyDescent="0.3">
      <c r="A164" s="194"/>
      <c r="B164" s="194">
        <v>21</v>
      </c>
      <c r="C164" s="194"/>
      <c r="D164" s="537"/>
      <c r="E164" s="537"/>
      <c r="F164" s="748" t="str">
        <f>IF(ISNUMBER(E164),IF('Identificación del Instrumento'!$F$17="PRIMITIVA","",IF($G$59="DISCONTINUA",$E$84/2,0)),"")</f>
        <v/>
      </c>
      <c r="G164" s="537"/>
      <c r="H164" s="748" t="str">
        <f>IF(ISNUMBER(G164),IF('Identificación del Instrumento'!$F$17="PRIMITIVA","",IF($G$59="DISCONTINUA",$E$84/2,0)),"")</f>
        <v/>
      </c>
      <c r="I164" s="701" t="str">
        <f t="shared" si="6"/>
        <v/>
      </c>
      <c r="J164" s="701" t="str">
        <f t="shared" si="7"/>
        <v/>
      </c>
      <c r="K164" s="701" t="str">
        <f t="shared" si="15"/>
        <v/>
      </c>
      <c r="L164" s="701" t="str">
        <f t="shared" si="8"/>
        <v/>
      </c>
      <c r="M164" s="701" t="str">
        <f t="shared" si="9"/>
        <v/>
      </c>
      <c r="N164" s="194"/>
      <c r="O164" s="263"/>
      <c r="P164" s="45" t="str">
        <f t="shared" si="17"/>
        <v/>
      </c>
      <c r="Q164" s="45" t="str">
        <f t="shared" si="18"/>
        <v/>
      </c>
      <c r="R164" s="45">
        <f t="shared" si="19"/>
        <v>0.52500000000000002</v>
      </c>
      <c r="S164" s="195">
        <v>0</v>
      </c>
      <c r="T164" s="45" t="str">
        <f t="shared" si="20"/>
        <v/>
      </c>
      <c r="U164" s="358" t="str">
        <f t="shared" si="21"/>
        <v/>
      </c>
      <c r="V164" s="359" t="str">
        <f>IF(ISNUMBER(I164),IF('Identificación del Instrumento'!$B$17="periódica",IF(ABS(I164)&lt;=U164,0,1),IF(ABS(L164)&lt;=U164,0,1)),"")</f>
        <v/>
      </c>
      <c r="W164" s="194"/>
      <c r="X164" s="194"/>
      <c r="Y164" s="194"/>
      <c r="Z164" s="194"/>
      <c r="AA164" s="194"/>
      <c r="AB164" s="194"/>
      <c r="AC164" s="73"/>
      <c r="AD164" s="197"/>
      <c r="AE164" s="194"/>
      <c r="AF164" s="194"/>
      <c r="AG164" s="197"/>
      <c r="AH164" s="194"/>
      <c r="AI164" s="72"/>
      <c r="AJ164" s="197"/>
      <c r="AK164" s="197"/>
      <c r="AL164" s="197"/>
      <c r="AM164" s="197"/>
      <c r="AN164" s="197"/>
      <c r="AO164" s="194"/>
      <c r="AP164" s="194"/>
      <c r="AQ164" s="194"/>
      <c r="AR164" s="194"/>
      <c r="AS164" s="194"/>
      <c r="AT164" s="194"/>
      <c r="AU164" s="194"/>
      <c r="AV164" s="194"/>
      <c r="AW164" s="194"/>
      <c r="AX164" s="194"/>
      <c r="AY164" s="194"/>
      <c r="AZ164" s="194"/>
      <c r="BA164" s="194"/>
      <c r="BB164" s="194"/>
      <c r="BC164" s="194"/>
      <c r="BD164" s="194"/>
      <c r="BE164" s="194"/>
      <c r="BF164" s="194"/>
      <c r="BG164" s="194"/>
      <c r="BH164" s="194"/>
      <c r="BI164" s="194"/>
      <c r="BJ164" s="194"/>
      <c r="BK164" s="194"/>
      <c r="BL164" s="194"/>
      <c r="BM164" s="194"/>
      <c r="BN164" s="194"/>
      <c r="BO164" s="194"/>
      <c r="BP164" s="194"/>
      <c r="BQ164" s="194"/>
      <c r="BR164" s="194"/>
      <c r="BS164" s="194"/>
      <c r="BT164" s="194"/>
      <c r="BU164" s="194"/>
      <c r="BV164" s="194"/>
      <c r="BW164" s="194"/>
      <c r="BX164" s="194"/>
      <c r="BY164" s="194"/>
      <c r="BZ164" s="194"/>
      <c r="CA164" s="194"/>
      <c r="CB164" s="194"/>
      <c r="CC164" s="194"/>
      <c r="CD164" s="194"/>
      <c r="CE164" s="194"/>
      <c r="CF164" s="194"/>
      <c r="CG164" s="194"/>
      <c r="CH164" s="194"/>
      <c r="CI164" s="194"/>
      <c r="CJ164" s="194"/>
      <c r="CK164" s="194"/>
      <c r="CL164" s="194"/>
      <c r="CM164" s="194"/>
      <c r="CN164" s="194"/>
      <c r="CO164" s="194"/>
      <c r="CP164" s="194"/>
      <c r="CQ164" s="194"/>
      <c r="CR164" s="194"/>
      <c r="CS164" s="194"/>
      <c r="CT164" s="194"/>
      <c r="CU164" s="194"/>
      <c r="CV164" s="194"/>
      <c r="CW164" s="194"/>
      <c r="CX164" s="194"/>
      <c r="CY164" s="194"/>
      <c r="CZ164" s="194"/>
      <c r="DA164" s="194"/>
      <c r="DB164" s="194"/>
      <c r="DC164" s="194"/>
      <c r="DD164" s="194"/>
      <c r="DE164" s="194"/>
      <c r="DF164" s="194"/>
      <c r="DG164" s="194"/>
      <c r="DH164" s="194"/>
      <c r="DI164" s="194"/>
      <c r="DJ164" s="194"/>
      <c r="DK164" s="194"/>
      <c r="DL164" s="194"/>
      <c r="DM164" s="194"/>
      <c r="DN164" s="194"/>
      <c r="DO164" s="194"/>
      <c r="DP164" s="194"/>
      <c r="DQ164" s="194"/>
      <c r="DR164" s="194"/>
      <c r="DS164" s="194"/>
      <c r="DT164" s="194"/>
      <c r="DU164" s="194"/>
      <c r="DV164" s="194"/>
      <c r="DW164" s="194"/>
      <c r="DX164" s="194"/>
      <c r="DY164" s="194"/>
      <c r="DZ164" s="194"/>
      <c r="EA164" s="194"/>
      <c r="EB164" s="194"/>
      <c r="EC164" s="194"/>
      <c r="ED164" s="194"/>
      <c r="EE164" s="194"/>
      <c r="EF164" s="194"/>
      <c r="EG164" s="194"/>
      <c r="EH164" s="194"/>
      <c r="EI164" s="194"/>
      <c r="EJ164" s="194"/>
      <c r="EK164" s="194"/>
      <c r="EL164" s="194"/>
      <c r="EM164" s="194"/>
      <c r="EN164" s="194"/>
      <c r="EO164" s="194"/>
      <c r="EP164" s="194"/>
    </row>
    <row r="165" spans="1:146" s="199" customFormat="1" ht="16.5" customHeight="1" thickBot="1" x14ac:dyDescent="0.3">
      <c r="A165" s="194"/>
      <c r="B165" s="194">
        <v>22</v>
      </c>
      <c r="C165" s="194"/>
      <c r="D165" s="698"/>
      <c r="E165" s="537"/>
      <c r="F165" s="539" t="str">
        <f>IF(ISNUMBER(E165),IF('Identificación del Instrumento'!$F$17="PRIMITIVA","",IF($G$59="DISCONTINUA",$E$84/2,0)),"")</f>
        <v/>
      </c>
      <c r="G165" s="537"/>
      <c r="H165" s="540" t="str">
        <f>IF(ISNUMBER(G165),IF('Identificación del Instrumento'!$F$17="PRIMITIVA","",IF($G$59="DISCONTINUA",$E$84/2,0)),"")</f>
        <v/>
      </c>
      <c r="I165" s="538" t="str">
        <f t="shared" si="6"/>
        <v/>
      </c>
      <c r="J165" s="538" t="str">
        <f t="shared" si="7"/>
        <v/>
      </c>
      <c r="K165" s="538" t="str">
        <f t="shared" si="15"/>
        <v/>
      </c>
      <c r="L165" s="538" t="str">
        <f t="shared" si="8"/>
        <v/>
      </c>
      <c r="M165" s="538" t="str">
        <f t="shared" si="9"/>
        <v/>
      </c>
      <c r="N165" s="194"/>
      <c r="O165" s="263"/>
      <c r="P165" s="45" t="str">
        <f t="shared" si="17"/>
        <v/>
      </c>
      <c r="Q165" s="45" t="str">
        <f t="shared" si="18"/>
        <v/>
      </c>
      <c r="R165" s="45">
        <f t="shared" si="19"/>
        <v>0.55000000000000004</v>
      </c>
      <c r="S165" s="195">
        <v>0</v>
      </c>
      <c r="T165" s="45" t="str">
        <f t="shared" si="20"/>
        <v/>
      </c>
      <c r="U165" s="358" t="str">
        <f t="shared" si="21"/>
        <v/>
      </c>
      <c r="V165" s="359" t="str">
        <f>IF(ISNUMBER(I165),IF('Identificación del Instrumento'!$B$17="periódica",IF(ABS(I165)&lt;=U165,0,1),IF(ABS(L165)&lt;=U165,0,1)),"")</f>
        <v/>
      </c>
      <c r="W165" s="194"/>
      <c r="X165" s="194"/>
      <c r="Y165" s="194"/>
      <c r="Z165" s="194"/>
      <c r="AA165" s="194"/>
      <c r="AB165" s="194"/>
      <c r="AC165" s="73"/>
      <c r="AD165" s="197"/>
      <c r="AE165" s="194"/>
      <c r="AF165" s="194"/>
      <c r="AG165" s="197"/>
      <c r="AH165" s="194"/>
      <c r="AI165" s="72"/>
      <c r="AJ165" s="197"/>
      <c r="AK165" s="197"/>
      <c r="AL165" s="197"/>
      <c r="AM165" s="197"/>
      <c r="AN165" s="197"/>
      <c r="AO165" s="194"/>
      <c r="AP165" s="194"/>
      <c r="AQ165" s="194"/>
      <c r="AR165" s="194"/>
      <c r="AS165" s="194"/>
      <c r="AT165" s="194"/>
      <c r="AU165" s="194"/>
      <c r="AV165" s="194"/>
      <c r="AW165" s="194"/>
      <c r="AX165" s="194"/>
      <c r="AY165" s="194"/>
      <c r="AZ165" s="194"/>
      <c r="BA165" s="194"/>
      <c r="BB165" s="194"/>
      <c r="BC165" s="194"/>
      <c r="BD165" s="194"/>
      <c r="BE165" s="194"/>
      <c r="BF165" s="194"/>
      <c r="BG165" s="194"/>
      <c r="BH165" s="194"/>
      <c r="BI165" s="194"/>
      <c r="BJ165" s="194"/>
      <c r="BK165" s="194"/>
      <c r="BL165" s="194"/>
      <c r="BM165" s="194"/>
      <c r="BN165" s="194"/>
      <c r="BO165" s="194"/>
      <c r="BP165" s="194"/>
      <c r="BQ165" s="194"/>
      <c r="BR165" s="194"/>
      <c r="BS165" s="194"/>
      <c r="BT165" s="194"/>
      <c r="BU165" s="194"/>
      <c r="BV165" s="194"/>
      <c r="BW165" s="194"/>
      <c r="BX165" s="194"/>
      <c r="BY165" s="194"/>
      <c r="BZ165" s="194"/>
      <c r="CA165" s="194"/>
      <c r="CB165" s="194"/>
      <c r="CC165" s="194"/>
      <c r="CD165" s="194"/>
      <c r="CE165" s="194"/>
      <c r="CF165" s="194"/>
      <c r="CG165" s="194"/>
      <c r="CH165" s="194"/>
      <c r="CI165" s="194"/>
      <c r="CJ165" s="194"/>
      <c r="CK165" s="194"/>
      <c r="CL165" s="194"/>
      <c r="CM165" s="194"/>
      <c r="CN165" s="194"/>
      <c r="CO165" s="194"/>
      <c r="CP165" s="194"/>
      <c r="CQ165" s="194"/>
      <c r="CR165" s="194"/>
      <c r="CS165" s="194"/>
      <c r="CT165" s="194"/>
      <c r="CU165" s="194"/>
      <c r="CV165" s="194"/>
      <c r="CW165" s="194"/>
      <c r="CX165" s="194"/>
      <c r="CY165" s="194"/>
      <c r="CZ165" s="194"/>
      <c r="DA165" s="194"/>
      <c r="DB165" s="194"/>
      <c r="DC165" s="194"/>
      <c r="DD165" s="194"/>
      <c r="DE165" s="194"/>
      <c r="DF165" s="194"/>
      <c r="DG165" s="194"/>
      <c r="DH165" s="194"/>
      <c r="DI165" s="194"/>
      <c r="DJ165" s="194"/>
      <c r="DK165" s="194"/>
      <c r="DL165" s="194"/>
      <c r="DM165" s="194"/>
      <c r="DN165" s="194"/>
      <c r="DO165" s="194"/>
      <c r="DP165" s="194"/>
      <c r="DQ165" s="194"/>
      <c r="DR165" s="194"/>
      <c r="DS165" s="194"/>
      <c r="DT165" s="194"/>
      <c r="DU165" s="194"/>
      <c r="DV165" s="194"/>
      <c r="DW165" s="194"/>
      <c r="DX165" s="194"/>
      <c r="DY165" s="194"/>
      <c r="DZ165" s="194"/>
      <c r="EA165" s="194"/>
      <c r="EB165" s="194"/>
      <c r="EC165" s="194"/>
      <c r="ED165" s="194"/>
      <c r="EE165" s="194"/>
      <c r="EF165" s="194"/>
      <c r="EG165" s="194"/>
      <c r="EH165" s="194"/>
      <c r="EI165" s="194"/>
      <c r="EJ165" s="194"/>
      <c r="EK165" s="194"/>
      <c r="EL165" s="194"/>
      <c r="EM165" s="194"/>
      <c r="EN165" s="194"/>
      <c r="EO165" s="194"/>
      <c r="EP165" s="194"/>
    </row>
    <row r="166" spans="1:146" s="199" customFormat="1" ht="16.5" customHeight="1" thickBot="1" x14ac:dyDescent="0.3">
      <c r="A166" s="194"/>
      <c r="B166" s="194">
        <v>23</v>
      </c>
      <c r="C166" s="194"/>
      <c r="D166" s="698"/>
      <c r="E166" s="537"/>
      <c r="F166" s="539" t="str">
        <f>IF(ISNUMBER(E166),IF('Identificación del Instrumento'!$F$17="PRIMITIVA","",IF($G$59="DISCONTINUA",$E$84/2,0)),"")</f>
        <v/>
      </c>
      <c r="G166" s="537"/>
      <c r="H166" s="539" t="str">
        <f>IF(ISNUMBER(G166),IF('Identificación del Instrumento'!$F$17="PRIMITIVA","",IF($G$59="DISCONTINUA",$E$84/2,0)),"")</f>
        <v/>
      </c>
      <c r="I166" s="538" t="str">
        <f t="shared" si="6"/>
        <v/>
      </c>
      <c r="J166" s="538" t="str">
        <f t="shared" si="7"/>
        <v/>
      </c>
      <c r="K166" s="538" t="str">
        <f t="shared" si="15"/>
        <v/>
      </c>
      <c r="L166" s="538" t="str">
        <f t="shared" si="8"/>
        <v/>
      </c>
      <c r="M166" s="538" t="str">
        <f t="shared" si="9"/>
        <v/>
      </c>
      <c r="N166" s="194"/>
      <c r="O166" s="263"/>
      <c r="P166" s="45" t="str">
        <f t="shared" si="17"/>
        <v/>
      </c>
      <c r="Q166" s="45" t="str">
        <f t="shared" si="18"/>
        <v/>
      </c>
      <c r="R166" s="45">
        <f t="shared" si="19"/>
        <v>0.57500000000000007</v>
      </c>
      <c r="S166" s="195">
        <v>0</v>
      </c>
      <c r="T166" s="45" t="str">
        <f t="shared" si="20"/>
        <v/>
      </c>
      <c r="U166" s="358" t="str">
        <f t="shared" si="21"/>
        <v/>
      </c>
      <c r="V166" s="359" t="str">
        <f>IF(ISNUMBER(I166),IF('Identificación del Instrumento'!$B$17="periódica",IF(ABS(I166)&lt;=U166,0,1),IF(ABS(L166)&lt;=U166,0,1)),"")</f>
        <v/>
      </c>
      <c r="W166" s="194"/>
      <c r="X166" s="194"/>
      <c r="Y166" s="194"/>
      <c r="Z166" s="194"/>
      <c r="AA166" s="194"/>
      <c r="AB166" s="194"/>
      <c r="AC166" s="73"/>
      <c r="AD166" s="197"/>
      <c r="AE166" s="194"/>
      <c r="AF166" s="194"/>
      <c r="AG166" s="197"/>
      <c r="AH166" s="194"/>
      <c r="AI166" s="72"/>
      <c r="AJ166" s="197"/>
      <c r="AK166" s="197"/>
      <c r="AL166" s="197"/>
      <c r="AM166" s="197"/>
      <c r="AN166" s="197"/>
      <c r="AO166" s="194"/>
      <c r="AP166" s="194"/>
      <c r="AQ166" s="194"/>
      <c r="AR166" s="194"/>
      <c r="AS166" s="194"/>
      <c r="AT166" s="194"/>
      <c r="AU166" s="194"/>
      <c r="AV166" s="194"/>
      <c r="AW166" s="194"/>
      <c r="AX166" s="194"/>
      <c r="AY166" s="194"/>
      <c r="AZ166" s="194"/>
      <c r="BA166" s="194"/>
      <c r="BB166" s="194"/>
      <c r="BC166" s="194"/>
      <c r="BD166" s="194"/>
      <c r="BE166" s="194"/>
      <c r="BF166" s="194"/>
      <c r="BG166" s="194"/>
      <c r="BH166" s="194"/>
      <c r="BI166" s="194"/>
      <c r="BJ166" s="194"/>
      <c r="BK166" s="194"/>
      <c r="BL166" s="194"/>
      <c r="BM166" s="194"/>
      <c r="BN166" s="194"/>
      <c r="BO166" s="194"/>
      <c r="BP166" s="194"/>
      <c r="BQ166" s="194"/>
      <c r="BR166" s="194"/>
      <c r="BS166" s="194"/>
      <c r="BT166" s="194"/>
      <c r="BU166" s="194"/>
      <c r="BV166" s="194"/>
      <c r="BW166" s="194"/>
      <c r="BX166" s="194"/>
      <c r="BY166" s="194"/>
      <c r="BZ166" s="194"/>
      <c r="CA166" s="194"/>
      <c r="CB166" s="194"/>
      <c r="CC166" s="194"/>
      <c r="CD166" s="194"/>
      <c r="CE166" s="194"/>
      <c r="CF166" s="194"/>
      <c r="CG166" s="194"/>
      <c r="CH166" s="194"/>
      <c r="CI166" s="194"/>
      <c r="CJ166" s="194"/>
      <c r="CK166" s="194"/>
      <c r="CL166" s="194"/>
      <c r="CM166" s="194"/>
      <c r="CN166" s="194"/>
      <c r="CO166" s="194"/>
      <c r="CP166" s="194"/>
      <c r="CQ166" s="194"/>
      <c r="CR166" s="194"/>
      <c r="CS166" s="194"/>
      <c r="CT166" s="194"/>
      <c r="CU166" s="194"/>
      <c r="CV166" s="194"/>
      <c r="CW166" s="194"/>
      <c r="CX166" s="194"/>
      <c r="CY166" s="194"/>
      <c r="CZ166" s="194"/>
      <c r="DA166" s="194"/>
      <c r="DB166" s="194"/>
      <c r="DC166" s="194"/>
      <c r="DD166" s="194"/>
      <c r="DE166" s="194"/>
      <c r="DF166" s="194"/>
      <c r="DG166" s="194"/>
      <c r="DH166" s="194"/>
      <c r="DI166" s="194"/>
      <c r="DJ166" s="194"/>
      <c r="DK166" s="194"/>
      <c r="DL166" s="194"/>
      <c r="DM166" s="194"/>
      <c r="DN166" s="194"/>
      <c r="DO166" s="194"/>
      <c r="DP166" s="194"/>
      <c r="DQ166" s="194"/>
      <c r="DR166" s="194"/>
      <c r="DS166" s="194"/>
      <c r="DT166" s="194"/>
      <c r="DU166" s="194"/>
      <c r="DV166" s="194"/>
      <c r="DW166" s="194"/>
      <c r="DX166" s="194"/>
      <c r="DY166" s="194"/>
      <c r="DZ166" s="194"/>
      <c r="EA166" s="194"/>
      <c r="EB166" s="194"/>
      <c r="EC166" s="194"/>
      <c r="ED166" s="194"/>
      <c r="EE166" s="194"/>
      <c r="EF166" s="194"/>
      <c r="EG166" s="194"/>
      <c r="EH166" s="194"/>
      <c r="EI166" s="194"/>
      <c r="EJ166" s="194"/>
      <c r="EK166" s="194"/>
      <c r="EL166" s="194"/>
      <c r="EM166" s="194"/>
      <c r="EN166" s="194"/>
      <c r="EO166" s="194"/>
      <c r="EP166" s="194"/>
    </row>
    <row r="167" spans="1:146" s="199" customFormat="1" ht="16.5" customHeight="1" thickBot="1" x14ac:dyDescent="0.3">
      <c r="A167" s="194"/>
      <c r="B167" s="194">
        <v>24</v>
      </c>
      <c r="C167" s="194"/>
      <c r="D167" s="698"/>
      <c r="E167" s="541"/>
      <c r="F167" s="539" t="str">
        <f>IF(ISNUMBER(E167),IF('Identificación del Instrumento'!$F$17="PRIMITIVA","",IF($G$59="DISCONTINUA",$E$84/2,0)),"")</f>
        <v/>
      </c>
      <c r="G167" s="542"/>
      <c r="H167" s="539" t="str">
        <f>IF(ISNUMBER(G167),IF('Identificación del Instrumento'!$F$17="PRIMITIVA","",IF($G$59="DISCONTINUA",$E$84/2,0)),"")</f>
        <v/>
      </c>
      <c r="I167" s="538" t="str">
        <f t="shared" si="6"/>
        <v/>
      </c>
      <c r="J167" s="538" t="str">
        <f t="shared" si="7"/>
        <v/>
      </c>
      <c r="K167" s="538" t="str">
        <f t="shared" si="15"/>
        <v/>
      </c>
      <c r="L167" s="538" t="str">
        <f t="shared" si="8"/>
        <v/>
      </c>
      <c r="M167" s="538" t="str">
        <f t="shared" si="9"/>
        <v/>
      </c>
      <c r="N167" s="194"/>
      <c r="O167" s="263"/>
      <c r="P167" s="45" t="str">
        <f t="shared" si="17"/>
        <v/>
      </c>
      <c r="Q167" s="45" t="str">
        <f t="shared" si="18"/>
        <v/>
      </c>
      <c r="R167" s="45">
        <f t="shared" si="19"/>
        <v>0.60000000000000009</v>
      </c>
      <c r="S167" s="195">
        <v>0</v>
      </c>
      <c r="T167" s="45" t="str">
        <f t="shared" si="20"/>
        <v/>
      </c>
      <c r="U167" s="358" t="str">
        <f t="shared" si="21"/>
        <v/>
      </c>
      <c r="V167" s="359" t="str">
        <f>IF(ISNUMBER(I167),IF('Identificación del Instrumento'!$B$17="periódica",IF(ABS(I167)&lt;=U167,0,1),IF(ABS(L167)&lt;=U167,0,1)),"")</f>
        <v/>
      </c>
      <c r="W167" s="194"/>
      <c r="X167" s="194"/>
      <c r="Y167" s="194"/>
      <c r="Z167" s="194"/>
      <c r="AA167" s="194"/>
      <c r="AB167" s="194"/>
      <c r="AC167" s="73"/>
      <c r="AD167" s="197"/>
      <c r="AE167" s="194"/>
      <c r="AF167" s="194"/>
      <c r="AG167" s="197"/>
      <c r="AH167" s="194"/>
      <c r="AI167" s="72"/>
      <c r="AJ167" s="197"/>
      <c r="AK167" s="197"/>
      <c r="AL167" s="197"/>
      <c r="AM167" s="197"/>
      <c r="AN167" s="197"/>
      <c r="AO167" s="194"/>
      <c r="AP167" s="194"/>
      <c r="AQ167" s="194"/>
      <c r="AR167" s="194"/>
      <c r="AS167" s="194"/>
      <c r="AT167" s="194"/>
      <c r="AU167" s="194"/>
      <c r="AV167" s="194"/>
      <c r="AW167" s="194"/>
      <c r="AX167" s="194"/>
      <c r="AY167" s="194"/>
      <c r="AZ167" s="194"/>
      <c r="BA167" s="194"/>
      <c r="BB167" s="194"/>
      <c r="BC167" s="194"/>
      <c r="BD167" s="194"/>
      <c r="BE167" s="194"/>
      <c r="BF167" s="194"/>
      <c r="BG167" s="194"/>
      <c r="BH167" s="194"/>
      <c r="BI167" s="194"/>
      <c r="BJ167" s="194"/>
      <c r="BK167" s="194"/>
      <c r="BL167" s="194"/>
      <c r="BM167" s="194"/>
      <c r="BN167" s="194"/>
      <c r="BO167" s="194"/>
      <c r="BP167" s="194"/>
      <c r="BQ167" s="194"/>
      <c r="BR167" s="194"/>
      <c r="BS167" s="194"/>
      <c r="BT167" s="194"/>
      <c r="BU167" s="194"/>
      <c r="BV167" s="194"/>
      <c r="BW167" s="194"/>
      <c r="BX167" s="194"/>
      <c r="BY167" s="194"/>
      <c r="BZ167" s="194"/>
      <c r="CA167" s="194"/>
      <c r="CB167" s="194"/>
      <c r="CC167" s="194"/>
      <c r="CD167" s="194"/>
      <c r="CE167" s="194"/>
      <c r="CF167" s="194"/>
      <c r="CG167" s="194"/>
      <c r="CH167" s="194"/>
      <c r="CI167" s="194"/>
      <c r="CJ167" s="194"/>
      <c r="CK167" s="194"/>
      <c r="CL167" s="194"/>
      <c r="CM167" s="194"/>
      <c r="CN167" s="194"/>
      <c r="CO167" s="194"/>
      <c r="CP167" s="194"/>
      <c r="CQ167" s="194"/>
      <c r="CR167" s="194"/>
      <c r="CS167" s="194"/>
      <c r="CT167" s="194"/>
      <c r="CU167" s="194"/>
      <c r="CV167" s="194"/>
      <c r="CW167" s="194"/>
      <c r="CX167" s="194"/>
      <c r="CY167" s="194"/>
      <c r="CZ167" s="194"/>
      <c r="DA167" s="194"/>
      <c r="DB167" s="194"/>
      <c r="DC167" s="194"/>
      <c r="DD167" s="194"/>
      <c r="DE167" s="194"/>
      <c r="DF167" s="194"/>
      <c r="DG167" s="194"/>
      <c r="DH167" s="194"/>
      <c r="DI167" s="194"/>
      <c r="DJ167" s="194"/>
      <c r="DK167" s="194"/>
      <c r="DL167" s="194"/>
      <c r="DM167" s="194"/>
      <c r="DN167" s="194"/>
      <c r="DO167" s="194"/>
      <c r="DP167" s="194"/>
      <c r="DQ167" s="194"/>
      <c r="DR167" s="194"/>
      <c r="DS167" s="194"/>
      <c r="DT167" s="194"/>
      <c r="DU167" s="194"/>
      <c r="DV167" s="194"/>
      <c r="DW167" s="194"/>
      <c r="DX167" s="194"/>
      <c r="DY167" s="194"/>
      <c r="DZ167" s="194"/>
      <c r="EA167" s="194"/>
      <c r="EB167" s="194"/>
      <c r="EC167" s="194"/>
      <c r="ED167" s="194"/>
      <c r="EE167" s="194"/>
      <c r="EF167" s="194"/>
      <c r="EG167" s="194"/>
      <c r="EH167" s="194"/>
      <c r="EI167" s="194"/>
      <c r="EJ167" s="194"/>
      <c r="EK167" s="194"/>
      <c r="EL167" s="194"/>
      <c r="EM167" s="194"/>
      <c r="EN167" s="194"/>
      <c r="EO167" s="194"/>
      <c r="EP167" s="194"/>
    </row>
    <row r="168" spans="1:146" s="199" customFormat="1" ht="16.5" customHeight="1" thickBot="1" x14ac:dyDescent="0.3">
      <c r="A168" s="194"/>
      <c r="B168" s="194">
        <v>25</v>
      </c>
      <c r="C168" s="194"/>
      <c r="D168" s="698"/>
      <c r="E168" s="537"/>
      <c r="F168" s="539" t="str">
        <f>IF(ISNUMBER(E168),IF('Identificación del Instrumento'!$F$17="PRIMITIVA","",IF($G$59="DISCONTINUA",$E$84/2,0)),"")</f>
        <v/>
      </c>
      <c r="G168" s="537"/>
      <c r="H168" s="539" t="str">
        <f>IF(ISNUMBER(G168),IF('Identificación del Instrumento'!$F$17="PRIMITIVA","",IF($G$59="DISCONTINUA",$E$84/2,0)),"")</f>
        <v/>
      </c>
      <c r="I168" s="536" t="str">
        <f t="shared" si="6"/>
        <v/>
      </c>
      <c r="J168" s="536" t="str">
        <f t="shared" si="7"/>
        <v/>
      </c>
      <c r="K168" s="536" t="str">
        <f t="shared" si="15"/>
        <v/>
      </c>
      <c r="L168" s="536" t="str">
        <f t="shared" si="8"/>
        <v/>
      </c>
      <c r="M168" s="536" t="str">
        <f t="shared" si="9"/>
        <v/>
      </c>
      <c r="N168" s="194"/>
      <c r="O168" s="263"/>
      <c r="P168" s="45" t="str">
        <f t="shared" si="17"/>
        <v/>
      </c>
      <c r="Q168" s="45" t="str">
        <f t="shared" si="18"/>
        <v/>
      </c>
      <c r="R168" s="45">
        <f t="shared" si="19"/>
        <v>0.625</v>
      </c>
      <c r="S168" s="195">
        <v>0</v>
      </c>
      <c r="T168" s="45" t="str">
        <f t="shared" si="20"/>
        <v/>
      </c>
      <c r="U168" s="358" t="str">
        <f t="shared" si="21"/>
        <v/>
      </c>
      <c r="V168" s="359" t="str">
        <f>IF(ISNUMBER(I168),IF('Identificación del Instrumento'!$B$17="periódica",IF(ABS(I168)&lt;=U168,0,1),IF(ABS(L168)&lt;=U168,0,1)),"")</f>
        <v/>
      </c>
      <c r="W168" s="194"/>
      <c r="X168" s="194"/>
      <c r="Y168" s="194"/>
      <c r="Z168" s="194"/>
      <c r="AA168" s="194"/>
      <c r="AB168" s="194"/>
      <c r="AC168" s="73"/>
      <c r="AD168" s="197"/>
      <c r="AE168" s="194"/>
      <c r="AF168" s="194"/>
      <c r="AG168" s="197"/>
      <c r="AH168" s="194"/>
      <c r="AI168" s="72"/>
      <c r="AJ168" s="197"/>
      <c r="AK168" s="197"/>
      <c r="AL168" s="197"/>
      <c r="AM168" s="197"/>
      <c r="AN168" s="197"/>
      <c r="AO168" s="194"/>
      <c r="AP168" s="194"/>
      <c r="AQ168" s="194"/>
      <c r="AR168" s="194"/>
      <c r="AS168" s="194"/>
      <c r="AT168" s="194"/>
      <c r="AU168" s="194"/>
      <c r="AV168" s="194"/>
      <c r="AW168" s="194"/>
      <c r="AX168" s="194"/>
      <c r="AY168" s="194"/>
      <c r="AZ168" s="194"/>
      <c r="BA168" s="194"/>
      <c r="BB168" s="194"/>
      <c r="BC168" s="194"/>
      <c r="BD168" s="194"/>
      <c r="BE168" s="194"/>
      <c r="BF168" s="194"/>
      <c r="BG168" s="194"/>
      <c r="BH168" s="194"/>
      <c r="BI168" s="194"/>
      <c r="BJ168" s="194"/>
      <c r="BK168" s="194"/>
      <c r="BL168" s="194"/>
      <c r="BM168" s="194"/>
      <c r="BN168" s="194"/>
      <c r="BO168" s="194"/>
      <c r="BP168" s="194"/>
      <c r="BQ168" s="194"/>
      <c r="BR168" s="194"/>
      <c r="BS168" s="194"/>
      <c r="BT168" s="194"/>
      <c r="BU168" s="194"/>
      <c r="BV168" s="194"/>
      <c r="BW168" s="194"/>
      <c r="BX168" s="194"/>
      <c r="BY168" s="194"/>
      <c r="BZ168" s="194"/>
      <c r="CA168" s="194"/>
      <c r="CB168" s="194"/>
      <c r="CC168" s="194"/>
      <c r="CD168" s="194"/>
      <c r="CE168" s="194"/>
      <c r="CF168" s="194"/>
      <c r="CG168" s="194"/>
      <c r="CH168" s="194"/>
      <c r="CI168" s="194"/>
      <c r="CJ168" s="194"/>
      <c r="CK168" s="194"/>
      <c r="CL168" s="194"/>
      <c r="CM168" s="194"/>
      <c r="CN168" s="194"/>
      <c r="CO168" s="194"/>
      <c r="CP168" s="194"/>
      <c r="CQ168" s="194"/>
      <c r="CR168" s="194"/>
      <c r="CS168" s="194"/>
      <c r="CT168" s="194"/>
      <c r="CU168" s="194"/>
      <c r="CV168" s="194"/>
      <c r="CW168" s="194"/>
      <c r="CX168" s="194"/>
      <c r="CY168" s="194"/>
      <c r="CZ168" s="194"/>
      <c r="DA168" s="194"/>
      <c r="DB168" s="194"/>
      <c r="DC168" s="194"/>
      <c r="DD168" s="194"/>
      <c r="DE168" s="194"/>
      <c r="DF168" s="194"/>
      <c r="DG168" s="194"/>
      <c r="DH168" s="194"/>
      <c r="DI168" s="194"/>
      <c r="DJ168" s="194"/>
      <c r="DK168" s="194"/>
      <c r="DL168" s="194"/>
      <c r="DM168" s="194"/>
      <c r="DN168" s="194"/>
      <c r="DO168" s="194"/>
      <c r="DP168" s="194"/>
      <c r="DQ168" s="194"/>
      <c r="DR168" s="194"/>
      <c r="DS168" s="194"/>
      <c r="DT168" s="194"/>
      <c r="DU168" s="194"/>
      <c r="DV168" s="194"/>
      <c r="DW168" s="194"/>
      <c r="DX168" s="194"/>
      <c r="DY168" s="194"/>
      <c r="DZ168" s="194"/>
      <c r="EA168" s="194"/>
      <c r="EB168" s="194"/>
      <c r="EC168" s="194"/>
      <c r="ED168" s="194"/>
      <c r="EE168" s="194"/>
      <c r="EF168" s="194"/>
      <c r="EG168" s="194"/>
      <c r="EH168" s="194"/>
      <c r="EI168" s="194"/>
      <c r="EJ168" s="194"/>
      <c r="EK168" s="194"/>
      <c r="EL168" s="194"/>
      <c r="EM168" s="194"/>
      <c r="EN168" s="194"/>
      <c r="EO168" s="194"/>
      <c r="EP168" s="194"/>
    </row>
    <row r="169" spans="1:146" s="199" customFormat="1" ht="16.5" customHeight="1" thickBot="1" x14ac:dyDescent="0.3">
      <c r="A169" s="194"/>
      <c r="B169" s="194">
        <v>26</v>
      </c>
      <c r="C169" s="194"/>
      <c r="D169" s="698"/>
      <c r="E169" s="537"/>
      <c r="F169" s="539" t="str">
        <f>IF(ISNUMBER(E169),IF('Identificación del Instrumento'!$F$17="PRIMITIVA","",IF($G$59="DISCONTINUA",$E$84/2,0)),"")</f>
        <v/>
      </c>
      <c r="G169" s="537"/>
      <c r="H169" s="539" t="str">
        <f>IF(ISNUMBER(G169),IF('Identificación del Instrumento'!$F$17="PRIMITIVA","",IF($G$59="DISCONTINUA",$E$84/2,0)),"")</f>
        <v/>
      </c>
      <c r="I169" s="536" t="str">
        <f t="shared" si="6"/>
        <v/>
      </c>
      <c r="J169" s="536" t="str">
        <f t="shared" si="7"/>
        <v/>
      </c>
      <c r="K169" s="536" t="str">
        <f t="shared" si="15"/>
        <v/>
      </c>
      <c r="L169" s="536" t="str">
        <f t="shared" si="8"/>
        <v/>
      </c>
      <c r="M169" s="536" t="str">
        <f t="shared" si="9"/>
        <v/>
      </c>
      <c r="N169" s="194"/>
      <c r="O169" s="263"/>
      <c r="P169" s="45" t="str">
        <f t="shared" si="17"/>
        <v/>
      </c>
      <c r="Q169" s="45" t="str">
        <f t="shared" si="18"/>
        <v/>
      </c>
      <c r="R169" s="45">
        <f t="shared" si="19"/>
        <v>0.65</v>
      </c>
      <c r="S169" s="195">
        <v>0</v>
      </c>
      <c r="T169" s="45" t="str">
        <f t="shared" si="20"/>
        <v/>
      </c>
      <c r="U169" s="358" t="str">
        <f t="shared" si="21"/>
        <v/>
      </c>
      <c r="V169" s="359" t="str">
        <f>IF(ISNUMBER(I169),IF('Identificación del Instrumento'!$B$17="periódica",IF(ABS(I169)&lt;=U169,0,1),IF(ABS(L169)&lt;=U169,0,1)),"")</f>
        <v/>
      </c>
      <c r="W169" s="194"/>
      <c r="X169" s="194"/>
      <c r="Y169" s="194"/>
      <c r="Z169" s="194"/>
      <c r="AA169" s="194"/>
      <c r="AB169" s="194"/>
      <c r="AC169" s="73"/>
      <c r="AD169" s="197"/>
      <c r="AE169" s="194"/>
      <c r="AF169" s="194"/>
      <c r="AG169" s="197"/>
      <c r="AH169" s="194"/>
      <c r="AI169" s="72"/>
      <c r="AJ169" s="197"/>
      <c r="AK169" s="197"/>
      <c r="AL169" s="197"/>
      <c r="AM169" s="197"/>
      <c r="AN169" s="197"/>
      <c r="AO169" s="194"/>
      <c r="AP169" s="194"/>
      <c r="AQ169" s="194"/>
      <c r="AR169" s="194"/>
      <c r="AS169" s="194"/>
      <c r="AT169" s="194"/>
      <c r="AU169" s="194"/>
      <c r="AV169" s="194"/>
      <c r="AW169" s="194"/>
      <c r="AX169" s="194"/>
      <c r="AY169" s="194"/>
      <c r="AZ169" s="194"/>
      <c r="BA169" s="194"/>
      <c r="BB169" s="194"/>
      <c r="BC169" s="194"/>
      <c r="BD169" s="194"/>
      <c r="BE169" s="194"/>
      <c r="BF169" s="194"/>
      <c r="BG169" s="194"/>
      <c r="BH169" s="194"/>
      <c r="BI169" s="194"/>
      <c r="BJ169" s="194"/>
      <c r="BK169" s="194"/>
      <c r="BL169" s="194"/>
      <c r="BM169" s="194"/>
      <c r="BN169" s="194"/>
      <c r="BO169" s="194"/>
      <c r="BP169" s="194"/>
      <c r="BQ169" s="194"/>
      <c r="BR169" s="194"/>
      <c r="BS169" s="194"/>
      <c r="BT169" s="194"/>
      <c r="BU169" s="194"/>
      <c r="BV169" s="194"/>
      <c r="BW169" s="194"/>
      <c r="BX169" s="194"/>
      <c r="BY169" s="194"/>
      <c r="BZ169" s="194"/>
      <c r="CA169" s="194"/>
      <c r="CB169" s="194"/>
      <c r="CC169" s="194"/>
      <c r="CD169" s="194"/>
      <c r="CE169" s="194"/>
      <c r="CF169" s="194"/>
      <c r="CG169" s="194"/>
      <c r="CH169" s="194"/>
      <c r="CI169" s="194"/>
      <c r="CJ169" s="194"/>
      <c r="CK169" s="194"/>
      <c r="CL169" s="194"/>
      <c r="CM169" s="194"/>
      <c r="CN169" s="194"/>
      <c r="CO169" s="194"/>
      <c r="CP169" s="194"/>
      <c r="CQ169" s="194"/>
      <c r="CR169" s="194"/>
      <c r="CS169" s="194"/>
      <c r="CT169" s="194"/>
      <c r="CU169" s="194"/>
      <c r="CV169" s="194"/>
      <c r="CW169" s="194"/>
      <c r="CX169" s="194"/>
      <c r="CY169" s="194"/>
      <c r="CZ169" s="194"/>
      <c r="DA169" s="194"/>
      <c r="DB169" s="194"/>
      <c r="DC169" s="194"/>
      <c r="DD169" s="194"/>
      <c r="DE169" s="194"/>
      <c r="DF169" s="194"/>
      <c r="DG169" s="194"/>
      <c r="DH169" s="194"/>
      <c r="DI169" s="194"/>
      <c r="DJ169" s="194"/>
      <c r="DK169" s="194"/>
      <c r="DL169" s="194"/>
      <c r="DM169" s="194"/>
      <c r="DN169" s="194"/>
      <c r="DO169" s="194"/>
      <c r="DP169" s="194"/>
      <c r="DQ169" s="194"/>
      <c r="DR169" s="194"/>
      <c r="DS169" s="194"/>
      <c r="DT169" s="194"/>
      <c r="DU169" s="194"/>
      <c r="DV169" s="194"/>
      <c r="DW169" s="194"/>
      <c r="DX169" s="194"/>
      <c r="DY169" s="194"/>
      <c r="DZ169" s="194"/>
      <c r="EA169" s="194"/>
      <c r="EB169" s="194"/>
      <c r="EC169" s="194"/>
      <c r="ED169" s="194"/>
      <c r="EE169" s="194"/>
      <c r="EF169" s="194"/>
      <c r="EG169" s="194"/>
      <c r="EH169" s="194"/>
      <c r="EI169" s="194"/>
      <c r="EJ169" s="194"/>
      <c r="EK169" s="194"/>
      <c r="EL169" s="194"/>
      <c r="EM169" s="194"/>
      <c r="EN169" s="194"/>
      <c r="EO169" s="194"/>
      <c r="EP169" s="194"/>
    </row>
    <row r="170" spans="1:146" s="199" customFormat="1" ht="16.5" customHeight="1" thickBot="1" x14ac:dyDescent="0.3">
      <c r="A170" s="194"/>
      <c r="B170" s="194">
        <v>27</v>
      </c>
      <c r="C170" s="194"/>
      <c r="D170" s="698"/>
      <c r="E170" s="537"/>
      <c r="F170" s="539" t="str">
        <f>IF(ISNUMBER(E170),IF('Identificación del Instrumento'!$F$17="PRIMITIVA","",IF($G$59="DISCONTINUA",$E$84/2,0)),"")</f>
        <v/>
      </c>
      <c r="G170" s="537"/>
      <c r="H170" s="539" t="str">
        <f>IF(ISNUMBER(G170),IF('Identificación del Instrumento'!$F$17="PRIMITIVA","",IF($G$59="DISCONTINUA",$E$84/2,0)),"")</f>
        <v/>
      </c>
      <c r="I170" s="536" t="str">
        <f t="shared" si="6"/>
        <v/>
      </c>
      <c r="J170" s="536" t="str">
        <f t="shared" si="7"/>
        <v/>
      </c>
      <c r="K170" s="536" t="str">
        <f t="shared" si="15"/>
        <v/>
      </c>
      <c r="L170" s="536" t="str">
        <f t="shared" si="8"/>
        <v/>
      </c>
      <c r="M170" s="536" t="str">
        <f t="shared" si="9"/>
        <v/>
      </c>
      <c r="N170" s="194"/>
      <c r="O170" s="263"/>
      <c r="P170" s="45" t="str">
        <f t="shared" si="17"/>
        <v/>
      </c>
      <c r="Q170" s="45" t="str">
        <f t="shared" si="18"/>
        <v/>
      </c>
      <c r="R170" s="45">
        <f t="shared" si="19"/>
        <v>0.67500000000000004</v>
      </c>
      <c r="S170" s="195">
        <v>0</v>
      </c>
      <c r="T170" s="45" t="str">
        <f t="shared" si="20"/>
        <v/>
      </c>
      <c r="U170" s="358" t="str">
        <f t="shared" si="21"/>
        <v/>
      </c>
      <c r="V170" s="359" t="str">
        <f>IF(ISNUMBER(I170),IF('Identificación del Instrumento'!$B$17="periódica",IF(ABS(I170)&lt;=U170,0,1),IF(ABS(L170)&lt;=U170,0,1)),"")</f>
        <v/>
      </c>
      <c r="W170" s="194"/>
      <c r="X170" s="194"/>
      <c r="Y170" s="194"/>
      <c r="Z170" s="194"/>
      <c r="AA170" s="194"/>
      <c r="AB170" s="194"/>
      <c r="AC170" s="73"/>
      <c r="AD170" s="197"/>
      <c r="AE170" s="194"/>
      <c r="AF170" s="194"/>
      <c r="AG170" s="197"/>
      <c r="AH170" s="194"/>
      <c r="AI170" s="72"/>
      <c r="AJ170" s="197"/>
      <c r="AK170" s="197"/>
      <c r="AL170" s="197"/>
      <c r="AM170" s="197"/>
      <c r="AN170" s="197"/>
      <c r="AO170" s="194"/>
      <c r="AP170" s="194"/>
      <c r="AQ170" s="194"/>
      <c r="AR170" s="194"/>
      <c r="AS170" s="194"/>
      <c r="AT170" s="194"/>
      <c r="AU170" s="194"/>
      <c r="AV170" s="194"/>
      <c r="AW170" s="194"/>
      <c r="AX170" s="194"/>
      <c r="AY170" s="194"/>
      <c r="AZ170" s="194"/>
      <c r="BA170" s="194"/>
      <c r="BB170" s="194"/>
      <c r="BC170" s="194"/>
      <c r="BD170" s="194"/>
      <c r="BE170" s="194"/>
      <c r="BF170" s="194"/>
      <c r="BG170" s="194"/>
      <c r="BH170" s="194"/>
      <c r="BI170" s="194"/>
      <c r="BJ170" s="194"/>
      <c r="BK170" s="194"/>
      <c r="BL170" s="194"/>
      <c r="BM170" s="194"/>
      <c r="BN170" s="194"/>
      <c r="BO170" s="194"/>
      <c r="BP170" s="194"/>
      <c r="BQ170" s="194"/>
      <c r="BR170" s="194"/>
      <c r="BS170" s="194"/>
      <c r="BT170" s="194"/>
      <c r="BU170" s="194"/>
      <c r="BV170" s="194"/>
      <c r="BW170" s="194"/>
      <c r="BX170" s="194"/>
      <c r="BY170" s="194"/>
      <c r="BZ170" s="194"/>
      <c r="CA170" s="194"/>
      <c r="CB170" s="194"/>
      <c r="CC170" s="194"/>
      <c r="CD170" s="194"/>
      <c r="CE170" s="194"/>
      <c r="CF170" s="194"/>
      <c r="CG170" s="194"/>
      <c r="CH170" s="194"/>
      <c r="CI170" s="194"/>
      <c r="CJ170" s="194"/>
      <c r="CK170" s="194"/>
      <c r="CL170" s="194"/>
      <c r="CM170" s="194"/>
      <c r="CN170" s="194"/>
      <c r="CO170" s="194"/>
      <c r="CP170" s="194"/>
      <c r="CQ170" s="194"/>
      <c r="CR170" s="194"/>
      <c r="CS170" s="194"/>
      <c r="CT170" s="194"/>
      <c r="CU170" s="194"/>
      <c r="CV170" s="194"/>
      <c r="CW170" s="194"/>
      <c r="CX170" s="194"/>
      <c r="CY170" s="194"/>
      <c r="CZ170" s="194"/>
      <c r="DA170" s="194"/>
      <c r="DB170" s="194"/>
      <c r="DC170" s="194"/>
      <c r="DD170" s="194"/>
      <c r="DE170" s="194"/>
      <c r="DF170" s="194"/>
      <c r="DG170" s="194"/>
      <c r="DH170" s="194"/>
      <c r="DI170" s="194"/>
      <c r="DJ170" s="194"/>
      <c r="DK170" s="194"/>
      <c r="DL170" s="194"/>
      <c r="DM170" s="194"/>
      <c r="DN170" s="194"/>
      <c r="DO170" s="194"/>
      <c r="DP170" s="194"/>
      <c r="DQ170" s="194"/>
      <c r="DR170" s="194"/>
      <c r="DS170" s="194"/>
      <c r="DT170" s="194"/>
      <c r="DU170" s="194"/>
      <c r="DV170" s="194"/>
      <c r="DW170" s="194"/>
      <c r="DX170" s="194"/>
      <c r="DY170" s="194"/>
      <c r="DZ170" s="194"/>
      <c r="EA170" s="194"/>
      <c r="EB170" s="194"/>
      <c r="EC170" s="194"/>
      <c r="ED170" s="194"/>
      <c r="EE170" s="194"/>
      <c r="EF170" s="194"/>
      <c r="EG170" s="194"/>
      <c r="EH170" s="194"/>
      <c r="EI170" s="194"/>
      <c r="EJ170" s="194"/>
      <c r="EK170" s="194"/>
      <c r="EL170" s="194"/>
      <c r="EM170" s="194"/>
      <c r="EN170" s="194"/>
      <c r="EO170" s="194"/>
      <c r="EP170" s="194"/>
    </row>
    <row r="171" spans="1:146" s="199" customFormat="1" ht="16.5" customHeight="1" thickBot="1" x14ac:dyDescent="0.3">
      <c r="A171" s="194"/>
      <c r="B171" s="194">
        <v>28</v>
      </c>
      <c r="C171" s="194"/>
      <c r="D171" s="698"/>
      <c r="E171" s="537"/>
      <c r="F171" s="539" t="str">
        <f>IF(ISNUMBER(E171),IF('Identificación del Instrumento'!$F$17="PRIMITIVA","",IF($G$59="DISCONTINUA",$E$84/2,0)),"")</f>
        <v/>
      </c>
      <c r="G171" s="537"/>
      <c r="H171" s="539" t="str">
        <f>IF(ISNUMBER(G171),IF('Identificación del Instrumento'!$F$17="PRIMITIVA","",IF($G$59="DISCONTINUA",$E$84/2,0)),"")</f>
        <v/>
      </c>
      <c r="I171" s="536" t="str">
        <f t="shared" si="6"/>
        <v/>
      </c>
      <c r="J171" s="536" t="str">
        <f t="shared" si="7"/>
        <v/>
      </c>
      <c r="K171" s="536" t="str">
        <f t="shared" si="15"/>
        <v/>
      </c>
      <c r="L171" s="536" t="str">
        <f t="shared" si="8"/>
        <v/>
      </c>
      <c r="M171" s="536" t="str">
        <f t="shared" si="9"/>
        <v/>
      </c>
      <c r="N171" s="194"/>
      <c r="O171" s="263"/>
      <c r="P171" s="45" t="str">
        <f t="shared" si="17"/>
        <v/>
      </c>
      <c r="Q171" s="45" t="str">
        <f t="shared" si="18"/>
        <v/>
      </c>
      <c r="R171" s="45">
        <f t="shared" si="19"/>
        <v>0.70000000000000007</v>
      </c>
      <c r="S171" s="195">
        <v>0</v>
      </c>
      <c r="T171" s="45" t="str">
        <f t="shared" si="20"/>
        <v/>
      </c>
      <c r="U171" s="358" t="str">
        <f t="shared" si="21"/>
        <v/>
      </c>
      <c r="V171" s="359" t="str">
        <f>IF(ISNUMBER(I171),IF('Identificación del Instrumento'!$B$17="periódica",IF(ABS(I171)&lt;=U171,0,1),IF(ABS(L171)&lt;=U171,0,1)),"")</f>
        <v/>
      </c>
      <c r="W171" s="194"/>
      <c r="X171" s="194"/>
      <c r="Y171" s="194"/>
      <c r="Z171" s="194"/>
      <c r="AA171" s="194"/>
      <c r="AB171" s="194"/>
      <c r="AC171" s="73"/>
      <c r="AD171" s="197"/>
      <c r="AE171" s="194"/>
      <c r="AF171" s="194"/>
      <c r="AG171" s="197"/>
      <c r="AH171" s="194"/>
      <c r="AI171" s="72"/>
      <c r="AJ171" s="197"/>
      <c r="AK171" s="197"/>
      <c r="AL171" s="197"/>
      <c r="AM171" s="197"/>
      <c r="AN171" s="197"/>
      <c r="AO171" s="194"/>
      <c r="AP171" s="194"/>
      <c r="AQ171" s="194"/>
      <c r="AR171" s="194"/>
      <c r="AS171" s="194"/>
      <c r="AT171" s="194"/>
      <c r="AU171" s="194"/>
      <c r="AV171" s="194"/>
      <c r="AW171" s="194"/>
      <c r="AX171" s="194"/>
      <c r="AY171" s="194"/>
      <c r="AZ171" s="194"/>
      <c r="BA171" s="194"/>
      <c r="BB171" s="194"/>
      <c r="BC171" s="194"/>
      <c r="BD171" s="194"/>
      <c r="BE171" s="194"/>
      <c r="BF171" s="194"/>
      <c r="BG171" s="194"/>
      <c r="BH171" s="194"/>
      <c r="BI171" s="194"/>
      <c r="BJ171" s="194"/>
      <c r="BK171" s="194"/>
      <c r="BL171" s="194"/>
      <c r="BM171" s="194"/>
      <c r="BN171" s="194"/>
      <c r="BO171" s="194"/>
      <c r="BP171" s="194"/>
      <c r="BQ171" s="194"/>
      <c r="BR171" s="194"/>
      <c r="BS171" s="194"/>
      <c r="BT171" s="194"/>
      <c r="BU171" s="194"/>
      <c r="BV171" s="194"/>
      <c r="BW171" s="194"/>
      <c r="BX171" s="194"/>
      <c r="BY171" s="194"/>
      <c r="BZ171" s="194"/>
      <c r="CA171" s="194"/>
      <c r="CB171" s="194"/>
      <c r="CC171" s="194"/>
      <c r="CD171" s="194"/>
      <c r="CE171" s="194"/>
      <c r="CF171" s="194"/>
      <c r="CG171" s="194"/>
      <c r="CH171" s="194"/>
      <c r="CI171" s="194"/>
      <c r="CJ171" s="194"/>
      <c r="CK171" s="194"/>
      <c r="CL171" s="194"/>
      <c r="CM171" s="194"/>
      <c r="CN171" s="194"/>
      <c r="CO171" s="194"/>
      <c r="CP171" s="194"/>
      <c r="CQ171" s="194"/>
      <c r="CR171" s="194"/>
      <c r="CS171" s="194"/>
      <c r="CT171" s="194"/>
      <c r="CU171" s="194"/>
      <c r="CV171" s="194"/>
      <c r="CW171" s="194"/>
      <c r="CX171" s="194"/>
      <c r="CY171" s="194"/>
      <c r="CZ171" s="194"/>
      <c r="DA171" s="194"/>
      <c r="DB171" s="194"/>
      <c r="DC171" s="194"/>
      <c r="DD171" s="194"/>
      <c r="DE171" s="194"/>
      <c r="DF171" s="194"/>
      <c r="DG171" s="194"/>
      <c r="DH171" s="194"/>
      <c r="DI171" s="194"/>
      <c r="DJ171" s="194"/>
      <c r="DK171" s="194"/>
      <c r="DL171" s="194"/>
      <c r="DM171" s="194"/>
      <c r="DN171" s="194"/>
      <c r="DO171" s="194"/>
      <c r="DP171" s="194"/>
      <c r="DQ171" s="194"/>
      <c r="DR171" s="194"/>
      <c r="DS171" s="194"/>
      <c r="DT171" s="194"/>
      <c r="DU171" s="194"/>
      <c r="DV171" s="194"/>
      <c r="DW171" s="194"/>
      <c r="DX171" s="194"/>
      <c r="DY171" s="194"/>
      <c r="DZ171" s="194"/>
      <c r="EA171" s="194"/>
      <c r="EB171" s="194"/>
      <c r="EC171" s="194"/>
      <c r="ED171" s="194"/>
      <c r="EE171" s="194"/>
      <c r="EF171" s="194"/>
      <c r="EG171" s="194"/>
      <c r="EH171" s="194"/>
      <c r="EI171" s="194"/>
      <c r="EJ171" s="194"/>
      <c r="EK171" s="194"/>
      <c r="EL171" s="194"/>
      <c r="EM171" s="194"/>
      <c r="EN171" s="194"/>
      <c r="EO171" s="194"/>
      <c r="EP171" s="194"/>
    </row>
    <row r="172" spans="1:146" s="199" customFormat="1" ht="16.5" customHeight="1" thickBot="1" x14ac:dyDescent="0.3">
      <c r="A172" s="194"/>
      <c r="B172" s="194">
        <v>29</v>
      </c>
      <c r="C172" s="194"/>
      <c r="D172" s="698"/>
      <c r="E172" s="537"/>
      <c r="F172" s="539" t="str">
        <f>IF(ISNUMBER(E172),IF('Identificación del Instrumento'!$F$17="PRIMITIVA","",IF($G$59="DISCONTINUA",$E$84/2,0)),"")</f>
        <v/>
      </c>
      <c r="G172" s="537"/>
      <c r="H172" s="539" t="str">
        <f>IF(ISNUMBER(G172),IF('Identificación del Instrumento'!$F$17="PRIMITIVA","",IF($G$59="DISCONTINUA",$E$84/2,0)),"")</f>
        <v/>
      </c>
      <c r="I172" s="536" t="str">
        <f t="shared" si="6"/>
        <v/>
      </c>
      <c r="J172" s="536" t="str">
        <f t="shared" si="7"/>
        <v/>
      </c>
      <c r="K172" s="536" t="str">
        <f t="shared" si="15"/>
        <v/>
      </c>
      <c r="L172" s="536" t="str">
        <f t="shared" si="8"/>
        <v/>
      </c>
      <c r="M172" s="536" t="str">
        <f t="shared" si="9"/>
        <v/>
      </c>
      <c r="N172" s="194"/>
      <c r="O172" s="263"/>
      <c r="P172" s="45" t="str">
        <f t="shared" si="17"/>
        <v/>
      </c>
      <c r="Q172" s="45" t="str">
        <f t="shared" si="18"/>
        <v/>
      </c>
      <c r="R172" s="45">
        <f t="shared" si="19"/>
        <v>0.72500000000000009</v>
      </c>
      <c r="S172" s="195">
        <v>0</v>
      </c>
      <c r="T172" s="45" t="str">
        <f t="shared" si="20"/>
        <v/>
      </c>
      <c r="U172" s="358" t="str">
        <f t="shared" si="21"/>
        <v/>
      </c>
      <c r="V172" s="359" t="str">
        <f>IF(ISNUMBER(I172),IF('Identificación del Instrumento'!$B$17="periódica",IF(ABS(I172)&lt;=U172,0,1),IF(ABS(L172)&lt;=U172,0,1)),"")</f>
        <v/>
      </c>
      <c r="W172" s="194"/>
      <c r="X172" s="194"/>
      <c r="Y172" s="194"/>
      <c r="Z172" s="194"/>
      <c r="AA172" s="194"/>
      <c r="AB172" s="194"/>
      <c r="AC172" s="73"/>
      <c r="AD172" s="197"/>
      <c r="AE172" s="194"/>
      <c r="AF172" s="194"/>
      <c r="AG172" s="197"/>
      <c r="AH172" s="194"/>
      <c r="AI172" s="72"/>
      <c r="AJ172" s="197"/>
      <c r="AK172" s="197"/>
      <c r="AL172" s="197"/>
      <c r="AM172" s="197"/>
      <c r="AN172" s="197"/>
      <c r="AO172" s="194"/>
      <c r="AP172" s="194"/>
      <c r="AQ172" s="194"/>
      <c r="AR172" s="194"/>
      <c r="AS172" s="194"/>
      <c r="AT172" s="194"/>
      <c r="AU172" s="194"/>
      <c r="AV172" s="194"/>
      <c r="AW172" s="194"/>
      <c r="AX172" s="194"/>
      <c r="AY172" s="194"/>
      <c r="AZ172" s="194"/>
      <c r="BA172" s="194"/>
      <c r="BB172" s="194"/>
      <c r="BC172" s="194"/>
      <c r="BD172" s="194"/>
      <c r="BE172" s="194"/>
      <c r="BF172" s="194"/>
      <c r="BG172" s="194"/>
      <c r="BH172" s="194"/>
      <c r="BI172" s="194"/>
      <c r="BJ172" s="194"/>
      <c r="BK172" s="194"/>
      <c r="BL172" s="194"/>
      <c r="BM172" s="194"/>
      <c r="BN172" s="194"/>
      <c r="BO172" s="194"/>
      <c r="BP172" s="194"/>
      <c r="BQ172" s="194"/>
      <c r="BR172" s="194"/>
      <c r="BS172" s="194"/>
      <c r="BT172" s="194"/>
      <c r="BU172" s="194"/>
      <c r="BV172" s="194"/>
      <c r="BW172" s="194"/>
      <c r="BX172" s="194"/>
      <c r="BY172" s="194"/>
      <c r="BZ172" s="194"/>
      <c r="CA172" s="194"/>
      <c r="CB172" s="194"/>
      <c r="CC172" s="194"/>
      <c r="CD172" s="194"/>
      <c r="CE172" s="194"/>
      <c r="CF172" s="194"/>
      <c r="CG172" s="194"/>
      <c r="CH172" s="194"/>
      <c r="CI172" s="194"/>
      <c r="CJ172" s="194"/>
      <c r="CK172" s="194"/>
      <c r="CL172" s="194"/>
      <c r="CM172" s="194"/>
      <c r="CN172" s="194"/>
      <c r="CO172" s="194"/>
      <c r="CP172" s="194"/>
      <c r="CQ172" s="194"/>
      <c r="CR172" s="194"/>
      <c r="CS172" s="194"/>
      <c r="CT172" s="194"/>
      <c r="CU172" s="194"/>
      <c r="CV172" s="194"/>
      <c r="CW172" s="194"/>
      <c r="CX172" s="194"/>
      <c r="CY172" s="194"/>
      <c r="CZ172" s="194"/>
      <c r="DA172" s="194"/>
      <c r="DB172" s="194"/>
      <c r="DC172" s="194"/>
      <c r="DD172" s="194"/>
      <c r="DE172" s="194"/>
      <c r="DF172" s="194"/>
      <c r="DG172" s="194"/>
      <c r="DH172" s="194"/>
      <c r="DI172" s="194"/>
      <c r="DJ172" s="194"/>
      <c r="DK172" s="194"/>
      <c r="DL172" s="194"/>
      <c r="DM172" s="194"/>
      <c r="DN172" s="194"/>
      <c r="DO172" s="194"/>
      <c r="DP172" s="194"/>
      <c r="DQ172" s="194"/>
      <c r="DR172" s="194"/>
      <c r="DS172" s="194"/>
      <c r="DT172" s="194"/>
      <c r="DU172" s="194"/>
      <c r="DV172" s="194"/>
      <c r="DW172" s="194"/>
      <c r="DX172" s="194"/>
      <c r="DY172" s="194"/>
      <c r="DZ172" s="194"/>
      <c r="EA172" s="194"/>
      <c r="EB172" s="194"/>
      <c r="EC172" s="194"/>
      <c r="ED172" s="194"/>
      <c r="EE172" s="194"/>
      <c r="EF172" s="194"/>
      <c r="EG172" s="194"/>
      <c r="EH172" s="194"/>
      <c r="EI172" s="194"/>
      <c r="EJ172" s="194"/>
      <c r="EK172" s="194"/>
      <c r="EL172" s="194"/>
      <c r="EM172" s="194"/>
      <c r="EN172" s="194"/>
      <c r="EO172" s="194"/>
      <c r="EP172" s="194"/>
    </row>
    <row r="173" spans="1:146" s="199" customFormat="1" ht="16.5" customHeight="1" thickBot="1" x14ac:dyDescent="0.3">
      <c r="A173" s="194"/>
      <c r="B173" s="194">
        <v>30</v>
      </c>
      <c r="C173" s="194"/>
      <c r="D173" s="698"/>
      <c r="E173" s="537"/>
      <c r="F173" s="539" t="str">
        <f>IF(ISNUMBER(E173),IF('Identificación del Instrumento'!$F$17="PRIMITIVA","",IF($G$59="DISCONTINUA",$E$84/2,0)),"")</f>
        <v/>
      </c>
      <c r="G173" s="537"/>
      <c r="H173" s="539" t="str">
        <f>IF(ISNUMBER(G173),IF('Identificación del Instrumento'!$F$17="PRIMITIVA","",IF($G$59="DISCONTINUA",$E$84/2,0)),"")</f>
        <v/>
      </c>
      <c r="I173" s="536" t="str">
        <f t="shared" si="6"/>
        <v/>
      </c>
      <c r="J173" s="536" t="str">
        <f t="shared" si="7"/>
        <v/>
      </c>
      <c r="K173" s="536" t="str">
        <f t="shared" si="15"/>
        <v/>
      </c>
      <c r="L173" s="536" t="str">
        <f t="shared" si="8"/>
        <v/>
      </c>
      <c r="M173" s="536" t="str">
        <f t="shared" si="9"/>
        <v/>
      </c>
      <c r="N173" s="194"/>
      <c r="O173" s="263"/>
      <c r="P173" s="45" t="str">
        <f t="shared" si="17"/>
        <v/>
      </c>
      <c r="Q173" s="45" t="str">
        <f t="shared" si="18"/>
        <v/>
      </c>
      <c r="R173" s="45">
        <f t="shared" si="19"/>
        <v>0.75</v>
      </c>
      <c r="S173" s="195">
        <v>0</v>
      </c>
      <c r="T173" s="45" t="str">
        <f t="shared" si="20"/>
        <v/>
      </c>
      <c r="U173" s="358" t="str">
        <f t="shared" si="21"/>
        <v/>
      </c>
      <c r="V173" s="359" t="str">
        <f>IF(ISNUMBER(I173),IF('Identificación del Instrumento'!$B$17="periódica",IF(ABS(I173)&lt;=U173,0,1),IF(ABS(L173)&lt;=U173,0,1)),"")</f>
        <v/>
      </c>
      <c r="W173" s="194"/>
      <c r="X173" s="194"/>
      <c r="Y173" s="194"/>
      <c r="Z173" s="194"/>
      <c r="AA173" s="194"/>
      <c r="AB173" s="194"/>
      <c r="AC173" s="73"/>
      <c r="AD173" s="197"/>
      <c r="AE173" s="194"/>
      <c r="AF173" s="194"/>
      <c r="AG173" s="197"/>
      <c r="AH173" s="194"/>
      <c r="AI173" s="72"/>
      <c r="AJ173" s="197"/>
      <c r="AK173" s="197"/>
      <c r="AL173" s="197"/>
      <c r="AM173" s="197"/>
      <c r="AN173" s="197"/>
      <c r="AO173" s="194"/>
      <c r="AP173" s="194"/>
      <c r="AQ173" s="194"/>
      <c r="AR173" s="194"/>
      <c r="AS173" s="194"/>
      <c r="AT173" s="194"/>
      <c r="AU173" s="194"/>
      <c r="AV173" s="194"/>
      <c r="AW173" s="194"/>
      <c r="AX173" s="194"/>
      <c r="AY173" s="194"/>
      <c r="AZ173" s="194"/>
      <c r="BA173" s="194"/>
      <c r="BB173" s="194"/>
      <c r="BC173" s="194"/>
      <c r="BD173" s="194"/>
      <c r="BE173" s="194"/>
      <c r="BF173" s="194"/>
      <c r="BG173" s="194"/>
      <c r="BH173" s="194"/>
      <c r="BI173" s="194"/>
      <c r="BJ173" s="194"/>
      <c r="BK173" s="194"/>
      <c r="BL173" s="194"/>
      <c r="BM173" s="194"/>
      <c r="BN173" s="194"/>
      <c r="BO173" s="194"/>
      <c r="BP173" s="194"/>
      <c r="BQ173" s="194"/>
      <c r="BR173" s="194"/>
      <c r="BS173" s="194"/>
      <c r="BT173" s="194"/>
      <c r="BU173" s="194"/>
      <c r="BV173" s="194"/>
      <c r="BW173" s="194"/>
      <c r="BX173" s="194"/>
      <c r="BY173" s="194"/>
      <c r="BZ173" s="194"/>
      <c r="CA173" s="194"/>
      <c r="CB173" s="194"/>
      <c r="CC173" s="194"/>
      <c r="CD173" s="194"/>
      <c r="CE173" s="194"/>
      <c r="CF173" s="194"/>
      <c r="CG173" s="194"/>
      <c r="CH173" s="194"/>
      <c r="CI173" s="194"/>
      <c r="CJ173" s="194"/>
      <c r="CK173" s="194"/>
      <c r="CL173" s="194"/>
      <c r="CM173" s="194"/>
      <c r="CN173" s="194"/>
      <c r="CO173" s="194"/>
      <c r="CP173" s="194"/>
      <c r="CQ173" s="194"/>
      <c r="CR173" s="194"/>
      <c r="CS173" s="194"/>
      <c r="CT173" s="194"/>
      <c r="CU173" s="194"/>
      <c r="CV173" s="194"/>
      <c r="CW173" s="194"/>
      <c r="CX173" s="194"/>
      <c r="CY173" s="194"/>
      <c r="CZ173" s="194"/>
      <c r="DA173" s="194"/>
      <c r="DB173" s="194"/>
      <c r="DC173" s="194"/>
      <c r="DD173" s="194"/>
      <c r="DE173" s="194"/>
      <c r="DF173" s="194"/>
      <c r="DG173" s="194"/>
      <c r="DH173" s="194"/>
      <c r="DI173" s="194"/>
      <c r="DJ173" s="194"/>
      <c r="DK173" s="194"/>
      <c r="DL173" s="194"/>
      <c r="DM173" s="194"/>
      <c r="DN173" s="194"/>
      <c r="DO173" s="194"/>
      <c r="DP173" s="194"/>
      <c r="DQ173" s="194"/>
      <c r="DR173" s="194"/>
      <c r="DS173" s="194"/>
      <c r="DT173" s="194"/>
      <c r="DU173" s="194"/>
      <c r="DV173" s="194"/>
      <c r="DW173" s="194"/>
      <c r="DX173" s="194"/>
      <c r="DY173" s="194"/>
      <c r="DZ173" s="194"/>
      <c r="EA173" s="194"/>
      <c r="EB173" s="194"/>
      <c r="EC173" s="194"/>
      <c r="ED173" s="194"/>
      <c r="EE173" s="194"/>
      <c r="EF173" s="194"/>
      <c r="EG173" s="194"/>
      <c r="EH173" s="194"/>
      <c r="EI173" s="194"/>
      <c r="EJ173" s="194"/>
      <c r="EK173" s="194"/>
      <c r="EL173" s="194"/>
      <c r="EM173" s="194"/>
      <c r="EN173" s="194"/>
      <c r="EO173" s="194"/>
      <c r="EP173" s="194"/>
    </row>
    <row r="174" spans="1:146" s="199" customFormat="1" ht="16.5" customHeight="1" thickBot="1" x14ac:dyDescent="0.3">
      <c r="A174" s="194"/>
      <c r="B174" s="194">
        <v>31</v>
      </c>
      <c r="C174" s="194"/>
      <c r="D174" s="698"/>
      <c r="E174" s="537"/>
      <c r="F174" s="539" t="str">
        <f>IF(ISNUMBER(E174),IF('Identificación del Instrumento'!$F$17="PRIMITIVA","",IF($G$59="DISCONTINUA",$E$84/2,0)),"")</f>
        <v/>
      </c>
      <c r="G174" s="537"/>
      <c r="H174" s="539" t="str">
        <f>IF(ISNUMBER(G174),IF('Identificación del Instrumento'!$F$17="PRIMITIVA","",IF($G$59="DISCONTINUA",$E$84/2,0)),"")</f>
        <v/>
      </c>
      <c r="I174" s="536" t="str">
        <f t="shared" si="6"/>
        <v/>
      </c>
      <c r="J174" s="536" t="str">
        <f t="shared" si="7"/>
        <v/>
      </c>
      <c r="K174" s="536" t="str">
        <f t="shared" si="15"/>
        <v/>
      </c>
      <c r="L174" s="536" t="str">
        <f t="shared" si="8"/>
        <v/>
      </c>
      <c r="M174" s="536" t="str">
        <f t="shared" si="9"/>
        <v/>
      </c>
      <c r="N174" s="194"/>
      <c r="O174" s="263"/>
      <c r="P174" s="45" t="str">
        <f t="shared" si="17"/>
        <v/>
      </c>
      <c r="Q174" s="45" t="str">
        <f t="shared" si="18"/>
        <v/>
      </c>
      <c r="R174" s="45">
        <f t="shared" si="19"/>
        <v>0.77500000000000002</v>
      </c>
      <c r="S174" s="195">
        <v>0</v>
      </c>
      <c r="T174" s="45" t="str">
        <f t="shared" si="20"/>
        <v/>
      </c>
      <c r="U174" s="358" t="str">
        <f t="shared" si="21"/>
        <v/>
      </c>
      <c r="V174" s="359" t="str">
        <f>IF(ISNUMBER(I174),IF('Identificación del Instrumento'!$B$17="periódica",IF(ABS(I174)&lt;=U174,0,1),IF(ABS(L174)&lt;=U174,0,1)),"")</f>
        <v/>
      </c>
      <c r="W174" s="194"/>
      <c r="X174" s="194"/>
      <c r="Y174" s="194"/>
      <c r="Z174" s="194"/>
      <c r="AA174" s="194"/>
      <c r="AB174" s="194"/>
      <c r="AC174" s="73"/>
      <c r="AD174" s="197"/>
      <c r="AE174" s="194"/>
      <c r="AF174" s="194"/>
      <c r="AG174" s="197"/>
      <c r="AH174" s="194"/>
      <c r="AI174" s="72"/>
      <c r="AJ174" s="197"/>
      <c r="AK174" s="197"/>
      <c r="AL174" s="197"/>
      <c r="AM174" s="197"/>
      <c r="AN174" s="197"/>
      <c r="AO174" s="194"/>
      <c r="AP174" s="194"/>
      <c r="AQ174" s="194"/>
      <c r="AR174" s="194"/>
      <c r="AS174" s="194"/>
      <c r="AT174" s="194"/>
      <c r="AU174" s="194"/>
      <c r="AV174" s="194"/>
      <c r="AW174" s="194"/>
      <c r="AX174" s="194"/>
      <c r="AY174" s="194"/>
      <c r="AZ174" s="194"/>
      <c r="BA174" s="194"/>
      <c r="BB174" s="194"/>
      <c r="BC174" s="194"/>
      <c r="BD174" s="194"/>
      <c r="BE174" s="194"/>
      <c r="BF174" s="194"/>
      <c r="BG174" s="194"/>
      <c r="BH174" s="194"/>
      <c r="BI174" s="194"/>
      <c r="BJ174" s="194"/>
      <c r="BK174" s="194"/>
      <c r="BL174" s="194"/>
      <c r="BM174" s="194"/>
      <c r="BN174" s="194"/>
      <c r="BO174" s="194"/>
      <c r="BP174" s="194"/>
      <c r="BQ174" s="194"/>
      <c r="BR174" s="194"/>
      <c r="BS174" s="194"/>
      <c r="BT174" s="194"/>
      <c r="BU174" s="194"/>
      <c r="BV174" s="194"/>
      <c r="BW174" s="194"/>
      <c r="BX174" s="194"/>
      <c r="BY174" s="194"/>
      <c r="BZ174" s="194"/>
      <c r="CA174" s="194"/>
      <c r="CB174" s="194"/>
      <c r="CC174" s="194"/>
      <c r="CD174" s="194"/>
      <c r="CE174" s="194"/>
      <c r="CF174" s="194"/>
      <c r="CG174" s="194"/>
      <c r="CH174" s="194"/>
      <c r="CI174" s="194"/>
      <c r="CJ174" s="194"/>
      <c r="CK174" s="194"/>
      <c r="CL174" s="194"/>
      <c r="CM174" s="194"/>
      <c r="CN174" s="194"/>
      <c r="CO174" s="194"/>
      <c r="CP174" s="194"/>
      <c r="CQ174" s="194"/>
      <c r="CR174" s="194"/>
      <c r="CS174" s="194"/>
      <c r="CT174" s="194"/>
      <c r="CU174" s="194"/>
      <c r="CV174" s="194"/>
      <c r="CW174" s="194"/>
      <c r="CX174" s="194"/>
      <c r="CY174" s="194"/>
      <c r="CZ174" s="194"/>
      <c r="DA174" s="194"/>
      <c r="DB174" s="194"/>
      <c r="DC174" s="194"/>
      <c r="DD174" s="194"/>
      <c r="DE174" s="194"/>
      <c r="DF174" s="194"/>
      <c r="DG174" s="194"/>
      <c r="DH174" s="194"/>
      <c r="DI174" s="194"/>
      <c r="DJ174" s="194"/>
      <c r="DK174" s="194"/>
      <c r="DL174" s="194"/>
      <c r="DM174" s="194"/>
      <c r="DN174" s="194"/>
      <c r="DO174" s="194"/>
      <c r="DP174" s="194"/>
      <c r="DQ174" s="194"/>
      <c r="DR174" s="194"/>
      <c r="DS174" s="194"/>
      <c r="DT174" s="194"/>
      <c r="DU174" s="194"/>
      <c r="DV174" s="194"/>
      <c r="DW174" s="194"/>
      <c r="DX174" s="194"/>
      <c r="DY174" s="194"/>
      <c r="DZ174" s="194"/>
      <c r="EA174" s="194"/>
      <c r="EB174" s="194"/>
      <c r="EC174" s="194"/>
      <c r="ED174" s="194"/>
      <c r="EE174" s="194"/>
      <c r="EF174" s="194"/>
      <c r="EG174" s="194"/>
      <c r="EH174" s="194"/>
      <c r="EI174" s="194"/>
      <c r="EJ174" s="194"/>
      <c r="EK174" s="194"/>
      <c r="EL174" s="194"/>
      <c r="EM174" s="194"/>
      <c r="EN174" s="194"/>
      <c r="EO174" s="194"/>
      <c r="EP174" s="194"/>
    </row>
    <row r="175" spans="1:146" s="199" customFormat="1" ht="16.5" customHeight="1" thickBot="1" x14ac:dyDescent="0.3">
      <c r="A175" s="194"/>
      <c r="B175" s="194">
        <v>32</v>
      </c>
      <c r="C175" s="194"/>
      <c r="D175" s="698"/>
      <c r="E175" s="537"/>
      <c r="F175" s="539" t="str">
        <f>IF(ISNUMBER(E175),IF('Identificación del Instrumento'!$F$17="PRIMITIVA","",IF($G$59="DISCONTINUA",$E$84/2,0)),"")</f>
        <v/>
      </c>
      <c r="G175" s="537"/>
      <c r="H175" s="539" t="str">
        <f>IF(ISNUMBER(G175),IF('Identificación del Instrumento'!$F$17="PRIMITIVA","",IF($G$59="DISCONTINUA",$E$84/2,0)),"")</f>
        <v/>
      </c>
      <c r="I175" s="536" t="str">
        <f t="shared" si="6"/>
        <v/>
      </c>
      <c r="J175" s="536" t="str">
        <f t="shared" si="7"/>
        <v/>
      </c>
      <c r="K175" s="536" t="str">
        <f t="shared" si="15"/>
        <v/>
      </c>
      <c r="L175" s="536" t="str">
        <f t="shared" si="8"/>
        <v/>
      </c>
      <c r="M175" s="536" t="str">
        <f t="shared" si="9"/>
        <v/>
      </c>
      <c r="N175" s="194"/>
      <c r="O175" s="263"/>
      <c r="P175" s="45" t="str">
        <f t="shared" si="17"/>
        <v/>
      </c>
      <c r="Q175" s="45" t="str">
        <f t="shared" si="18"/>
        <v/>
      </c>
      <c r="R175" s="45">
        <f t="shared" si="19"/>
        <v>0.8</v>
      </c>
      <c r="S175" s="195">
        <v>0</v>
      </c>
      <c r="T175" s="45" t="str">
        <f t="shared" si="20"/>
        <v/>
      </c>
      <c r="U175" s="358" t="str">
        <f t="shared" si="21"/>
        <v/>
      </c>
      <c r="V175" s="359" t="str">
        <f>IF(ISNUMBER(I175),IF('Identificación del Instrumento'!$B$17="periódica",IF(ABS(I175)&lt;=U175,0,1),IF(ABS(L175)&lt;=U175,0,1)),"")</f>
        <v/>
      </c>
      <c r="W175" s="194"/>
      <c r="X175" s="194"/>
      <c r="Y175" s="194"/>
      <c r="Z175" s="194"/>
      <c r="AA175" s="194"/>
      <c r="AB175" s="194"/>
      <c r="AC175" s="73"/>
      <c r="AD175" s="197"/>
      <c r="AE175" s="194"/>
      <c r="AF175" s="194"/>
      <c r="AG175" s="197"/>
      <c r="AH175" s="194"/>
      <c r="AI175" s="72"/>
      <c r="AJ175" s="197"/>
      <c r="AK175" s="197"/>
      <c r="AL175" s="197"/>
      <c r="AM175" s="197"/>
      <c r="AN175" s="197"/>
      <c r="AO175" s="194"/>
      <c r="AP175" s="194"/>
      <c r="AQ175" s="194"/>
      <c r="AR175" s="194"/>
      <c r="AS175" s="194"/>
      <c r="AT175" s="194"/>
      <c r="AU175" s="194"/>
      <c r="AV175" s="194"/>
      <c r="AW175" s="194"/>
      <c r="AX175" s="194"/>
      <c r="AY175" s="194"/>
      <c r="AZ175" s="194"/>
      <c r="BA175" s="194"/>
      <c r="BB175" s="194"/>
      <c r="BC175" s="194"/>
      <c r="BD175" s="194"/>
      <c r="BE175" s="194"/>
      <c r="BF175" s="194"/>
      <c r="BG175" s="194"/>
      <c r="BH175" s="194"/>
      <c r="BI175" s="194"/>
      <c r="BJ175" s="194"/>
      <c r="BK175" s="194"/>
      <c r="BL175" s="194"/>
      <c r="BM175" s="194"/>
      <c r="BN175" s="194"/>
      <c r="BO175" s="194"/>
      <c r="BP175" s="194"/>
      <c r="BQ175" s="194"/>
      <c r="BR175" s="194"/>
      <c r="BS175" s="194"/>
      <c r="BT175" s="194"/>
      <c r="BU175" s="194"/>
      <c r="BV175" s="194"/>
      <c r="BW175" s="194"/>
      <c r="BX175" s="194"/>
      <c r="BY175" s="194"/>
      <c r="BZ175" s="194"/>
      <c r="CA175" s="194"/>
      <c r="CB175" s="194"/>
      <c r="CC175" s="194"/>
      <c r="CD175" s="194"/>
      <c r="CE175" s="194"/>
      <c r="CF175" s="194"/>
      <c r="CG175" s="194"/>
      <c r="CH175" s="194"/>
      <c r="CI175" s="194"/>
      <c r="CJ175" s="194"/>
      <c r="CK175" s="194"/>
      <c r="CL175" s="194"/>
      <c r="CM175" s="194"/>
      <c r="CN175" s="194"/>
      <c r="CO175" s="194"/>
      <c r="CP175" s="194"/>
      <c r="CQ175" s="194"/>
      <c r="CR175" s="194"/>
      <c r="CS175" s="194"/>
      <c r="CT175" s="194"/>
      <c r="CU175" s="194"/>
      <c r="CV175" s="194"/>
      <c r="CW175" s="194"/>
      <c r="CX175" s="194"/>
      <c r="CY175" s="194"/>
      <c r="CZ175" s="194"/>
      <c r="DA175" s="194"/>
      <c r="DB175" s="194"/>
      <c r="DC175" s="194"/>
      <c r="DD175" s="194"/>
      <c r="DE175" s="194"/>
      <c r="DF175" s="194"/>
      <c r="DG175" s="194"/>
      <c r="DH175" s="194"/>
      <c r="DI175" s="194"/>
      <c r="DJ175" s="194"/>
      <c r="DK175" s="194"/>
      <c r="DL175" s="194"/>
      <c r="DM175" s="194"/>
      <c r="DN175" s="194"/>
      <c r="DO175" s="194"/>
      <c r="DP175" s="194"/>
      <c r="DQ175" s="194"/>
      <c r="DR175" s="194"/>
      <c r="DS175" s="194"/>
      <c r="DT175" s="194"/>
      <c r="DU175" s="194"/>
      <c r="DV175" s="194"/>
      <c r="DW175" s="194"/>
      <c r="DX175" s="194"/>
      <c r="DY175" s="194"/>
      <c r="DZ175" s="194"/>
      <c r="EA175" s="194"/>
      <c r="EB175" s="194"/>
      <c r="EC175" s="194"/>
      <c r="ED175" s="194"/>
      <c r="EE175" s="194"/>
      <c r="EF175" s="194"/>
      <c r="EG175" s="194"/>
      <c r="EH175" s="194"/>
      <c r="EI175" s="194"/>
      <c r="EJ175" s="194"/>
      <c r="EK175" s="194"/>
      <c r="EL175" s="194"/>
      <c r="EM175" s="194"/>
      <c r="EN175" s="194"/>
      <c r="EO175" s="194"/>
      <c r="EP175" s="194"/>
    </row>
    <row r="176" spans="1:146" s="199" customFormat="1" ht="16.5" customHeight="1" thickBot="1" x14ac:dyDescent="0.3">
      <c r="A176" s="194"/>
      <c r="B176" s="194">
        <v>33</v>
      </c>
      <c r="C176" s="194"/>
      <c r="D176" s="698"/>
      <c r="E176" s="537"/>
      <c r="F176" s="539" t="str">
        <f>IF(ISNUMBER(E176),IF('Identificación del Instrumento'!$F$17="PRIMITIVA","",IF($G$59="DISCONTINUA",$E$84/2,0)),"")</f>
        <v/>
      </c>
      <c r="G176" s="537"/>
      <c r="H176" s="539" t="str">
        <f>IF(ISNUMBER(G176),IF('Identificación del Instrumento'!$F$17="PRIMITIVA","",IF($G$59="DISCONTINUA",$E$84/2,0)),"")</f>
        <v/>
      </c>
      <c r="I176" s="536" t="str">
        <f t="shared" si="6"/>
        <v/>
      </c>
      <c r="J176" s="536" t="str">
        <f t="shared" si="7"/>
        <v/>
      </c>
      <c r="K176" s="536" t="str">
        <f t="shared" si="15"/>
        <v/>
      </c>
      <c r="L176" s="536" t="str">
        <f t="shared" si="8"/>
        <v/>
      </c>
      <c r="M176" s="536" t="str">
        <f t="shared" si="9"/>
        <v/>
      </c>
      <c r="N176" s="194"/>
      <c r="O176" s="263"/>
      <c r="P176" s="45" t="str">
        <f t="shared" si="17"/>
        <v/>
      </c>
      <c r="Q176" s="45" t="str">
        <f t="shared" si="18"/>
        <v/>
      </c>
      <c r="R176" s="45">
        <f t="shared" si="19"/>
        <v>0.82500000000000007</v>
      </c>
      <c r="S176" s="195">
        <v>0</v>
      </c>
      <c r="T176" s="45" t="str">
        <f t="shared" si="20"/>
        <v/>
      </c>
      <c r="U176" s="358" t="str">
        <f t="shared" si="21"/>
        <v/>
      </c>
      <c r="V176" s="359" t="str">
        <f>IF(ISNUMBER(I176),IF('Identificación del Instrumento'!$B$17="periódica",IF(ABS(I176)&lt;=U176,0,1),IF(ABS(L176)&lt;=U176,0,1)),"")</f>
        <v/>
      </c>
      <c r="W176" s="194"/>
      <c r="X176" s="194"/>
      <c r="Y176" s="194"/>
      <c r="Z176" s="194"/>
      <c r="AA176" s="194"/>
      <c r="AB176" s="194"/>
      <c r="AC176" s="73"/>
      <c r="AD176" s="197"/>
      <c r="AE176" s="194"/>
      <c r="AF176" s="194"/>
      <c r="AG176" s="197"/>
      <c r="AH176" s="194"/>
      <c r="AI176" s="72"/>
      <c r="AJ176" s="197"/>
      <c r="AK176" s="197"/>
      <c r="AL176" s="197"/>
      <c r="AM176" s="197"/>
      <c r="AN176" s="197"/>
      <c r="AO176" s="194"/>
      <c r="AP176" s="194"/>
      <c r="AQ176" s="194"/>
      <c r="AR176" s="194"/>
      <c r="AS176" s="194"/>
      <c r="AT176" s="194"/>
      <c r="AU176" s="194"/>
      <c r="AV176" s="194"/>
      <c r="AW176" s="194"/>
      <c r="AX176" s="194"/>
      <c r="AY176" s="194"/>
      <c r="AZ176" s="194"/>
      <c r="BA176" s="194"/>
      <c r="BB176" s="194"/>
      <c r="BC176" s="194"/>
      <c r="BD176" s="194"/>
      <c r="BE176" s="194"/>
      <c r="BF176" s="194"/>
      <c r="BG176" s="194"/>
      <c r="BH176" s="194"/>
      <c r="BI176" s="194"/>
      <c r="BJ176" s="194"/>
      <c r="BK176" s="194"/>
      <c r="BL176" s="194"/>
      <c r="BM176" s="194"/>
      <c r="BN176" s="194"/>
      <c r="BO176" s="194"/>
      <c r="BP176" s="194"/>
      <c r="BQ176" s="194"/>
      <c r="BR176" s="194"/>
      <c r="BS176" s="194"/>
      <c r="BT176" s="194"/>
      <c r="BU176" s="194"/>
      <c r="BV176" s="194"/>
      <c r="BW176" s="194"/>
      <c r="BX176" s="194"/>
      <c r="BY176" s="194"/>
      <c r="BZ176" s="194"/>
      <c r="CA176" s="194"/>
      <c r="CB176" s="194"/>
      <c r="CC176" s="194"/>
      <c r="CD176" s="194"/>
      <c r="CE176" s="194"/>
      <c r="CF176" s="194"/>
      <c r="CG176" s="194"/>
      <c r="CH176" s="194"/>
      <c r="CI176" s="194"/>
      <c r="CJ176" s="194"/>
      <c r="CK176" s="194"/>
      <c r="CL176" s="194"/>
      <c r="CM176" s="194"/>
      <c r="CN176" s="194"/>
      <c r="CO176" s="194"/>
      <c r="CP176" s="194"/>
      <c r="CQ176" s="194"/>
      <c r="CR176" s="194"/>
      <c r="CS176" s="194"/>
      <c r="CT176" s="194"/>
      <c r="CU176" s="194"/>
      <c r="CV176" s="194"/>
      <c r="CW176" s="194"/>
      <c r="CX176" s="194"/>
      <c r="CY176" s="194"/>
      <c r="CZ176" s="194"/>
      <c r="DA176" s="194"/>
      <c r="DB176" s="194"/>
      <c r="DC176" s="194"/>
      <c r="DD176" s="194"/>
      <c r="DE176" s="194"/>
      <c r="DF176" s="194"/>
      <c r="DG176" s="194"/>
      <c r="DH176" s="194"/>
      <c r="DI176" s="194"/>
      <c r="DJ176" s="194"/>
      <c r="DK176" s="194"/>
      <c r="DL176" s="194"/>
      <c r="DM176" s="194"/>
      <c r="DN176" s="194"/>
      <c r="DO176" s="194"/>
      <c r="DP176" s="194"/>
      <c r="DQ176" s="194"/>
      <c r="DR176" s="194"/>
      <c r="DS176" s="194"/>
      <c r="DT176" s="194"/>
      <c r="DU176" s="194"/>
      <c r="DV176" s="194"/>
      <c r="DW176" s="194"/>
      <c r="DX176" s="194"/>
      <c r="DY176" s="194"/>
      <c r="DZ176" s="194"/>
      <c r="EA176" s="194"/>
      <c r="EB176" s="194"/>
      <c r="EC176" s="194"/>
      <c r="ED176" s="194"/>
      <c r="EE176" s="194"/>
      <c r="EF176" s="194"/>
      <c r="EG176" s="194"/>
      <c r="EH176" s="194"/>
      <c r="EI176" s="194"/>
      <c r="EJ176" s="194"/>
      <c r="EK176" s="194"/>
      <c r="EL176" s="194"/>
      <c r="EM176" s="194"/>
      <c r="EN176" s="194"/>
      <c r="EO176" s="194"/>
      <c r="EP176" s="194"/>
    </row>
    <row r="177" spans="1:146" s="199" customFormat="1" ht="16.5" customHeight="1" thickBot="1" x14ac:dyDescent="0.3">
      <c r="A177" s="194"/>
      <c r="B177" s="194">
        <v>34</v>
      </c>
      <c r="C177" s="194"/>
      <c r="D177" s="698"/>
      <c r="E177" s="537"/>
      <c r="F177" s="539" t="str">
        <f>IF(ISNUMBER(E177),IF('Identificación del Instrumento'!$F$17="PRIMITIVA","",IF($G$59="DISCONTINUA",$E$84/2,0)),"")</f>
        <v/>
      </c>
      <c r="G177" s="537"/>
      <c r="H177" s="539" t="str">
        <f>IF(ISNUMBER(G177),IF('Identificación del Instrumento'!$F$17="PRIMITIVA","",IF($G$59="DISCONTINUA",$E$84/2,0)),"")</f>
        <v/>
      </c>
      <c r="I177" s="536" t="str">
        <f t="shared" si="6"/>
        <v/>
      </c>
      <c r="J177" s="536" t="str">
        <f t="shared" si="7"/>
        <v/>
      </c>
      <c r="K177" s="536" t="str">
        <f t="shared" si="15"/>
        <v/>
      </c>
      <c r="L177" s="536" t="str">
        <f t="shared" si="8"/>
        <v/>
      </c>
      <c r="M177" s="536" t="str">
        <f t="shared" si="9"/>
        <v/>
      </c>
      <c r="N177" s="194"/>
      <c r="O177" s="263"/>
      <c r="P177" s="45" t="str">
        <f t="shared" si="17"/>
        <v/>
      </c>
      <c r="Q177" s="45" t="str">
        <f t="shared" si="18"/>
        <v/>
      </c>
      <c r="R177" s="45">
        <f t="shared" si="19"/>
        <v>0.85000000000000009</v>
      </c>
      <c r="S177" s="195">
        <v>0</v>
      </c>
      <c r="T177" s="45" t="str">
        <f t="shared" si="20"/>
        <v/>
      </c>
      <c r="U177" s="358" t="str">
        <f t="shared" si="21"/>
        <v/>
      </c>
      <c r="V177" s="359" t="str">
        <f>IF(ISNUMBER(I177),IF('Identificación del Instrumento'!$B$17="periódica",IF(ABS(I177)&lt;=U177,0,1),IF(ABS(L177)&lt;=U177,0,1)),"")</f>
        <v/>
      </c>
      <c r="W177" s="194"/>
      <c r="X177" s="194"/>
      <c r="Y177" s="194"/>
      <c r="Z177" s="194"/>
      <c r="AA177" s="194"/>
      <c r="AB177" s="194"/>
      <c r="AC177" s="73"/>
      <c r="AD177" s="197"/>
      <c r="AE177" s="194"/>
      <c r="AF177" s="194"/>
      <c r="AG177" s="197"/>
      <c r="AH177" s="194"/>
      <c r="AI177" s="72"/>
      <c r="AJ177" s="197"/>
      <c r="AK177" s="197"/>
      <c r="AL177" s="197"/>
      <c r="AM177" s="197"/>
      <c r="AN177" s="197"/>
      <c r="AO177" s="194"/>
      <c r="AP177" s="194"/>
      <c r="AQ177" s="194"/>
      <c r="AR177" s="194"/>
      <c r="AS177" s="194"/>
      <c r="AT177" s="194"/>
      <c r="AU177" s="194"/>
      <c r="AV177" s="194"/>
      <c r="AW177" s="194"/>
      <c r="AX177" s="194"/>
      <c r="AY177" s="194"/>
      <c r="AZ177" s="194"/>
      <c r="BA177" s="194"/>
      <c r="BB177" s="194"/>
      <c r="BC177" s="194"/>
      <c r="BD177" s="194"/>
      <c r="BE177" s="194"/>
      <c r="BF177" s="194"/>
      <c r="BG177" s="194"/>
      <c r="BH177" s="194"/>
      <c r="BI177" s="194"/>
      <c r="BJ177" s="194"/>
      <c r="BK177" s="194"/>
      <c r="BL177" s="194"/>
      <c r="BM177" s="194"/>
      <c r="BN177" s="194"/>
      <c r="BO177" s="194"/>
      <c r="BP177" s="194"/>
      <c r="BQ177" s="194"/>
      <c r="BR177" s="194"/>
      <c r="BS177" s="194"/>
      <c r="BT177" s="194"/>
      <c r="BU177" s="194"/>
      <c r="BV177" s="194"/>
      <c r="BW177" s="194"/>
      <c r="BX177" s="194"/>
      <c r="BY177" s="194"/>
      <c r="BZ177" s="194"/>
      <c r="CA177" s="194"/>
      <c r="CB177" s="194"/>
      <c r="CC177" s="194"/>
      <c r="CD177" s="194"/>
      <c r="CE177" s="194"/>
      <c r="CF177" s="194"/>
      <c r="CG177" s="194"/>
      <c r="CH177" s="194"/>
      <c r="CI177" s="194"/>
      <c r="CJ177" s="194"/>
      <c r="CK177" s="194"/>
      <c r="CL177" s="194"/>
      <c r="CM177" s="194"/>
      <c r="CN177" s="194"/>
      <c r="CO177" s="194"/>
      <c r="CP177" s="194"/>
      <c r="CQ177" s="194"/>
      <c r="CR177" s="194"/>
      <c r="CS177" s="194"/>
      <c r="CT177" s="194"/>
      <c r="CU177" s="194"/>
      <c r="CV177" s="194"/>
      <c r="CW177" s="194"/>
      <c r="CX177" s="194"/>
      <c r="CY177" s="194"/>
      <c r="CZ177" s="194"/>
      <c r="DA177" s="194"/>
      <c r="DB177" s="194"/>
      <c r="DC177" s="194"/>
      <c r="DD177" s="194"/>
      <c r="DE177" s="194"/>
      <c r="DF177" s="194"/>
      <c r="DG177" s="194"/>
      <c r="DH177" s="194"/>
      <c r="DI177" s="194"/>
      <c r="DJ177" s="194"/>
      <c r="DK177" s="194"/>
      <c r="DL177" s="194"/>
      <c r="DM177" s="194"/>
      <c r="DN177" s="194"/>
      <c r="DO177" s="194"/>
      <c r="DP177" s="194"/>
      <c r="DQ177" s="194"/>
      <c r="DR177" s="194"/>
      <c r="DS177" s="194"/>
      <c r="DT177" s="194"/>
      <c r="DU177" s="194"/>
      <c r="DV177" s="194"/>
      <c r="DW177" s="194"/>
      <c r="DX177" s="194"/>
      <c r="DY177" s="194"/>
      <c r="DZ177" s="194"/>
      <c r="EA177" s="194"/>
      <c r="EB177" s="194"/>
      <c r="EC177" s="194"/>
      <c r="ED177" s="194"/>
      <c r="EE177" s="194"/>
      <c r="EF177" s="194"/>
      <c r="EG177" s="194"/>
      <c r="EH177" s="194"/>
      <c r="EI177" s="194"/>
      <c r="EJ177" s="194"/>
      <c r="EK177" s="194"/>
      <c r="EL177" s="194"/>
      <c r="EM177" s="194"/>
      <c r="EN177" s="194"/>
      <c r="EO177" s="194"/>
      <c r="EP177" s="194"/>
    </row>
    <row r="178" spans="1:146" s="199" customFormat="1" ht="16.5" customHeight="1" thickBot="1" x14ac:dyDescent="0.3">
      <c r="A178" s="194"/>
      <c r="B178" s="194">
        <v>35</v>
      </c>
      <c r="C178" s="194"/>
      <c r="D178" s="698"/>
      <c r="E178" s="537"/>
      <c r="F178" s="539" t="str">
        <f>IF(ISNUMBER(E178),IF('Identificación del Instrumento'!$F$17="PRIMITIVA","",IF($G$59="DISCONTINUA",$E$84/2,0)),"")</f>
        <v/>
      </c>
      <c r="G178" s="537"/>
      <c r="H178" s="539" t="str">
        <f>IF(ISNUMBER(G178),IF('Identificación del Instrumento'!$F$17="PRIMITIVA","",IF($G$59="DISCONTINUA",$E$84/2,0)),"")</f>
        <v/>
      </c>
      <c r="I178" s="536" t="str">
        <f t="shared" si="6"/>
        <v/>
      </c>
      <c r="J178" s="536" t="str">
        <f t="shared" si="7"/>
        <v/>
      </c>
      <c r="K178" s="536" t="str">
        <f t="shared" si="15"/>
        <v/>
      </c>
      <c r="L178" s="536" t="str">
        <f t="shared" si="8"/>
        <v/>
      </c>
      <c r="M178" s="536" t="str">
        <f t="shared" si="9"/>
        <v/>
      </c>
      <c r="N178" s="194"/>
      <c r="O178" s="263"/>
      <c r="P178" s="45" t="str">
        <f t="shared" si="17"/>
        <v/>
      </c>
      <c r="Q178" s="45" t="str">
        <f t="shared" si="18"/>
        <v/>
      </c>
      <c r="R178" s="45">
        <f t="shared" si="19"/>
        <v>0.875</v>
      </c>
      <c r="S178" s="195">
        <v>0</v>
      </c>
      <c r="T178" s="45" t="str">
        <f t="shared" si="20"/>
        <v/>
      </c>
      <c r="U178" s="358" t="str">
        <f t="shared" si="21"/>
        <v/>
      </c>
      <c r="V178" s="359" t="str">
        <f>IF(ISNUMBER(I178),IF('Identificación del Instrumento'!$B$17="periódica",IF(ABS(I178)&lt;=U178,0,1),IF(ABS(L178)&lt;=U178,0,1)),"")</f>
        <v/>
      </c>
      <c r="W178" s="194"/>
      <c r="X178" s="194"/>
      <c r="Y178" s="194"/>
      <c r="Z178" s="194"/>
      <c r="AA178" s="194"/>
      <c r="AB178" s="194"/>
      <c r="AC178" s="73"/>
      <c r="AD178" s="197"/>
      <c r="AE178" s="194"/>
      <c r="AF178" s="194"/>
      <c r="AG178" s="197"/>
      <c r="AH178" s="194"/>
      <c r="AI178" s="72"/>
      <c r="AJ178" s="197"/>
      <c r="AK178" s="197"/>
      <c r="AL178" s="197"/>
      <c r="AM178" s="197"/>
      <c r="AN178" s="197"/>
      <c r="AO178" s="194"/>
      <c r="AP178" s="194"/>
      <c r="AQ178" s="194"/>
      <c r="AR178" s="194"/>
      <c r="AS178" s="194"/>
      <c r="AT178" s="194"/>
      <c r="AU178" s="194"/>
      <c r="AV178" s="194"/>
      <c r="AW178" s="194"/>
      <c r="AX178" s="194"/>
      <c r="AY178" s="194"/>
      <c r="AZ178" s="194"/>
      <c r="BA178" s="194"/>
      <c r="BB178" s="194"/>
      <c r="BC178" s="194"/>
      <c r="BD178" s="194"/>
      <c r="BE178" s="194"/>
      <c r="BF178" s="194"/>
      <c r="BG178" s="194"/>
      <c r="BH178" s="194"/>
      <c r="BI178" s="194"/>
      <c r="BJ178" s="194"/>
      <c r="BK178" s="194"/>
      <c r="BL178" s="194"/>
      <c r="BM178" s="194"/>
      <c r="BN178" s="194"/>
      <c r="BO178" s="194"/>
      <c r="BP178" s="194"/>
      <c r="BQ178" s="194"/>
      <c r="BR178" s="194"/>
      <c r="BS178" s="194"/>
      <c r="BT178" s="194"/>
      <c r="BU178" s="194"/>
      <c r="BV178" s="194"/>
      <c r="BW178" s="194"/>
      <c r="BX178" s="194"/>
      <c r="BY178" s="194"/>
      <c r="BZ178" s="194"/>
      <c r="CA178" s="194"/>
      <c r="CB178" s="194"/>
      <c r="CC178" s="194"/>
      <c r="CD178" s="194"/>
      <c r="CE178" s="194"/>
      <c r="CF178" s="194"/>
      <c r="CG178" s="194"/>
      <c r="CH178" s="194"/>
      <c r="CI178" s="194"/>
      <c r="CJ178" s="194"/>
      <c r="CK178" s="194"/>
      <c r="CL178" s="194"/>
      <c r="CM178" s="194"/>
      <c r="CN178" s="194"/>
      <c r="CO178" s="194"/>
      <c r="CP178" s="194"/>
      <c r="CQ178" s="194"/>
      <c r="CR178" s="194"/>
      <c r="CS178" s="194"/>
      <c r="CT178" s="194"/>
      <c r="CU178" s="194"/>
      <c r="CV178" s="194"/>
      <c r="CW178" s="194"/>
      <c r="CX178" s="194"/>
      <c r="CY178" s="194"/>
      <c r="CZ178" s="194"/>
      <c r="DA178" s="194"/>
      <c r="DB178" s="194"/>
      <c r="DC178" s="194"/>
      <c r="DD178" s="194"/>
      <c r="DE178" s="194"/>
      <c r="DF178" s="194"/>
      <c r="DG178" s="194"/>
      <c r="DH178" s="194"/>
      <c r="DI178" s="194"/>
      <c r="DJ178" s="194"/>
      <c r="DK178" s="194"/>
      <c r="DL178" s="194"/>
      <c r="DM178" s="194"/>
      <c r="DN178" s="194"/>
      <c r="DO178" s="194"/>
      <c r="DP178" s="194"/>
      <c r="DQ178" s="194"/>
      <c r="DR178" s="194"/>
      <c r="DS178" s="194"/>
      <c r="DT178" s="194"/>
      <c r="DU178" s="194"/>
      <c r="DV178" s="194"/>
      <c r="DW178" s="194"/>
      <c r="DX178" s="194"/>
      <c r="DY178" s="194"/>
      <c r="DZ178" s="194"/>
      <c r="EA178" s="194"/>
      <c r="EB178" s="194"/>
      <c r="EC178" s="194"/>
      <c r="ED178" s="194"/>
      <c r="EE178" s="194"/>
      <c r="EF178" s="194"/>
      <c r="EG178" s="194"/>
      <c r="EH178" s="194"/>
      <c r="EI178" s="194"/>
      <c r="EJ178" s="194"/>
      <c r="EK178" s="194"/>
      <c r="EL178" s="194"/>
      <c r="EM178" s="194"/>
      <c r="EN178" s="194"/>
      <c r="EO178" s="194"/>
      <c r="EP178" s="194"/>
    </row>
    <row r="179" spans="1:146" s="199" customFormat="1" ht="16.5" customHeight="1" thickBot="1" x14ac:dyDescent="0.3">
      <c r="A179" s="194"/>
      <c r="B179" s="194">
        <v>36</v>
      </c>
      <c r="C179" s="194"/>
      <c r="D179" s="698"/>
      <c r="E179" s="537"/>
      <c r="F179" s="539" t="str">
        <f>IF(ISNUMBER(E179),IF('Identificación del Instrumento'!$F$17="PRIMITIVA","",IF($G$59="DISCONTINUA",$E$84/2,0)),"")</f>
        <v/>
      </c>
      <c r="G179" s="537"/>
      <c r="H179" s="539" t="str">
        <f>IF(ISNUMBER(G179),IF('Identificación del Instrumento'!$F$17="PRIMITIVA","",IF($G$59="DISCONTINUA",$E$84/2,0)),"")</f>
        <v/>
      </c>
      <c r="I179" s="536" t="str">
        <f t="shared" si="6"/>
        <v/>
      </c>
      <c r="J179" s="536" t="str">
        <f t="shared" si="7"/>
        <v/>
      </c>
      <c r="K179" s="536" t="str">
        <f t="shared" si="15"/>
        <v/>
      </c>
      <c r="L179" s="536" t="str">
        <f t="shared" si="8"/>
        <v/>
      </c>
      <c r="M179" s="536" t="str">
        <f t="shared" si="9"/>
        <v/>
      </c>
      <c r="N179" s="194"/>
      <c r="O179" s="263"/>
      <c r="P179" s="45" t="str">
        <f t="shared" si="17"/>
        <v/>
      </c>
      <c r="Q179" s="45" t="str">
        <f t="shared" si="18"/>
        <v/>
      </c>
      <c r="R179" s="45">
        <f t="shared" si="19"/>
        <v>0.9</v>
      </c>
      <c r="S179" s="195">
        <v>0</v>
      </c>
      <c r="T179" s="45" t="str">
        <f t="shared" si="20"/>
        <v/>
      </c>
      <c r="U179" s="358" t="str">
        <f t="shared" si="21"/>
        <v/>
      </c>
      <c r="V179" s="359" t="str">
        <f>IF(ISNUMBER(I179),IF('Identificación del Instrumento'!$B$17="periódica",IF(ABS(I179)&lt;=U179,0,1),IF(ABS(L179)&lt;=U179,0,1)),"")</f>
        <v/>
      </c>
      <c r="W179" s="194"/>
      <c r="X179" s="194"/>
      <c r="Y179" s="194"/>
      <c r="Z179" s="194"/>
      <c r="AA179" s="194"/>
      <c r="AB179" s="194"/>
      <c r="AC179" s="73"/>
      <c r="AD179" s="197"/>
      <c r="AE179" s="194"/>
      <c r="AF179" s="194"/>
      <c r="AG179" s="197"/>
      <c r="AH179" s="194"/>
      <c r="AI179" s="72"/>
      <c r="AJ179" s="197"/>
      <c r="AK179" s="197"/>
      <c r="AL179" s="197"/>
      <c r="AM179" s="197"/>
      <c r="AN179" s="197"/>
      <c r="AO179" s="194"/>
      <c r="AP179" s="194"/>
      <c r="AQ179" s="194"/>
      <c r="AR179" s="194"/>
      <c r="AS179" s="194"/>
      <c r="AT179" s="194"/>
      <c r="AU179" s="194"/>
      <c r="AV179" s="194"/>
      <c r="AW179" s="194"/>
      <c r="AX179" s="194"/>
      <c r="AY179" s="194"/>
      <c r="AZ179" s="194"/>
      <c r="BA179" s="194"/>
      <c r="BB179" s="194"/>
      <c r="BC179" s="194"/>
      <c r="BD179" s="194"/>
      <c r="BE179" s="194"/>
      <c r="BF179" s="194"/>
      <c r="BG179" s="194"/>
      <c r="BH179" s="194"/>
      <c r="BI179" s="194"/>
      <c r="BJ179" s="194"/>
      <c r="BK179" s="194"/>
      <c r="BL179" s="194"/>
      <c r="BM179" s="194"/>
      <c r="BN179" s="194"/>
      <c r="BO179" s="194"/>
      <c r="BP179" s="194"/>
      <c r="BQ179" s="194"/>
      <c r="BR179" s="194"/>
      <c r="BS179" s="194"/>
      <c r="BT179" s="194"/>
      <c r="BU179" s="194"/>
      <c r="BV179" s="194"/>
      <c r="BW179" s="194"/>
      <c r="BX179" s="194"/>
      <c r="BY179" s="194"/>
      <c r="BZ179" s="194"/>
      <c r="CA179" s="194"/>
      <c r="CB179" s="194"/>
      <c r="CC179" s="194"/>
      <c r="CD179" s="194"/>
      <c r="CE179" s="194"/>
      <c r="CF179" s="194"/>
      <c r="CG179" s="194"/>
      <c r="CH179" s="194"/>
      <c r="CI179" s="194"/>
      <c r="CJ179" s="194"/>
      <c r="CK179" s="194"/>
      <c r="CL179" s="194"/>
      <c r="CM179" s="194"/>
      <c r="CN179" s="194"/>
      <c r="CO179" s="194"/>
      <c r="CP179" s="194"/>
      <c r="CQ179" s="194"/>
      <c r="CR179" s="194"/>
      <c r="CS179" s="194"/>
      <c r="CT179" s="194"/>
      <c r="CU179" s="194"/>
      <c r="CV179" s="194"/>
      <c r="CW179" s="194"/>
      <c r="CX179" s="194"/>
      <c r="CY179" s="194"/>
      <c r="CZ179" s="194"/>
      <c r="DA179" s="194"/>
      <c r="DB179" s="194"/>
      <c r="DC179" s="194"/>
      <c r="DD179" s="194"/>
      <c r="DE179" s="194"/>
      <c r="DF179" s="194"/>
      <c r="DG179" s="194"/>
      <c r="DH179" s="194"/>
      <c r="DI179" s="194"/>
      <c r="DJ179" s="194"/>
      <c r="DK179" s="194"/>
      <c r="DL179" s="194"/>
      <c r="DM179" s="194"/>
      <c r="DN179" s="194"/>
      <c r="DO179" s="194"/>
      <c r="DP179" s="194"/>
      <c r="DQ179" s="194"/>
      <c r="DR179" s="194"/>
      <c r="DS179" s="194"/>
      <c r="DT179" s="194"/>
      <c r="DU179" s="194"/>
      <c r="DV179" s="194"/>
      <c r="DW179" s="194"/>
      <c r="DX179" s="194"/>
      <c r="DY179" s="194"/>
      <c r="DZ179" s="194"/>
      <c r="EA179" s="194"/>
      <c r="EB179" s="194"/>
      <c r="EC179" s="194"/>
      <c r="ED179" s="194"/>
      <c r="EE179" s="194"/>
      <c r="EF179" s="194"/>
      <c r="EG179" s="194"/>
      <c r="EH179" s="194"/>
      <c r="EI179" s="194"/>
      <c r="EJ179" s="194"/>
      <c r="EK179" s="194"/>
      <c r="EL179" s="194"/>
      <c r="EM179" s="194"/>
      <c r="EN179" s="194"/>
      <c r="EO179" s="194"/>
      <c r="EP179" s="194"/>
    </row>
    <row r="180" spans="1:146" s="199" customFormat="1" ht="16.5" customHeight="1" thickBot="1" x14ac:dyDescent="0.3">
      <c r="A180" s="194"/>
      <c r="B180" s="194">
        <v>37</v>
      </c>
      <c r="C180" s="194"/>
      <c r="D180" s="698"/>
      <c r="E180" s="537"/>
      <c r="F180" s="539" t="str">
        <f>IF(ISNUMBER(E180),IF('Identificación del Instrumento'!$F$17="PRIMITIVA","",IF($G$59="DISCONTINUA",$E$84/2,0)),"")</f>
        <v/>
      </c>
      <c r="G180" s="537"/>
      <c r="H180" s="539" t="str">
        <f>IF(ISNUMBER(G180),IF('Identificación del Instrumento'!$F$17="PRIMITIVA","",IF($G$59="DISCONTINUA",$E$84/2,0)),"")</f>
        <v/>
      </c>
      <c r="I180" s="536" t="str">
        <f t="shared" si="6"/>
        <v/>
      </c>
      <c r="J180" s="536" t="str">
        <f t="shared" si="7"/>
        <v/>
      </c>
      <c r="K180" s="536" t="str">
        <f t="shared" si="15"/>
        <v/>
      </c>
      <c r="L180" s="536" t="str">
        <f t="shared" si="8"/>
        <v/>
      </c>
      <c r="M180" s="536" t="str">
        <f t="shared" si="9"/>
        <v/>
      </c>
      <c r="N180" s="194"/>
      <c r="O180" s="263"/>
      <c r="P180" s="45" t="str">
        <f t="shared" si="17"/>
        <v/>
      </c>
      <c r="Q180" s="45" t="str">
        <f t="shared" si="18"/>
        <v/>
      </c>
      <c r="R180" s="45">
        <f t="shared" si="19"/>
        <v>0.92500000000000004</v>
      </c>
      <c r="S180" s="195">
        <v>0</v>
      </c>
      <c r="T180" s="45" t="str">
        <f t="shared" si="20"/>
        <v/>
      </c>
      <c r="U180" s="358" t="str">
        <f t="shared" si="21"/>
        <v/>
      </c>
      <c r="V180" s="359" t="str">
        <f>IF(ISNUMBER(I180),IF('Identificación del Instrumento'!$B$17="periódica",IF(ABS(I180)&lt;=U180,0,1),IF(ABS(L180)&lt;=U180,0,1)),"")</f>
        <v/>
      </c>
      <c r="W180" s="194"/>
      <c r="X180" s="194"/>
      <c r="Y180" s="194"/>
      <c r="Z180" s="194"/>
      <c r="AA180" s="194"/>
      <c r="AB180" s="194"/>
      <c r="AC180" s="73"/>
      <c r="AD180" s="197"/>
      <c r="AE180" s="194"/>
      <c r="AF180" s="194"/>
      <c r="AG180" s="197"/>
      <c r="AH180" s="194"/>
      <c r="AI180" s="72"/>
      <c r="AJ180" s="197"/>
      <c r="AK180" s="197"/>
      <c r="AL180" s="197"/>
      <c r="AM180" s="197"/>
      <c r="AN180" s="197"/>
      <c r="AO180" s="194"/>
      <c r="AP180" s="194"/>
      <c r="AQ180" s="194"/>
      <c r="AR180" s="194"/>
      <c r="AS180" s="194"/>
      <c r="AT180" s="194"/>
      <c r="AU180" s="194"/>
      <c r="AV180" s="194"/>
      <c r="AW180" s="194"/>
      <c r="AX180" s="194"/>
      <c r="AY180" s="194"/>
      <c r="AZ180" s="194"/>
      <c r="BA180" s="194"/>
      <c r="BB180" s="194"/>
      <c r="BC180" s="194"/>
      <c r="BD180" s="194"/>
      <c r="BE180" s="194"/>
      <c r="BF180" s="194"/>
      <c r="BG180" s="194"/>
      <c r="BH180" s="194"/>
      <c r="BI180" s="194"/>
      <c r="BJ180" s="194"/>
      <c r="BK180" s="194"/>
      <c r="BL180" s="194"/>
      <c r="BM180" s="194"/>
      <c r="BN180" s="194"/>
      <c r="BO180" s="194"/>
      <c r="BP180" s="194"/>
      <c r="BQ180" s="194"/>
      <c r="BR180" s="194"/>
      <c r="BS180" s="194"/>
      <c r="BT180" s="194"/>
      <c r="BU180" s="194"/>
      <c r="BV180" s="194"/>
      <c r="BW180" s="194"/>
      <c r="BX180" s="194"/>
      <c r="BY180" s="194"/>
      <c r="BZ180" s="194"/>
      <c r="CA180" s="194"/>
      <c r="CB180" s="194"/>
      <c r="CC180" s="194"/>
      <c r="CD180" s="194"/>
      <c r="CE180" s="194"/>
      <c r="CF180" s="194"/>
      <c r="CG180" s="194"/>
      <c r="CH180" s="194"/>
      <c r="CI180" s="194"/>
      <c r="CJ180" s="194"/>
      <c r="CK180" s="194"/>
      <c r="CL180" s="194"/>
      <c r="CM180" s="194"/>
      <c r="CN180" s="194"/>
      <c r="CO180" s="194"/>
      <c r="CP180" s="194"/>
      <c r="CQ180" s="194"/>
      <c r="CR180" s="194"/>
      <c r="CS180" s="194"/>
      <c r="CT180" s="194"/>
      <c r="CU180" s="194"/>
      <c r="CV180" s="194"/>
      <c r="CW180" s="194"/>
      <c r="CX180" s="194"/>
      <c r="CY180" s="194"/>
      <c r="CZ180" s="194"/>
      <c r="DA180" s="194"/>
      <c r="DB180" s="194"/>
      <c r="DC180" s="194"/>
      <c r="DD180" s="194"/>
      <c r="DE180" s="194"/>
      <c r="DF180" s="194"/>
      <c r="DG180" s="194"/>
      <c r="DH180" s="194"/>
      <c r="DI180" s="194"/>
      <c r="DJ180" s="194"/>
      <c r="DK180" s="194"/>
      <c r="DL180" s="194"/>
      <c r="DM180" s="194"/>
      <c r="DN180" s="194"/>
      <c r="DO180" s="194"/>
      <c r="DP180" s="194"/>
      <c r="DQ180" s="194"/>
      <c r="DR180" s="194"/>
      <c r="DS180" s="194"/>
      <c r="DT180" s="194"/>
      <c r="DU180" s="194"/>
      <c r="DV180" s="194"/>
      <c r="DW180" s="194"/>
      <c r="DX180" s="194"/>
      <c r="DY180" s="194"/>
      <c r="DZ180" s="194"/>
      <c r="EA180" s="194"/>
      <c r="EB180" s="194"/>
      <c r="EC180" s="194"/>
      <c r="ED180" s="194"/>
      <c r="EE180" s="194"/>
      <c r="EF180" s="194"/>
      <c r="EG180" s="194"/>
      <c r="EH180" s="194"/>
      <c r="EI180" s="194"/>
      <c r="EJ180" s="194"/>
      <c r="EK180" s="194"/>
      <c r="EL180" s="194"/>
      <c r="EM180" s="194"/>
      <c r="EN180" s="194"/>
      <c r="EO180" s="194"/>
      <c r="EP180" s="194"/>
    </row>
    <row r="181" spans="1:146" s="199" customFormat="1" ht="16.5" customHeight="1" thickBot="1" x14ac:dyDescent="0.3">
      <c r="A181" s="194"/>
      <c r="B181" s="194">
        <v>38</v>
      </c>
      <c r="C181" s="194"/>
      <c r="D181" s="698"/>
      <c r="E181" s="537"/>
      <c r="F181" s="539" t="str">
        <f>IF(ISNUMBER(E181),IF('Identificación del Instrumento'!$F$17="PRIMITIVA","",IF($G$59="DISCONTINUA",$E$84/2,0)),"")</f>
        <v/>
      </c>
      <c r="G181" s="537"/>
      <c r="H181" s="539" t="str">
        <f>IF(ISNUMBER(G181),IF('Identificación del Instrumento'!$F$17="PRIMITIVA","",IF($G$59="DISCONTINUA",$E$84/2,0)),"")</f>
        <v/>
      </c>
      <c r="I181" s="536" t="str">
        <f t="shared" si="6"/>
        <v/>
      </c>
      <c r="J181" s="536" t="str">
        <f t="shared" si="7"/>
        <v/>
      </c>
      <c r="K181" s="536" t="str">
        <f t="shared" si="15"/>
        <v/>
      </c>
      <c r="L181" s="536" t="str">
        <f t="shared" si="8"/>
        <v/>
      </c>
      <c r="M181" s="536" t="str">
        <f t="shared" si="9"/>
        <v/>
      </c>
      <c r="N181" s="194"/>
      <c r="O181" s="263"/>
      <c r="P181" s="45" t="str">
        <f t="shared" si="17"/>
        <v/>
      </c>
      <c r="Q181" s="45" t="str">
        <f t="shared" si="18"/>
        <v/>
      </c>
      <c r="R181" s="45">
        <f t="shared" si="19"/>
        <v>0.95000000000000007</v>
      </c>
      <c r="S181" s="195">
        <v>0</v>
      </c>
      <c r="T181" s="45" t="str">
        <f t="shared" si="20"/>
        <v/>
      </c>
      <c r="U181" s="358" t="str">
        <f t="shared" si="21"/>
        <v/>
      </c>
      <c r="V181" s="359" t="str">
        <f>IF(ISNUMBER(I181),IF('Identificación del Instrumento'!$B$17="periódica",IF(ABS(I181)&lt;=U181,0,1),IF(ABS(L181)&lt;=U181,0,1)),"")</f>
        <v/>
      </c>
      <c r="W181" s="194"/>
      <c r="X181" s="194"/>
      <c r="Y181" s="194"/>
      <c r="Z181" s="194"/>
      <c r="AA181" s="194"/>
      <c r="AB181" s="194"/>
      <c r="AC181" s="73"/>
      <c r="AD181" s="197"/>
      <c r="AE181" s="194"/>
      <c r="AF181" s="194"/>
      <c r="AG181" s="197"/>
      <c r="AH181" s="194"/>
      <c r="AI181" s="72"/>
      <c r="AJ181" s="197"/>
      <c r="AK181" s="197"/>
      <c r="AL181" s="197"/>
      <c r="AM181" s="197"/>
      <c r="AN181" s="197"/>
      <c r="AO181" s="194"/>
      <c r="AP181" s="194"/>
      <c r="AQ181" s="194"/>
      <c r="AR181" s="194"/>
      <c r="AS181" s="194"/>
      <c r="AT181" s="194"/>
      <c r="AU181" s="194"/>
      <c r="AV181" s="194"/>
      <c r="AW181" s="194"/>
      <c r="AX181" s="194"/>
      <c r="AY181" s="194"/>
      <c r="AZ181" s="194"/>
      <c r="BA181" s="194"/>
      <c r="BB181" s="194"/>
      <c r="BC181" s="194"/>
      <c r="BD181" s="194"/>
      <c r="BE181" s="194"/>
      <c r="BF181" s="194"/>
      <c r="BG181" s="194"/>
      <c r="BH181" s="194"/>
      <c r="BI181" s="194"/>
      <c r="BJ181" s="194"/>
      <c r="BK181" s="194"/>
      <c r="BL181" s="194"/>
      <c r="BM181" s="194"/>
      <c r="BN181" s="194"/>
      <c r="BO181" s="194"/>
      <c r="BP181" s="194"/>
      <c r="BQ181" s="194"/>
      <c r="BR181" s="194"/>
      <c r="BS181" s="194"/>
      <c r="BT181" s="194"/>
      <c r="BU181" s="194"/>
      <c r="BV181" s="194"/>
      <c r="BW181" s="194"/>
      <c r="BX181" s="194"/>
      <c r="BY181" s="194"/>
      <c r="BZ181" s="194"/>
      <c r="CA181" s="194"/>
      <c r="CB181" s="194"/>
      <c r="CC181" s="194"/>
      <c r="CD181" s="194"/>
      <c r="CE181" s="194"/>
      <c r="CF181" s="194"/>
      <c r="CG181" s="194"/>
      <c r="CH181" s="194"/>
      <c r="CI181" s="194"/>
      <c r="CJ181" s="194"/>
      <c r="CK181" s="194"/>
      <c r="CL181" s="194"/>
      <c r="CM181" s="194"/>
      <c r="CN181" s="194"/>
      <c r="CO181" s="194"/>
      <c r="CP181" s="194"/>
      <c r="CQ181" s="194"/>
      <c r="CR181" s="194"/>
      <c r="CS181" s="194"/>
      <c r="CT181" s="194"/>
      <c r="CU181" s="194"/>
      <c r="CV181" s="194"/>
      <c r="CW181" s="194"/>
      <c r="CX181" s="194"/>
      <c r="CY181" s="194"/>
      <c r="CZ181" s="194"/>
      <c r="DA181" s="194"/>
      <c r="DB181" s="194"/>
      <c r="DC181" s="194"/>
      <c r="DD181" s="194"/>
      <c r="DE181" s="194"/>
      <c r="DF181" s="194"/>
      <c r="DG181" s="194"/>
      <c r="DH181" s="194"/>
      <c r="DI181" s="194"/>
      <c r="DJ181" s="194"/>
      <c r="DK181" s="194"/>
      <c r="DL181" s="194"/>
      <c r="DM181" s="194"/>
      <c r="DN181" s="194"/>
      <c r="DO181" s="194"/>
      <c r="DP181" s="194"/>
      <c r="DQ181" s="194"/>
      <c r="DR181" s="194"/>
      <c r="DS181" s="194"/>
      <c r="DT181" s="194"/>
      <c r="DU181" s="194"/>
      <c r="DV181" s="194"/>
      <c r="DW181" s="194"/>
      <c r="DX181" s="194"/>
      <c r="DY181" s="194"/>
      <c r="DZ181" s="194"/>
      <c r="EA181" s="194"/>
      <c r="EB181" s="194"/>
      <c r="EC181" s="194"/>
      <c r="ED181" s="194"/>
      <c r="EE181" s="194"/>
      <c r="EF181" s="194"/>
      <c r="EG181" s="194"/>
      <c r="EH181" s="194"/>
      <c r="EI181" s="194"/>
      <c r="EJ181" s="194"/>
      <c r="EK181" s="194"/>
      <c r="EL181" s="194"/>
      <c r="EM181" s="194"/>
      <c r="EN181" s="194"/>
      <c r="EO181" s="194"/>
      <c r="EP181" s="194"/>
    </row>
    <row r="182" spans="1:146" s="199" customFormat="1" ht="16.5" customHeight="1" thickBot="1" x14ac:dyDescent="0.3">
      <c r="A182" s="194"/>
      <c r="B182" s="194">
        <v>39</v>
      </c>
      <c r="C182" s="194"/>
      <c r="D182" s="698"/>
      <c r="E182" s="537"/>
      <c r="F182" s="539" t="str">
        <f>IF(ISNUMBER(E182),IF('Identificación del Instrumento'!$F$17="PRIMITIVA","",IF($G$59="DISCONTINUA",$E$84/2,0)),"")</f>
        <v/>
      </c>
      <c r="G182" s="537"/>
      <c r="H182" s="539" t="str">
        <f>IF(ISNUMBER(G182),IF('Identificación del Instrumento'!$F$17="PRIMITIVA","",IF($G$59="DISCONTINUA",$E$84/2,0)),"")</f>
        <v/>
      </c>
      <c r="I182" s="536" t="str">
        <f t="shared" si="6"/>
        <v/>
      </c>
      <c r="J182" s="536" t="str">
        <f t="shared" si="7"/>
        <v/>
      </c>
      <c r="K182" s="536" t="str">
        <f t="shared" si="15"/>
        <v/>
      </c>
      <c r="L182" s="536" t="str">
        <f t="shared" si="8"/>
        <v/>
      </c>
      <c r="M182" s="536" t="str">
        <f t="shared" si="9"/>
        <v/>
      </c>
      <c r="N182" s="194"/>
      <c r="O182" s="263"/>
      <c r="P182" s="45" t="str">
        <f t="shared" si="17"/>
        <v/>
      </c>
      <c r="Q182" s="45" t="str">
        <f t="shared" si="18"/>
        <v/>
      </c>
      <c r="R182" s="45">
        <f t="shared" si="19"/>
        <v>0.97500000000000009</v>
      </c>
      <c r="S182" s="195">
        <v>0</v>
      </c>
      <c r="T182" s="45" t="str">
        <f t="shared" si="20"/>
        <v/>
      </c>
      <c r="U182" s="358" t="str">
        <f t="shared" si="21"/>
        <v/>
      </c>
      <c r="V182" s="359" t="str">
        <f>IF(ISNUMBER(I182),IF('Identificación del Instrumento'!$B$17="periódica",IF(ABS(I182)&lt;=U182,0,1),IF(ABS(L182)&lt;=U182,0,1)),"")</f>
        <v/>
      </c>
      <c r="W182" s="194"/>
      <c r="X182" s="194"/>
      <c r="Y182" s="194"/>
      <c r="Z182" s="194"/>
      <c r="AA182" s="194"/>
      <c r="AB182" s="194"/>
      <c r="AC182" s="73"/>
      <c r="AD182" s="197"/>
      <c r="AE182" s="194"/>
      <c r="AF182" s="194"/>
      <c r="AG182" s="197"/>
      <c r="AH182" s="194"/>
      <c r="AI182" s="72"/>
      <c r="AJ182" s="197"/>
      <c r="AK182" s="197"/>
      <c r="AL182" s="197"/>
      <c r="AM182" s="197"/>
      <c r="AN182" s="197"/>
      <c r="AO182" s="194"/>
      <c r="AP182" s="194"/>
      <c r="AQ182" s="194"/>
      <c r="AR182" s="194"/>
      <c r="AS182" s="194"/>
      <c r="AT182" s="194"/>
      <c r="AU182" s="194"/>
      <c r="AV182" s="194"/>
      <c r="AW182" s="194"/>
      <c r="AX182" s="194"/>
      <c r="AY182" s="194"/>
      <c r="AZ182" s="194"/>
      <c r="BA182" s="194"/>
      <c r="BB182" s="194"/>
      <c r="BC182" s="194"/>
      <c r="BD182" s="194"/>
      <c r="BE182" s="194"/>
      <c r="BF182" s="194"/>
      <c r="BG182" s="194"/>
      <c r="BH182" s="194"/>
      <c r="BI182" s="194"/>
      <c r="BJ182" s="194"/>
      <c r="BK182" s="194"/>
      <c r="BL182" s="194"/>
      <c r="BM182" s="194"/>
      <c r="BN182" s="194"/>
      <c r="BO182" s="194"/>
      <c r="BP182" s="194"/>
      <c r="BQ182" s="194"/>
      <c r="BR182" s="194"/>
      <c r="BS182" s="194"/>
      <c r="BT182" s="194"/>
      <c r="BU182" s="194"/>
      <c r="BV182" s="194"/>
      <c r="BW182" s="194"/>
      <c r="BX182" s="194"/>
      <c r="BY182" s="194"/>
      <c r="BZ182" s="194"/>
      <c r="CA182" s="194"/>
      <c r="CB182" s="194"/>
      <c r="CC182" s="194"/>
      <c r="CD182" s="194"/>
      <c r="CE182" s="194"/>
      <c r="CF182" s="194"/>
      <c r="CG182" s="194"/>
      <c r="CH182" s="194"/>
      <c r="CI182" s="194"/>
      <c r="CJ182" s="194"/>
      <c r="CK182" s="194"/>
      <c r="CL182" s="194"/>
      <c r="CM182" s="194"/>
      <c r="CN182" s="194"/>
      <c r="CO182" s="194"/>
      <c r="CP182" s="194"/>
      <c r="CQ182" s="194"/>
      <c r="CR182" s="194"/>
      <c r="CS182" s="194"/>
      <c r="CT182" s="194"/>
      <c r="CU182" s="194"/>
      <c r="CV182" s="194"/>
      <c r="CW182" s="194"/>
      <c r="CX182" s="194"/>
      <c r="CY182" s="194"/>
      <c r="CZ182" s="194"/>
      <c r="DA182" s="194"/>
      <c r="DB182" s="194"/>
      <c r="DC182" s="194"/>
      <c r="DD182" s="194"/>
      <c r="DE182" s="194"/>
      <c r="DF182" s="194"/>
      <c r="DG182" s="194"/>
      <c r="DH182" s="194"/>
      <c r="DI182" s="194"/>
      <c r="DJ182" s="194"/>
      <c r="DK182" s="194"/>
      <c r="DL182" s="194"/>
      <c r="DM182" s="194"/>
      <c r="DN182" s="194"/>
      <c r="DO182" s="194"/>
      <c r="DP182" s="194"/>
      <c r="DQ182" s="194"/>
      <c r="DR182" s="194"/>
      <c r="DS182" s="194"/>
      <c r="DT182" s="194"/>
      <c r="DU182" s="194"/>
      <c r="DV182" s="194"/>
      <c r="DW182" s="194"/>
      <c r="DX182" s="194"/>
      <c r="DY182" s="194"/>
      <c r="DZ182" s="194"/>
      <c r="EA182" s="194"/>
      <c r="EB182" s="194"/>
      <c r="EC182" s="194"/>
      <c r="ED182" s="194"/>
      <c r="EE182" s="194"/>
      <c r="EF182" s="194"/>
      <c r="EG182" s="194"/>
      <c r="EH182" s="194"/>
      <c r="EI182" s="194"/>
      <c r="EJ182" s="194"/>
      <c r="EK182" s="194"/>
      <c r="EL182" s="194"/>
      <c r="EM182" s="194"/>
      <c r="EN182" s="194"/>
      <c r="EO182" s="194"/>
      <c r="EP182" s="194"/>
    </row>
    <row r="183" spans="1:146" s="199" customFormat="1" ht="16.5" customHeight="1" thickBot="1" x14ac:dyDescent="0.3">
      <c r="A183" s="194"/>
      <c r="B183" s="194">
        <v>40</v>
      </c>
      <c r="C183" s="194"/>
      <c r="D183" s="698"/>
      <c r="E183" s="537"/>
      <c r="F183" s="539" t="str">
        <f>IF(ISNUMBER(E183),IF('Identificación del Instrumento'!$F$17="PRIMITIVA","",IF($G$59="DISCONTINUA",$E$84/2,0)),"")</f>
        <v/>
      </c>
      <c r="G183" s="537"/>
      <c r="H183" s="539" t="str">
        <f>IF(ISNUMBER(G183),IF('Identificación del Instrumento'!$F$17="PRIMITIVA","",IF($G$59="DISCONTINUA",$E$84/2,0)),"")</f>
        <v/>
      </c>
      <c r="I183" s="536" t="str">
        <f t="shared" si="6"/>
        <v/>
      </c>
      <c r="J183" s="536" t="str">
        <f t="shared" si="7"/>
        <v/>
      </c>
      <c r="K183" s="536" t="str">
        <f t="shared" si="15"/>
        <v/>
      </c>
      <c r="L183" s="536" t="str">
        <f t="shared" si="8"/>
        <v/>
      </c>
      <c r="M183" s="536" t="str">
        <f t="shared" si="9"/>
        <v/>
      </c>
      <c r="N183" s="194"/>
      <c r="O183" s="263"/>
      <c r="P183" s="45" t="str">
        <f t="shared" si="17"/>
        <v/>
      </c>
      <c r="Q183" s="45" t="str">
        <f t="shared" si="18"/>
        <v/>
      </c>
      <c r="R183" s="45">
        <f t="shared" si="19"/>
        <v>1</v>
      </c>
      <c r="S183" s="195">
        <v>0</v>
      </c>
      <c r="T183" s="45" t="str">
        <f t="shared" si="20"/>
        <v/>
      </c>
      <c r="U183" s="358" t="str">
        <f t="shared" si="21"/>
        <v/>
      </c>
      <c r="V183" s="359" t="str">
        <f>IF(ISNUMBER(I183),IF('Identificación del Instrumento'!$B$17="periódica",IF(ABS(I183)&lt;=U183,0,1),IF(ABS(L183)&lt;=U183,0,1)),"")</f>
        <v/>
      </c>
      <c r="W183" s="194"/>
      <c r="X183" s="194"/>
      <c r="Y183" s="194"/>
      <c r="Z183" s="194"/>
      <c r="AA183" s="194"/>
      <c r="AB183" s="194"/>
      <c r="AC183" s="73"/>
      <c r="AD183" s="197"/>
      <c r="AE183" s="194"/>
      <c r="AF183" s="194"/>
      <c r="AG183" s="197"/>
      <c r="AH183" s="194"/>
      <c r="AI183" s="72"/>
      <c r="AJ183" s="197"/>
      <c r="AK183" s="197"/>
      <c r="AL183" s="197"/>
      <c r="AM183" s="197"/>
      <c r="AN183" s="197"/>
      <c r="AO183" s="194"/>
      <c r="AP183" s="194"/>
      <c r="AQ183" s="194"/>
      <c r="AR183" s="194"/>
      <c r="AS183" s="194"/>
      <c r="AT183" s="194"/>
      <c r="AU183" s="194"/>
      <c r="AV183" s="194"/>
      <c r="AW183" s="194"/>
      <c r="AX183" s="194"/>
      <c r="AY183" s="194"/>
      <c r="AZ183" s="194"/>
      <c r="BA183" s="194"/>
      <c r="BB183" s="194"/>
      <c r="BC183" s="194"/>
      <c r="BD183" s="194"/>
      <c r="BE183" s="194"/>
      <c r="BF183" s="194"/>
      <c r="BG183" s="194"/>
      <c r="BH183" s="194"/>
      <c r="BI183" s="194"/>
      <c r="BJ183" s="194"/>
      <c r="BK183" s="194"/>
      <c r="BL183" s="194"/>
      <c r="BM183" s="194"/>
      <c r="BN183" s="194"/>
      <c r="BO183" s="194"/>
      <c r="BP183" s="194"/>
      <c r="BQ183" s="194"/>
      <c r="BR183" s="194"/>
      <c r="BS183" s="194"/>
      <c r="BT183" s="194"/>
      <c r="BU183" s="194"/>
      <c r="BV183" s="194"/>
      <c r="BW183" s="194"/>
      <c r="BX183" s="194"/>
      <c r="BY183" s="194"/>
      <c r="BZ183" s="194"/>
      <c r="CA183" s="194"/>
      <c r="CB183" s="194"/>
      <c r="CC183" s="194"/>
      <c r="CD183" s="194"/>
      <c r="CE183" s="194"/>
      <c r="CF183" s="194"/>
      <c r="CG183" s="194"/>
      <c r="CH183" s="194"/>
      <c r="CI183" s="194"/>
      <c r="CJ183" s="194"/>
      <c r="CK183" s="194"/>
      <c r="CL183" s="194"/>
      <c r="CM183" s="194"/>
      <c r="CN183" s="194"/>
      <c r="CO183" s="194"/>
      <c r="CP183" s="194"/>
      <c r="CQ183" s="194"/>
      <c r="CR183" s="194"/>
      <c r="CS183" s="194"/>
      <c r="CT183" s="194"/>
      <c r="CU183" s="194"/>
      <c r="CV183" s="194"/>
      <c r="CW183" s="194"/>
      <c r="CX183" s="194"/>
      <c r="CY183" s="194"/>
      <c r="CZ183" s="194"/>
      <c r="DA183" s="194"/>
      <c r="DB183" s="194"/>
      <c r="DC183" s="194"/>
      <c r="DD183" s="194"/>
      <c r="DE183" s="194"/>
      <c r="DF183" s="194"/>
      <c r="DG183" s="194"/>
      <c r="DH183" s="194"/>
      <c r="DI183" s="194"/>
      <c r="DJ183" s="194"/>
      <c r="DK183" s="194"/>
      <c r="DL183" s="194"/>
      <c r="DM183" s="194"/>
      <c r="DN183" s="194"/>
      <c r="DO183" s="194"/>
      <c r="DP183" s="194"/>
      <c r="DQ183" s="194"/>
      <c r="DR183" s="194"/>
      <c r="DS183" s="194"/>
      <c r="DT183" s="194"/>
      <c r="DU183" s="194"/>
      <c r="DV183" s="194"/>
      <c r="DW183" s="194"/>
      <c r="DX183" s="194"/>
      <c r="DY183" s="194"/>
      <c r="DZ183" s="194"/>
      <c r="EA183" s="194"/>
      <c r="EB183" s="194"/>
      <c r="EC183" s="194"/>
      <c r="ED183" s="194"/>
      <c r="EE183" s="194"/>
      <c r="EF183" s="194"/>
      <c r="EG183" s="194"/>
      <c r="EH183" s="194"/>
      <c r="EI183" s="194"/>
      <c r="EJ183" s="194"/>
      <c r="EK183" s="194"/>
      <c r="EL183" s="194"/>
      <c r="EM183" s="194"/>
      <c r="EN183" s="194"/>
      <c r="EO183" s="194"/>
      <c r="EP183" s="194"/>
    </row>
    <row r="184" spans="1:146" s="199" customFormat="1" ht="16.5" customHeight="1" thickBot="1" x14ac:dyDescent="0.3">
      <c r="A184" s="194"/>
      <c r="B184" s="194">
        <v>41</v>
      </c>
      <c r="C184" s="194"/>
      <c r="D184" s="698"/>
      <c r="E184" s="537"/>
      <c r="F184" s="539"/>
      <c r="G184" s="537"/>
      <c r="H184" s="539" t="str">
        <f>IF(ISNUMBER(G184),IF('Identificación del Instrumento'!$F$17="PRIMITIVA","",IF($G$59="DISCONTINUA",$E$84/2,0)),"")</f>
        <v/>
      </c>
      <c r="I184" s="536" t="str">
        <f t="shared" si="6"/>
        <v/>
      </c>
      <c r="J184" s="536" t="str">
        <f t="shared" si="7"/>
        <v/>
      </c>
      <c r="K184" s="536" t="str">
        <f t="shared" si="15"/>
        <v/>
      </c>
      <c r="L184" s="536" t="str">
        <f t="shared" si="8"/>
        <v/>
      </c>
      <c r="M184" s="536" t="str">
        <f t="shared" si="9"/>
        <v/>
      </c>
      <c r="N184" s="194"/>
      <c r="O184" s="263"/>
      <c r="P184" s="45" t="str">
        <f t="shared" si="17"/>
        <v/>
      </c>
      <c r="Q184" s="45" t="str">
        <f t="shared" si="18"/>
        <v/>
      </c>
      <c r="R184" s="45">
        <f t="shared" si="19"/>
        <v>1.0250000000000001</v>
      </c>
      <c r="S184" s="195">
        <v>0</v>
      </c>
      <c r="T184" s="45" t="str">
        <f t="shared" si="20"/>
        <v/>
      </c>
      <c r="U184" s="358" t="str">
        <f t="shared" si="21"/>
        <v/>
      </c>
      <c r="V184" s="359" t="str">
        <f>IF(ISNUMBER(I184),IF('Identificación del Instrumento'!$B$17="periódica",IF(ABS(I184)&lt;=U184,0,1),IF(ABS(L184)&lt;=U184,0,1)),"")</f>
        <v/>
      </c>
      <c r="W184" s="194"/>
      <c r="X184" s="194"/>
      <c r="Y184" s="194"/>
      <c r="Z184" s="194"/>
      <c r="AA184" s="194"/>
      <c r="AB184" s="194"/>
      <c r="AC184" s="73"/>
      <c r="AD184" s="197"/>
      <c r="AE184" s="194"/>
      <c r="AF184" s="194"/>
      <c r="AG184" s="197"/>
      <c r="AH184" s="194"/>
      <c r="AI184" s="72"/>
      <c r="AJ184" s="197"/>
      <c r="AK184" s="197"/>
      <c r="AL184" s="197"/>
      <c r="AM184" s="197"/>
      <c r="AN184" s="197"/>
      <c r="AO184" s="194"/>
      <c r="AP184" s="194"/>
      <c r="AQ184" s="194"/>
      <c r="AR184" s="194"/>
      <c r="AS184" s="194"/>
      <c r="AT184" s="194"/>
      <c r="AU184" s="194"/>
      <c r="AV184" s="194"/>
      <c r="AW184" s="194"/>
      <c r="AX184" s="194"/>
      <c r="AY184" s="194"/>
      <c r="AZ184" s="194"/>
      <c r="BA184" s="194"/>
      <c r="BB184" s="194"/>
      <c r="BC184" s="194"/>
      <c r="BD184" s="194"/>
      <c r="BE184" s="194"/>
      <c r="BF184" s="194"/>
      <c r="BG184" s="194"/>
      <c r="BH184" s="194"/>
      <c r="BI184" s="194"/>
      <c r="BJ184" s="194"/>
      <c r="BK184" s="194"/>
      <c r="BL184" s="194"/>
      <c r="BM184" s="194"/>
      <c r="BN184" s="194"/>
      <c r="BO184" s="194"/>
      <c r="BP184" s="194"/>
      <c r="BQ184" s="194"/>
      <c r="BR184" s="194"/>
      <c r="BS184" s="194"/>
      <c r="BT184" s="194"/>
      <c r="BU184" s="194"/>
      <c r="BV184" s="194"/>
      <c r="BW184" s="194"/>
      <c r="BX184" s="194"/>
      <c r="BY184" s="194"/>
      <c r="BZ184" s="194"/>
      <c r="CA184" s="194"/>
      <c r="CB184" s="194"/>
      <c r="CC184" s="194"/>
      <c r="CD184" s="194"/>
      <c r="CE184" s="194"/>
      <c r="CF184" s="194"/>
      <c r="CG184" s="194"/>
      <c r="CH184" s="194"/>
      <c r="CI184" s="194"/>
      <c r="CJ184" s="194"/>
      <c r="CK184" s="194"/>
      <c r="CL184" s="194"/>
      <c r="CM184" s="194"/>
      <c r="CN184" s="194"/>
      <c r="CO184" s="194"/>
      <c r="CP184" s="194"/>
      <c r="CQ184" s="194"/>
      <c r="CR184" s="194"/>
      <c r="CS184" s="194"/>
      <c r="CT184" s="194"/>
      <c r="CU184" s="194"/>
      <c r="CV184" s="194"/>
      <c r="CW184" s="194"/>
      <c r="CX184" s="194"/>
      <c r="CY184" s="194"/>
      <c r="CZ184" s="194"/>
      <c r="DA184" s="194"/>
      <c r="DB184" s="194"/>
      <c r="DC184" s="194"/>
      <c r="DD184" s="194"/>
      <c r="DE184" s="194"/>
      <c r="DF184" s="194"/>
      <c r="DG184" s="194"/>
      <c r="DH184" s="194"/>
      <c r="DI184" s="194"/>
      <c r="DJ184" s="194"/>
      <c r="DK184" s="194"/>
      <c r="DL184" s="194"/>
      <c r="DM184" s="194"/>
      <c r="DN184" s="194"/>
      <c r="DO184" s="194"/>
      <c r="DP184" s="194"/>
      <c r="DQ184" s="194"/>
      <c r="DR184" s="194"/>
      <c r="DS184" s="194"/>
      <c r="DT184" s="194"/>
      <c r="DU184" s="194"/>
      <c r="DV184" s="194"/>
      <c r="DW184" s="194"/>
      <c r="DX184" s="194"/>
      <c r="DY184" s="194"/>
      <c r="DZ184" s="194"/>
      <c r="EA184" s="194"/>
      <c r="EB184" s="194"/>
      <c r="EC184" s="194"/>
      <c r="ED184" s="194"/>
      <c r="EE184" s="194"/>
      <c r="EF184" s="194"/>
      <c r="EG184" s="194"/>
      <c r="EH184" s="194"/>
      <c r="EI184" s="194"/>
      <c r="EJ184" s="194"/>
      <c r="EK184" s="194"/>
      <c r="EL184" s="194"/>
      <c r="EM184" s="194"/>
      <c r="EN184" s="194"/>
      <c r="EO184" s="194"/>
      <c r="EP184" s="194"/>
    </row>
    <row r="185" spans="1:146" s="199" customFormat="1" ht="16.5" customHeight="1" thickBot="1" x14ac:dyDescent="0.3">
      <c r="A185" s="194"/>
      <c r="B185" s="194">
        <v>42</v>
      </c>
      <c r="C185" s="194"/>
      <c r="D185" s="698"/>
      <c r="E185" s="537"/>
      <c r="F185" s="539" t="str">
        <f>IF(ISNUMBER(E185),IF('Identificación del Instrumento'!$F$17="PRIMITIVA","",IF($G$59="DISCONTINUA",$E$84/2,0)),"")</f>
        <v/>
      </c>
      <c r="G185" s="537"/>
      <c r="H185" s="539" t="str">
        <f>IF(ISNUMBER(G185),IF('Identificación del Instrumento'!$F$17="PRIMITIVA","",IF($G$59="DISCONTINUA",$E$84/2,0)),"")</f>
        <v/>
      </c>
      <c r="I185" s="536" t="str">
        <f t="shared" si="6"/>
        <v/>
      </c>
      <c r="J185" s="536" t="str">
        <f t="shared" si="7"/>
        <v/>
      </c>
      <c r="K185" s="536" t="str">
        <f t="shared" si="15"/>
        <v/>
      </c>
      <c r="L185" s="536" t="str">
        <f t="shared" si="8"/>
        <v/>
      </c>
      <c r="M185" s="536" t="str">
        <f t="shared" si="9"/>
        <v/>
      </c>
      <c r="N185" s="194"/>
      <c r="O185" s="263"/>
      <c r="P185" s="45" t="str">
        <f t="shared" si="17"/>
        <v/>
      </c>
      <c r="Q185" s="45" t="str">
        <f t="shared" si="18"/>
        <v/>
      </c>
      <c r="R185" s="45">
        <f t="shared" si="19"/>
        <v>1.05</v>
      </c>
      <c r="S185" s="195">
        <v>0</v>
      </c>
      <c r="T185" s="45" t="str">
        <f t="shared" si="20"/>
        <v/>
      </c>
      <c r="U185" s="358" t="str">
        <f t="shared" si="21"/>
        <v/>
      </c>
      <c r="V185" s="359" t="str">
        <f>IF(ISNUMBER(I185),IF('Identificación del Instrumento'!$B$17="periódica",IF(ABS(I185)&lt;=U185,0,1),IF(ABS(L185)&lt;=U185,0,1)),"")</f>
        <v/>
      </c>
      <c r="W185" s="194"/>
      <c r="X185" s="194"/>
      <c r="Y185" s="194"/>
      <c r="Z185" s="194"/>
      <c r="AA185" s="194"/>
      <c r="AB185" s="194"/>
      <c r="AC185" s="9"/>
      <c r="AD185" s="9"/>
      <c r="AG185" s="9"/>
      <c r="AH185" s="194"/>
      <c r="AI185" s="72"/>
      <c r="AJ185" s="197"/>
      <c r="AK185" s="197"/>
      <c r="AL185" s="197"/>
      <c r="AM185" s="197"/>
      <c r="AN185" s="197"/>
      <c r="AO185" s="194"/>
      <c r="AP185" s="194"/>
      <c r="AQ185" s="194"/>
      <c r="AR185" s="194"/>
      <c r="AS185" s="194"/>
      <c r="AT185" s="194"/>
      <c r="AU185" s="194"/>
      <c r="AV185" s="194"/>
      <c r="AW185" s="194"/>
      <c r="AX185" s="194"/>
      <c r="AY185" s="194"/>
      <c r="AZ185" s="194"/>
      <c r="BA185" s="194"/>
      <c r="BB185" s="194"/>
      <c r="BC185" s="194"/>
      <c r="BD185" s="194"/>
      <c r="BE185" s="194"/>
      <c r="BF185" s="194"/>
      <c r="BG185" s="194"/>
      <c r="BH185" s="194"/>
      <c r="BI185" s="194"/>
      <c r="BJ185" s="194"/>
      <c r="BK185" s="194"/>
      <c r="BL185" s="194"/>
      <c r="BM185" s="194"/>
      <c r="BN185" s="194"/>
      <c r="BO185" s="194"/>
      <c r="BP185" s="194"/>
      <c r="BQ185" s="194"/>
      <c r="BR185" s="194"/>
      <c r="BS185" s="194"/>
      <c r="BT185" s="194"/>
      <c r="BU185" s="194"/>
      <c r="BV185" s="194"/>
      <c r="BW185" s="194"/>
      <c r="BX185" s="194"/>
      <c r="BY185" s="194"/>
      <c r="BZ185" s="194"/>
      <c r="CA185" s="194"/>
      <c r="CB185" s="194"/>
      <c r="CC185" s="194"/>
      <c r="CD185" s="194"/>
      <c r="CE185" s="194"/>
      <c r="CF185" s="194"/>
      <c r="CG185" s="194"/>
      <c r="CH185" s="194"/>
      <c r="CI185" s="194"/>
      <c r="CJ185" s="194"/>
      <c r="CK185" s="194"/>
      <c r="CL185" s="194"/>
      <c r="CM185" s="194"/>
      <c r="CN185" s="194"/>
      <c r="CO185" s="194"/>
      <c r="CP185" s="194"/>
      <c r="CQ185" s="194"/>
      <c r="CR185" s="194"/>
      <c r="CS185" s="194"/>
      <c r="CT185" s="194"/>
      <c r="CU185" s="194"/>
      <c r="CV185" s="194"/>
      <c r="CW185" s="194"/>
      <c r="CX185" s="194"/>
      <c r="CY185" s="194"/>
      <c r="CZ185" s="194"/>
      <c r="DA185" s="194"/>
      <c r="DB185" s="194"/>
      <c r="DC185" s="194"/>
      <c r="DD185" s="194"/>
      <c r="DE185" s="194"/>
      <c r="DF185" s="194"/>
      <c r="DG185" s="194"/>
      <c r="DH185" s="194"/>
      <c r="DI185" s="194"/>
      <c r="DJ185" s="194"/>
      <c r="DK185" s="194"/>
      <c r="DL185" s="194"/>
      <c r="DM185" s="194"/>
      <c r="DN185" s="194"/>
      <c r="DO185" s="194"/>
      <c r="DP185" s="194"/>
      <c r="DQ185" s="194"/>
      <c r="DR185" s="194"/>
      <c r="DS185" s="194"/>
      <c r="DT185" s="194"/>
      <c r="DU185" s="194"/>
      <c r="DV185" s="194"/>
      <c r="DW185" s="194"/>
      <c r="DX185" s="194"/>
      <c r="DY185" s="194"/>
      <c r="DZ185" s="194"/>
      <c r="EA185" s="194"/>
      <c r="EB185" s="194"/>
      <c r="EC185" s="194"/>
      <c r="ED185" s="194"/>
      <c r="EE185" s="194"/>
      <c r="EF185" s="194"/>
      <c r="EG185" s="194"/>
      <c r="EH185" s="194"/>
      <c r="EI185" s="194"/>
      <c r="EJ185" s="194"/>
      <c r="EK185" s="194"/>
      <c r="EL185" s="194"/>
      <c r="EM185" s="194"/>
      <c r="EN185" s="194"/>
      <c r="EO185" s="194"/>
      <c r="EP185" s="194"/>
    </row>
    <row r="186" spans="1:146" s="199" customFormat="1" ht="16.5" customHeight="1" thickBot="1" x14ac:dyDescent="0.3">
      <c r="A186" s="194"/>
      <c r="B186" s="194">
        <v>43</v>
      </c>
      <c r="C186" s="194"/>
      <c r="D186" s="537"/>
      <c r="E186" s="537"/>
      <c r="F186" s="539" t="str">
        <f>IF(ISNUMBER(E186),IF('Identificación del Instrumento'!$F$17="PRIMITIVA","",IF($G$59="DISCONTINUA",$E$84/2,0)),"")</f>
        <v/>
      </c>
      <c r="G186" s="537"/>
      <c r="H186" s="539" t="str">
        <f>IF(ISNUMBER(G186),IF('Identificación del Instrumento'!$F$17="PRIMITIVA","",IF($G$59="DISCONTINUA",$E$84/2,0)),"")</f>
        <v/>
      </c>
      <c r="I186" s="538" t="str">
        <f t="shared" si="6"/>
        <v/>
      </c>
      <c r="J186" s="538" t="str">
        <f t="shared" si="7"/>
        <v/>
      </c>
      <c r="K186" s="538" t="str">
        <f t="shared" si="15"/>
        <v/>
      </c>
      <c r="L186" s="538" t="str">
        <f t="shared" si="8"/>
        <v/>
      </c>
      <c r="M186" s="538" t="str">
        <f t="shared" si="9"/>
        <v/>
      </c>
      <c r="N186" s="194"/>
      <c r="O186" s="263"/>
      <c r="P186" s="45" t="str">
        <f t="shared" si="17"/>
        <v/>
      </c>
      <c r="Q186" s="45" t="str">
        <f t="shared" si="18"/>
        <v/>
      </c>
      <c r="R186" s="45">
        <f t="shared" si="19"/>
        <v>1.075</v>
      </c>
      <c r="S186" s="195">
        <v>0</v>
      </c>
      <c r="T186" s="45" t="str">
        <f t="shared" si="20"/>
        <v/>
      </c>
      <c r="U186" s="358" t="str">
        <f t="shared" si="21"/>
        <v/>
      </c>
      <c r="V186" s="359" t="str">
        <f>IF(ISNUMBER(I186),IF('Identificación del Instrumento'!$B$17="periódica",IF(ABS(I186)&lt;=U186,0,1),IF(ABS(L186)&lt;=U186,0,1)),"")</f>
        <v/>
      </c>
      <c r="W186" s="194"/>
      <c r="X186" s="194"/>
      <c r="Y186" s="194"/>
      <c r="Z186" s="194"/>
      <c r="AA186" s="194"/>
      <c r="AB186" s="194"/>
      <c r="AC186" s="9"/>
      <c r="AD186" s="9"/>
      <c r="AG186" s="9"/>
      <c r="AH186" s="194"/>
      <c r="AI186" s="72"/>
      <c r="AJ186" s="197"/>
      <c r="AK186" s="197"/>
      <c r="AL186" s="197"/>
      <c r="AM186" s="197"/>
      <c r="AN186" s="197"/>
      <c r="AO186" s="194"/>
      <c r="AP186" s="194"/>
      <c r="AQ186" s="194"/>
      <c r="AR186" s="194"/>
      <c r="AS186" s="194"/>
      <c r="AT186" s="194"/>
      <c r="AU186" s="194"/>
      <c r="AV186" s="194"/>
      <c r="AW186" s="194"/>
      <c r="AX186" s="194"/>
      <c r="AY186" s="194"/>
      <c r="AZ186" s="194"/>
      <c r="BA186" s="194"/>
      <c r="BB186" s="194"/>
      <c r="BC186" s="194"/>
      <c r="BD186" s="194"/>
      <c r="BE186" s="194"/>
      <c r="BF186" s="194"/>
      <c r="BG186" s="194"/>
      <c r="BH186" s="194"/>
      <c r="BI186" s="194"/>
      <c r="BJ186" s="194"/>
      <c r="BK186" s="194"/>
      <c r="BL186" s="194"/>
      <c r="BM186" s="194"/>
      <c r="BN186" s="194"/>
      <c r="BO186" s="194"/>
      <c r="BP186" s="194"/>
      <c r="BQ186" s="194"/>
      <c r="BR186" s="194"/>
      <c r="BS186" s="194"/>
      <c r="BT186" s="194"/>
      <c r="BU186" s="194"/>
      <c r="BV186" s="194"/>
      <c r="BW186" s="194"/>
      <c r="BX186" s="194"/>
      <c r="BY186" s="194"/>
      <c r="BZ186" s="194"/>
      <c r="CA186" s="194"/>
      <c r="CB186" s="194"/>
      <c r="CC186" s="194"/>
      <c r="CD186" s="194"/>
      <c r="CE186" s="194"/>
      <c r="CF186" s="194"/>
      <c r="CG186" s="194"/>
      <c r="CH186" s="194"/>
      <c r="CI186" s="194"/>
      <c r="CJ186" s="194"/>
      <c r="CK186" s="194"/>
      <c r="CL186" s="194"/>
      <c r="CM186" s="194"/>
      <c r="CN186" s="194"/>
      <c r="CO186" s="194"/>
      <c r="CP186" s="194"/>
      <c r="CQ186" s="194"/>
      <c r="CR186" s="194"/>
      <c r="CS186" s="194"/>
      <c r="CT186" s="194"/>
      <c r="CU186" s="194"/>
      <c r="CV186" s="194"/>
      <c r="CW186" s="194"/>
      <c r="CX186" s="194"/>
      <c r="CY186" s="194"/>
      <c r="CZ186" s="194"/>
      <c r="DA186" s="194"/>
      <c r="DB186" s="194"/>
      <c r="DC186" s="194"/>
      <c r="DD186" s="194"/>
      <c r="DE186" s="194"/>
      <c r="DF186" s="194"/>
      <c r="DG186" s="194"/>
      <c r="DH186" s="194"/>
      <c r="DI186" s="194"/>
      <c r="DJ186" s="194"/>
      <c r="DK186" s="194"/>
      <c r="DL186" s="194"/>
      <c r="DM186" s="194"/>
      <c r="DN186" s="194"/>
      <c r="DO186" s="194"/>
      <c r="DP186" s="194"/>
      <c r="DQ186" s="194"/>
      <c r="DR186" s="194"/>
      <c r="DS186" s="194"/>
      <c r="DT186" s="194"/>
      <c r="DU186" s="194"/>
      <c r="DV186" s="194"/>
      <c r="DW186" s="194"/>
      <c r="DX186" s="194"/>
      <c r="DY186" s="194"/>
      <c r="DZ186" s="194"/>
      <c r="EA186" s="194"/>
      <c r="EB186" s="194"/>
      <c r="EC186" s="194"/>
      <c r="ED186" s="194"/>
      <c r="EE186" s="194"/>
      <c r="EF186" s="194"/>
      <c r="EG186" s="194"/>
      <c r="EH186" s="194"/>
      <c r="EI186" s="194"/>
      <c r="EJ186" s="194"/>
      <c r="EK186" s="194"/>
      <c r="EL186" s="194"/>
      <c r="EM186" s="194"/>
      <c r="EN186" s="194"/>
      <c r="EO186" s="194"/>
      <c r="EP186" s="194"/>
    </row>
    <row r="187" spans="1:146" ht="21" customHeight="1" thickBot="1" x14ac:dyDescent="0.25">
      <c r="D187" s="537"/>
      <c r="E187" s="306"/>
      <c r="F187" s="848" t="s">
        <v>387</v>
      </c>
      <c r="G187" s="847"/>
      <c r="H187" s="307">
        <f>MAX(K143:K186)</f>
        <v>0</v>
      </c>
      <c r="I187" s="308"/>
      <c r="J187" s="253"/>
      <c r="K187" s="309" t="str">
        <f>IF(ISNUMBER(#REF!),ABS(#REF!-AVERAGE(#REF!)),"")</f>
        <v/>
      </c>
      <c r="L187" s="10"/>
      <c r="M187" s="11"/>
      <c r="N187" s="11"/>
      <c r="W187" s="11"/>
      <c r="AC187" s="9"/>
      <c r="AD187" s="9"/>
      <c r="AG187" s="9"/>
      <c r="AK187" s="9"/>
      <c r="AL187" s="9"/>
      <c r="AM187" s="9"/>
      <c r="AN187" s="9"/>
    </row>
    <row r="188" spans="1:146" ht="21" customHeight="1" x14ac:dyDescent="0.2"/>
    <row r="189" spans="1:146" ht="21" customHeight="1" x14ac:dyDescent="0.2"/>
    <row r="190" spans="1:146" ht="21" customHeight="1" thickBot="1" x14ac:dyDescent="0.25"/>
    <row r="191" spans="1:146" s="200" customFormat="1" ht="49.5" customHeight="1" thickBot="1" x14ac:dyDescent="0.4">
      <c r="B191" s="48" t="s">
        <v>30</v>
      </c>
      <c r="C191" t="s">
        <v>30</v>
      </c>
      <c r="D191" s="908" t="s">
        <v>388</v>
      </c>
      <c r="E191" s="847"/>
      <c r="F191" s="858"/>
      <c r="G191" s="17"/>
      <c r="H191" s="17"/>
      <c r="I191" s="17"/>
      <c r="J191" s="20"/>
      <c r="K191" s="11"/>
      <c r="L191" s="10"/>
      <c r="M191" s="11"/>
      <c r="N191" s="11"/>
      <c r="W191" s="11"/>
      <c r="AC191" s="9"/>
      <c r="AD191" s="9"/>
      <c r="AG191" s="9"/>
      <c r="AI191" s="181"/>
      <c r="AJ191" s="182"/>
      <c r="AK191" s="9"/>
      <c r="AL191" s="9"/>
      <c r="AM191" s="9"/>
      <c r="AN191" s="9"/>
    </row>
    <row r="192" spans="1:146" ht="28.5" customHeight="1" thickBot="1" x14ac:dyDescent="0.3">
      <c r="D192" s="934" t="s">
        <v>389</v>
      </c>
      <c r="E192" s="783"/>
      <c r="F192" s="252">
        <v>21540</v>
      </c>
      <c r="G192" s="130"/>
      <c r="H192" s="130"/>
      <c r="I192" s="18">
        <v>21940</v>
      </c>
      <c r="J192" s="19">
        <v>21936</v>
      </c>
      <c r="K192" s="201"/>
      <c r="L192" s="18"/>
      <c r="M192" s="18"/>
      <c r="N192" s="18"/>
      <c r="O192" s="18"/>
      <c r="W192" s="18"/>
      <c r="AC192" s="9"/>
      <c r="AD192" s="9"/>
      <c r="AG192" s="9"/>
      <c r="AK192" s="9"/>
      <c r="AL192" s="9"/>
      <c r="AM192" s="9"/>
      <c r="AN192" s="9"/>
    </row>
    <row r="193" spans="1:40" ht="27.75" customHeight="1" thickBot="1" x14ac:dyDescent="0.25">
      <c r="D193" s="931" t="s">
        <v>390</v>
      </c>
      <c r="E193" s="907"/>
      <c r="F193" s="254">
        <v>0</v>
      </c>
      <c r="G193" s="334" t="s">
        <v>391</v>
      </c>
      <c r="H193" s="97">
        <v>6</v>
      </c>
      <c r="I193" s="18">
        <v>14</v>
      </c>
      <c r="J193" s="19">
        <v>16</v>
      </c>
      <c r="K193" s="201">
        <v>2</v>
      </c>
      <c r="L193" s="18"/>
      <c r="M193" s="18"/>
      <c r="N193" s="18"/>
      <c r="O193" s="18"/>
      <c r="W193" s="18"/>
      <c r="AC193" s="9"/>
      <c r="AD193" s="9"/>
      <c r="AG193" s="9"/>
      <c r="AK193" s="9"/>
      <c r="AL193" s="9"/>
      <c r="AM193" s="9"/>
      <c r="AN193" s="9"/>
    </row>
    <row r="194" spans="1:40" ht="42" customHeight="1" thickBot="1" x14ac:dyDescent="0.25">
      <c r="D194" s="829" t="s">
        <v>392</v>
      </c>
      <c r="E194" s="903" t="s">
        <v>393</v>
      </c>
      <c r="F194" s="831" t="s">
        <v>394</v>
      </c>
      <c r="G194" s="909" t="s">
        <v>395</v>
      </c>
      <c r="H194" s="836"/>
      <c r="I194" s="831" t="s">
        <v>396</v>
      </c>
      <c r="J194" s="885" t="s">
        <v>397</v>
      </c>
      <c r="K194" s="773"/>
      <c r="L194" s="773"/>
      <c r="M194" s="773"/>
      <c r="N194" s="774"/>
      <c r="O194" s="889" t="s">
        <v>398</v>
      </c>
      <c r="P194" s="915" t="s">
        <v>380</v>
      </c>
      <c r="W194" s="18"/>
      <c r="AC194" s="202"/>
      <c r="AD194" s="9"/>
      <c r="AE194" s="198"/>
      <c r="AG194" s="9"/>
      <c r="AK194" s="9"/>
      <c r="AL194" s="9"/>
      <c r="AM194" s="9"/>
      <c r="AN194" s="9"/>
    </row>
    <row r="195" spans="1:40" ht="27.75" customHeight="1" thickBot="1" x14ac:dyDescent="0.25">
      <c r="A195" t="s">
        <v>30</v>
      </c>
      <c r="D195" s="830"/>
      <c r="E195" s="904"/>
      <c r="F195" s="832"/>
      <c r="G195" s="97">
        <v>5000</v>
      </c>
      <c r="H195" s="256" t="s">
        <v>289</v>
      </c>
      <c r="I195" s="832"/>
      <c r="J195" s="44" t="s">
        <v>399</v>
      </c>
      <c r="K195" s="49" t="s">
        <v>400</v>
      </c>
      <c r="L195" s="44" t="s">
        <v>401</v>
      </c>
      <c r="M195" s="44" t="s">
        <v>402</v>
      </c>
      <c r="N195" s="44" t="s">
        <v>403</v>
      </c>
      <c r="O195" s="890"/>
      <c r="P195" s="916"/>
      <c r="W195" s="18"/>
      <c r="AC195" s="73"/>
      <c r="AD195" s="9"/>
      <c r="AE195" s="194"/>
      <c r="AG195" s="9"/>
      <c r="AK195" s="9"/>
      <c r="AL195" s="9"/>
      <c r="AM195" s="9"/>
      <c r="AN195" s="9"/>
    </row>
    <row r="196" spans="1:40" s="203" customFormat="1" ht="21" customHeight="1" thickBot="1" x14ac:dyDescent="0.3">
      <c r="D196" s="374">
        <f>IF(AND(ISNUMBER(F192),ISNUMBER(F193)),F192-F193,"")</f>
        <v>21540</v>
      </c>
      <c r="E196" s="374">
        <f>IF(ISNUMBER(F192),F192,"")</f>
        <v>21540</v>
      </c>
      <c r="F196" s="374">
        <f t="shared" ref="F196:F203" si="22">IF(ISNUMBER(E196),E196-D196,"")</f>
        <v>0</v>
      </c>
      <c r="G196" s="374">
        <v>10</v>
      </c>
      <c r="H196" s="374">
        <f t="shared" ref="H196:H203" si="23">IF(AND(ISNUMBER(E196),ISNUMBER(G196),$B$59=1),IF($G$59="discontinua",(E196+($H$136/2)-G196),(E196-G196)),"")</f>
        <v>21540</v>
      </c>
      <c r="I196" s="374">
        <f t="shared" ref="I196:I203" si="24">IF(AND(ISNUMBER(E196),ISNUMBER(G196),$B$59=1),IF($G$59="discontinua",(E196+($H$136/2)-G196-D196),(E196-G196-D196)),"")</f>
        <v>0</v>
      </c>
      <c r="J196" s="530">
        <f t="shared" ref="J196:J203" si="25">IF(ISNUMBER(E196),$E$18/SQRT(12),"")</f>
        <v>5.7735026918962582</v>
      </c>
      <c r="K196" s="530">
        <f t="shared" ref="K196:K203" si="26">IF(ISNUMBER(E196),MAX(K$96,K$120,K$108,K$132)/SQRT(12),"")</f>
        <v>0</v>
      </c>
      <c r="L196" s="530">
        <v>0</v>
      </c>
      <c r="M196" s="530" t="str">
        <f t="shared" ref="M196:M203" si="27">IF(ISNUMBER(T$186),T$186/2,"")</f>
        <v/>
      </c>
      <c r="N196" s="530">
        <f t="shared" ref="N196:N203" si="28">IF(ISNUMBER(E196),2*SQRT(SUMSQ(J196,K196,L196)),"")</f>
        <v>11.547005383792516</v>
      </c>
      <c r="O196" s="46">
        <f t="shared" ref="O196:O203" si="29">IF(ISNUMBER(E196),IF(D196&lt;=$F$49,I$49,IF(D196&lt;=$F$50,$I$50,$I$51)),"")</f>
        <v>40</v>
      </c>
      <c r="P196" s="531">
        <f>IF(ISNUMBER(F196),IF('Identificación del Instrumento'!$B$17="periódica",IF(ABS(F196)&lt;=O196,0,1),IF(ABS(I196)&lt;=O196,0,1)),"")</f>
        <v>0</v>
      </c>
      <c r="AC196" s="73"/>
      <c r="AD196" s="9"/>
      <c r="AE196" s="194"/>
      <c r="AG196" s="9"/>
      <c r="AH196" s="194"/>
      <c r="AI196" s="120"/>
      <c r="AJ196" s="9"/>
      <c r="AK196" s="9"/>
      <c r="AL196" s="9"/>
      <c r="AM196" s="9"/>
      <c r="AN196" s="9"/>
    </row>
    <row r="197" spans="1:40" s="203" customFormat="1" ht="21" customHeight="1" thickBot="1" x14ac:dyDescent="0.3">
      <c r="B197">
        <v>1</v>
      </c>
      <c r="C197" s="99"/>
      <c r="D197" s="374">
        <f>IF(ISNUMBER($G$195),D196+$G$195,"")</f>
        <v>26540</v>
      </c>
      <c r="E197" s="532">
        <v>26560</v>
      </c>
      <c r="F197" s="374">
        <f t="shared" si="22"/>
        <v>20</v>
      </c>
      <c r="G197" s="533">
        <f>IF(ISNUMBER(F197),IF('Identificación del Instrumento'!$F$17="PRIMITIVA","",IF($G$59="DISCONTINUA",$E$84/2,0)),"")</f>
        <v>10</v>
      </c>
      <c r="H197" s="374">
        <f t="shared" si="23"/>
        <v>26560</v>
      </c>
      <c r="I197" s="374">
        <f t="shared" si="24"/>
        <v>20</v>
      </c>
      <c r="J197" s="530">
        <f t="shared" si="25"/>
        <v>5.7735026918962582</v>
      </c>
      <c r="K197" s="530">
        <f t="shared" si="26"/>
        <v>0</v>
      </c>
      <c r="L197" s="530">
        <f t="shared" ref="L197:L203" si="30">IF(ISBLANK($G$195),"",0.05*($G$195*B197/1000)/2)</f>
        <v>0.125</v>
      </c>
      <c r="M197" s="530" t="str">
        <f t="shared" si="27"/>
        <v/>
      </c>
      <c r="N197" s="530">
        <f t="shared" si="28"/>
        <v>11.549711396105678</v>
      </c>
      <c r="O197" s="46">
        <f t="shared" si="29"/>
        <v>40</v>
      </c>
      <c r="P197" s="534">
        <f>IF(ISNUMBER(F197),IF('Identificación del Instrumento'!$B$17="periódica",IF(ABS(F197)&lt;=O197,0,1),IF(ABS(I197)&lt;=O197,0,1)),"")</f>
        <v>0</v>
      </c>
      <c r="AC197" s="73"/>
      <c r="AD197" s="9"/>
      <c r="AE197" s="194"/>
      <c r="AG197" s="9"/>
      <c r="AH197" s="194"/>
      <c r="AI197" s="120"/>
      <c r="AJ197" s="9"/>
      <c r="AK197" s="9"/>
      <c r="AL197" s="9"/>
      <c r="AM197" s="9"/>
      <c r="AN197" s="9"/>
    </row>
    <row r="198" spans="1:40" s="203" customFormat="1" ht="21" customHeight="1" thickBot="1" x14ac:dyDescent="0.3">
      <c r="B198">
        <v>2</v>
      </c>
      <c r="C198" s="99"/>
      <c r="D198" s="374">
        <f>IF(ISNUMBER($G$195),D197+$G$195,"")</f>
        <v>31540</v>
      </c>
      <c r="E198" s="532">
        <v>31560</v>
      </c>
      <c r="F198" s="374">
        <f t="shared" si="22"/>
        <v>20</v>
      </c>
      <c r="G198" s="533">
        <f>IF(ISNUMBER(F198),IF('Identificación del Instrumento'!$F$17="PRIMITIVA","",IF($G$59="DISCONTINUA",$E$84/2,0)),"")</f>
        <v>10</v>
      </c>
      <c r="H198" s="374">
        <f t="shared" si="23"/>
        <v>31560</v>
      </c>
      <c r="I198" s="374">
        <f t="shared" si="24"/>
        <v>20</v>
      </c>
      <c r="J198" s="530">
        <f t="shared" si="25"/>
        <v>5.7735026918962582</v>
      </c>
      <c r="K198" s="530">
        <f t="shared" si="26"/>
        <v>0</v>
      </c>
      <c r="L198" s="530">
        <f t="shared" si="30"/>
        <v>0.25</v>
      </c>
      <c r="M198" s="530" t="str">
        <f t="shared" si="27"/>
        <v/>
      </c>
      <c r="N198" s="530">
        <f t="shared" si="28"/>
        <v>11.557825631723874</v>
      </c>
      <c r="O198" s="46">
        <f t="shared" si="29"/>
        <v>40</v>
      </c>
      <c r="P198" s="534">
        <f>IF(ISNUMBER(F198),IF('Identificación del Instrumento'!$B$17="periódica",IF(ABS(F198)&lt;=O198,0,1),IF(ABS(I198)&lt;=O198,0,1)),"")</f>
        <v>0</v>
      </c>
      <c r="AC198" s="73"/>
      <c r="AD198" s="9"/>
      <c r="AE198" s="194"/>
      <c r="AG198" s="9"/>
      <c r="AH198" s="194"/>
      <c r="AI198" s="120"/>
      <c r="AJ198" s="9"/>
      <c r="AK198" s="9"/>
      <c r="AL198" s="9"/>
      <c r="AM198" s="9"/>
      <c r="AN198" s="9"/>
    </row>
    <row r="199" spans="1:40" s="203" customFormat="1" ht="21" customHeight="1" thickBot="1" x14ac:dyDescent="0.3">
      <c r="B199">
        <v>3</v>
      </c>
      <c r="C199" s="99"/>
      <c r="D199" s="374">
        <f>IF(ISNUMBER($G$195),D198+$G$195,"")</f>
        <v>36540</v>
      </c>
      <c r="E199" s="532">
        <v>36560</v>
      </c>
      <c r="F199" s="374">
        <f t="shared" si="22"/>
        <v>20</v>
      </c>
      <c r="G199" s="533">
        <f>IF(ISNUMBER(F199),IF('Identificación del Instrumento'!$F$17="PRIMITIVA","",IF($G$59="DISCONTINUA",$E$84/2,0)),"")</f>
        <v>10</v>
      </c>
      <c r="H199" s="374">
        <f t="shared" si="23"/>
        <v>36560</v>
      </c>
      <c r="I199" s="374">
        <f t="shared" si="24"/>
        <v>20</v>
      </c>
      <c r="J199" s="530">
        <f t="shared" si="25"/>
        <v>5.7735026918962582</v>
      </c>
      <c r="K199" s="530">
        <f t="shared" si="26"/>
        <v>0</v>
      </c>
      <c r="L199" s="530">
        <f t="shared" si="30"/>
        <v>0.375</v>
      </c>
      <c r="M199" s="530" t="str">
        <f t="shared" si="27"/>
        <v/>
      </c>
      <c r="N199" s="530">
        <f t="shared" si="28"/>
        <v>11.571336713333226</v>
      </c>
      <c r="O199" s="46">
        <f t="shared" si="29"/>
        <v>40</v>
      </c>
      <c r="P199" s="534">
        <f>IF(ISNUMBER(F199),IF('Identificación del Instrumento'!$B$17="periódica",IF(ABS(F199)&lt;=O199,0,1),IF(ABS(I199)&lt;=O199,0,1)),"")</f>
        <v>0</v>
      </c>
      <c r="AC199" s="73"/>
      <c r="AD199" s="9"/>
      <c r="AE199" s="194"/>
      <c r="AG199" s="9"/>
      <c r="AH199" s="194"/>
      <c r="AI199" s="120"/>
      <c r="AJ199" s="9"/>
      <c r="AK199" s="9"/>
      <c r="AL199" s="9"/>
      <c r="AM199" s="9"/>
      <c r="AN199" s="9"/>
    </row>
    <row r="200" spans="1:40" s="203" customFormat="1" ht="21" customHeight="1" thickBot="1" x14ac:dyDescent="0.3">
      <c r="B200">
        <v>4</v>
      </c>
      <c r="C200" s="99"/>
      <c r="D200" s="374">
        <f>IF(ISNUMBER($G$195),D199+$G$195,"")</f>
        <v>41540</v>
      </c>
      <c r="E200" s="532">
        <v>41560</v>
      </c>
      <c r="F200" s="374">
        <f t="shared" si="22"/>
        <v>20</v>
      </c>
      <c r="G200" s="533">
        <f>IF(ISNUMBER(F200),IF('Identificación del Instrumento'!$F$17="PRIMITIVA","",IF($G$59="DISCONTINUA",$E$84/2,0)),"")</f>
        <v>10</v>
      </c>
      <c r="H200" s="374">
        <f t="shared" si="23"/>
        <v>41560</v>
      </c>
      <c r="I200" s="374">
        <f t="shared" si="24"/>
        <v>20</v>
      </c>
      <c r="J200" s="530">
        <f t="shared" si="25"/>
        <v>5.7735026918962582</v>
      </c>
      <c r="K200" s="530">
        <f t="shared" si="26"/>
        <v>0</v>
      </c>
      <c r="L200" s="530">
        <f t="shared" si="30"/>
        <v>0.5</v>
      </c>
      <c r="M200" s="530" t="str">
        <f t="shared" si="27"/>
        <v/>
      </c>
      <c r="N200" s="530">
        <f t="shared" si="28"/>
        <v>11.590225767142474</v>
      </c>
      <c r="O200" s="46">
        <f t="shared" si="29"/>
        <v>60</v>
      </c>
      <c r="P200" s="534">
        <f>IF(ISNUMBER(F200),IF('Identificación del Instrumento'!$B$17="periódica",IF(ABS(F200)&lt;=O200,0,1),IF(ABS(I200)&lt;=O200,0,1)),"")</f>
        <v>0</v>
      </c>
      <c r="AC200" s="73"/>
      <c r="AD200" s="9"/>
      <c r="AE200" s="194"/>
      <c r="AG200" s="9"/>
      <c r="AH200" s="194"/>
      <c r="AI200" s="120"/>
      <c r="AJ200" s="9"/>
      <c r="AK200" s="9"/>
      <c r="AL200" s="9"/>
      <c r="AM200" s="9"/>
      <c r="AN200" s="9"/>
    </row>
    <row r="201" spans="1:40" s="203" customFormat="1" ht="21" customHeight="1" thickBot="1" x14ac:dyDescent="0.3">
      <c r="B201">
        <v>5</v>
      </c>
      <c r="C201" s="99"/>
      <c r="D201" s="374">
        <v>43560</v>
      </c>
      <c r="E201" s="532">
        <v>43560</v>
      </c>
      <c r="F201" s="374">
        <f t="shared" si="22"/>
        <v>0</v>
      </c>
      <c r="G201" s="535">
        <v>5</v>
      </c>
      <c r="H201" s="374">
        <f t="shared" si="23"/>
        <v>43565</v>
      </c>
      <c r="I201" s="374">
        <f t="shared" si="24"/>
        <v>5</v>
      </c>
      <c r="J201" s="530">
        <f t="shared" si="25"/>
        <v>5.7735026918962582</v>
      </c>
      <c r="K201" s="530">
        <f t="shared" si="26"/>
        <v>0</v>
      </c>
      <c r="L201" s="530">
        <f t="shared" si="30"/>
        <v>0.625</v>
      </c>
      <c r="M201" s="530" t="str">
        <f t="shared" si="27"/>
        <v/>
      </c>
      <c r="N201" s="530">
        <f t="shared" si="28"/>
        <v>11.614466553971964</v>
      </c>
      <c r="O201" s="46">
        <f t="shared" si="29"/>
        <v>60</v>
      </c>
      <c r="P201" s="534">
        <f>IF(ISNUMBER(F201),IF('Identificación del Instrumento'!$B$17="periódica",IF(ABS(F201)&lt;=O201,0,1),IF(ABS(I201)&lt;=O201,0,1)),"")</f>
        <v>0</v>
      </c>
      <c r="AC201" s="73"/>
      <c r="AD201" s="9"/>
      <c r="AE201" s="194"/>
      <c r="AG201" s="9"/>
      <c r="AH201" s="194"/>
      <c r="AI201" s="120"/>
      <c r="AJ201" s="9"/>
      <c r="AK201" s="9"/>
      <c r="AL201" s="9"/>
      <c r="AM201" s="9"/>
      <c r="AN201" s="9"/>
    </row>
    <row r="202" spans="1:40" s="203" customFormat="1" ht="20.25" customHeight="1" thickBot="1" x14ac:dyDescent="0.3">
      <c r="B202">
        <v>6</v>
      </c>
      <c r="C202" s="99"/>
      <c r="D202" s="374"/>
      <c r="E202" s="532"/>
      <c r="F202" s="374" t="str">
        <f t="shared" si="22"/>
        <v/>
      </c>
      <c r="G202" s="533" t="str">
        <f>IF(ISNUMBER(F202),IF('Identificación del Instrumento'!$F$17="PRIMITIVA","",IF($G$59="DISCONTINUA",$E$84/2,0)),"")</f>
        <v/>
      </c>
      <c r="H202" s="374" t="str">
        <f t="shared" si="23"/>
        <v/>
      </c>
      <c r="I202" s="374" t="str">
        <f t="shared" si="24"/>
        <v/>
      </c>
      <c r="J202" s="530" t="str">
        <f t="shared" si="25"/>
        <v/>
      </c>
      <c r="K202" s="530" t="str">
        <f t="shared" si="26"/>
        <v/>
      </c>
      <c r="L202" s="530">
        <f t="shared" si="30"/>
        <v>0.75</v>
      </c>
      <c r="M202" s="530" t="str">
        <f t="shared" si="27"/>
        <v/>
      </c>
      <c r="N202" s="530" t="str">
        <f t="shared" si="28"/>
        <v/>
      </c>
      <c r="O202" s="46" t="str">
        <f t="shared" si="29"/>
        <v/>
      </c>
      <c r="P202" s="534" t="str">
        <f>IF(ISNUMBER(F202),IF('Identificación del Instrumento'!$B$17="periódica",IF(ABS(F202)&lt;=O202,0,1),IF(ABS(I202)&lt;=O202,0,1)),"")</f>
        <v/>
      </c>
      <c r="AC202" s="73"/>
      <c r="AD202" s="9"/>
      <c r="AE202" s="194"/>
      <c r="AG202" s="9"/>
      <c r="AH202" s="194"/>
      <c r="AI202" s="120"/>
      <c r="AJ202" s="9"/>
      <c r="AK202" s="9"/>
      <c r="AL202" s="9"/>
      <c r="AM202" s="9"/>
      <c r="AN202" s="9"/>
    </row>
    <row r="203" spans="1:40" s="203" customFormat="1" ht="21" customHeight="1" thickBot="1" x14ac:dyDescent="0.3">
      <c r="B203">
        <v>7</v>
      </c>
      <c r="C203" s="99"/>
      <c r="D203" s="374"/>
      <c r="E203" s="532"/>
      <c r="F203" s="374" t="str">
        <f t="shared" si="22"/>
        <v/>
      </c>
      <c r="G203" s="535" t="str">
        <f>IF(ISNUMBER(F203),IF('Identificación del Instrumento'!$F$17="PRIMITIVA","",IF($G$59="DISCONTINUA",$E$84/2,0)),"")</f>
        <v/>
      </c>
      <c r="H203" s="374" t="str">
        <f t="shared" si="23"/>
        <v/>
      </c>
      <c r="I203" s="374" t="str">
        <f t="shared" si="24"/>
        <v/>
      </c>
      <c r="J203" s="530" t="str">
        <f t="shared" si="25"/>
        <v/>
      </c>
      <c r="K203" s="530" t="str">
        <f t="shared" si="26"/>
        <v/>
      </c>
      <c r="L203" s="530">
        <f t="shared" si="30"/>
        <v>0.875</v>
      </c>
      <c r="M203" s="530" t="str">
        <f t="shared" si="27"/>
        <v/>
      </c>
      <c r="N203" s="530" t="str">
        <f t="shared" si="28"/>
        <v/>
      </c>
      <c r="O203" s="46" t="str">
        <f t="shared" si="29"/>
        <v/>
      </c>
      <c r="P203" s="534" t="str">
        <f>IF(ISNUMBER(F203),IF('Identificación del Instrumento'!$B$17="periódica",IF(ABS(F203)&lt;=O203,0,1),IF(ABS(I203)&lt;=O203,0,1)),"")</f>
        <v/>
      </c>
      <c r="AC203" s="73"/>
      <c r="AD203" s="9"/>
      <c r="AE203" s="194"/>
      <c r="AG203" s="9"/>
      <c r="AH203" s="194"/>
      <c r="AI203" s="120"/>
      <c r="AJ203" s="9"/>
      <c r="AK203" s="9"/>
      <c r="AL203" s="9"/>
      <c r="AM203" s="9"/>
      <c r="AN203" s="9"/>
    </row>
    <row r="204" spans="1:40" ht="21" customHeight="1" x14ac:dyDescent="0.2">
      <c r="O204" s="474" t="s">
        <v>330</v>
      </c>
      <c r="P204" s="475">
        <f>IF(COUNT(V113:V156)&gt;0,SUM(V143:V186,P196:P203),1)</f>
        <v>0</v>
      </c>
    </row>
    <row r="205" spans="1:40" ht="21" customHeight="1" x14ac:dyDescent="0.2"/>
    <row r="206" spans="1:40" ht="21" customHeight="1" x14ac:dyDescent="0.2"/>
    <row r="207" spans="1:40" ht="36.75" hidden="1" customHeight="1" thickBot="1" x14ac:dyDescent="0.25">
      <c r="C207" s="99"/>
      <c r="D207" s="908" t="s">
        <v>404</v>
      </c>
      <c r="E207" s="847"/>
      <c r="F207" s="858"/>
      <c r="G207" s="825"/>
      <c r="H207" s="826"/>
      <c r="I207" s="826"/>
      <c r="J207" s="826"/>
      <c r="K207" s="827"/>
      <c r="L207" s="826"/>
      <c r="M207" s="826"/>
      <c r="N207" s="826"/>
      <c r="AH207" s="194"/>
      <c r="AI207" s="120"/>
      <c r="AJ207" s="9"/>
      <c r="AK207" s="9"/>
      <c r="AL207" s="9"/>
      <c r="AM207" s="9"/>
      <c r="AN207" s="9"/>
    </row>
    <row r="208" spans="1:40" ht="27.75" hidden="1" customHeight="1" thickBot="1" x14ac:dyDescent="0.25">
      <c r="D208" s="917" t="s">
        <v>405</v>
      </c>
      <c r="E208" s="783"/>
      <c r="F208" s="252"/>
      <c r="G208" s="828"/>
      <c r="H208" s="826"/>
      <c r="I208" s="826"/>
      <c r="J208" s="826"/>
      <c r="K208" s="827"/>
      <c r="L208" s="826"/>
      <c r="M208" s="826"/>
      <c r="N208" s="826"/>
      <c r="O208" s="74"/>
    </row>
    <row r="209" spans="4:16" ht="30.75" hidden="1" customHeight="1" thickBot="1" x14ac:dyDescent="0.25">
      <c r="D209" s="931" t="s">
        <v>390</v>
      </c>
      <c r="E209" s="907"/>
      <c r="F209" s="254"/>
      <c r="G209" s="334" t="s">
        <v>391</v>
      </c>
      <c r="H209" s="97">
        <v>10</v>
      </c>
      <c r="J209" s="72"/>
      <c r="K209" s="73"/>
      <c r="L209" s="73"/>
      <c r="M209" s="72"/>
      <c r="N209" s="72"/>
      <c r="O209" s="74"/>
    </row>
    <row r="210" spans="4:16" ht="26.25" hidden="1" customHeight="1" thickBot="1" x14ac:dyDescent="0.3">
      <c r="D210" s="829" t="s">
        <v>392</v>
      </c>
      <c r="E210" s="903" t="s">
        <v>393</v>
      </c>
      <c r="F210" s="831" t="s">
        <v>394</v>
      </c>
      <c r="G210" s="905" t="s">
        <v>395</v>
      </c>
      <c r="H210" s="836"/>
      <c r="I210" s="831" t="s">
        <v>396</v>
      </c>
      <c r="J210" s="885" t="s">
        <v>397</v>
      </c>
      <c r="K210" s="773"/>
      <c r="L210" s="773"/>
      <c r="M210" s="773"/>
      <c r="N210" s="774"/>
      <c r="O210" s="889" t="s">
        <v>398</v>
      </c>
      <c r="P210" s="915" t="s">
        <v>380</v>
      </c>
    </row>
    <row r="211" spans="4:16" ht="21.75" hidden="1" customHeight="1" thickBot="1" x14ac:dyDescent="0.25">
      <c r="D211" s="830"/>
      <c r="E211" s="904"/>
      <c r="F211" s="832"/>
      <c r="G211" s="97">
        <v>5000</v>
      </c>
      <c r="H211" s="256" t="s">
        <v>289</v>
      </c>
      <c r="I211" s="832"/>
      <c r="J211" s="44" t="s">
        <v>399</v>
      </c>
      <c r="K211" s="49" t="s">
        <v>400</v>
      </c>
      <c r="L211" s="44" t="s">
        <v>401</v>
      </c>
      <c r="M211" s="44" t="s">
        <v>402</v>
      </c>
      <c r="N211" s="44" t="s">
        <v>403</v>
      </c>
      <c r="O211" s="890"/>
      <c r="P211" s="916"/>
    </row>
    <row r="212" spans="4:16" ht="21" hidden="1" customHeight="1" thickBot="1" x14ac:dyDescent="0.3">
      <c r="D212" s="374" t="str">
        <f>IF(AND(ISNUMBER(F208),ISNUMBER(F209)),F208-F209,"")</f>
        <v/>
      </c>
      <c r="E212" s="374" t="str">
        <f>IF(ISNUMBER(F208),F208,"")</f>
        <v/>
      </c>
      <c r="F212" s="374" t="str">
        <f>IF(ISNUMBER(D212),E212-D212,"")</f>
        <v/>
      </c>
      <c r="G212" s="374">
        <f>H209</f>
        <v>10</v>
      </c>
      <c r="H212" s="374" t="str">
        <f t="shared" ref="H212:H218" si="31">IF(AND(ISNUMBER(E212),ISNUMBER(G212),$B$59=1),IF($G$59="discontinua",(E212+($H$136/2)-G212),(E212-G212)),"")</f>
        <v/>
      </c>
      <c r="I212" s="374" t="str">
        <f t="shared" ref="I212:I218" si="32">IF(AND(ISNUMBER(D212),ISNUMBER(H212)),H212-D212,"")</f>
        <v/>
      </c>
      <c r="J212" s="530" t="str">
        <f t="shared" ref="J212:J218" si="33">IF(ISNUMBER(E212),$E$18/SQRT(12),"")</f>
        <v/>
      </c>
      <c r="K212" s="530" t="str">
        <f t="shared" ref="K212:K218" si="34">IF(ISNUMBER(E212),MAX(K$96,K$120,K$108,K$132),"")</f>
        <v/>
      </c>
      <c r="L212" s="530">
        <v>6.1</v>
      </c>
      <c r="M212" s="530" t="str">
        <f t="shared" ref="M212:M218" si="35">IF(ISNUMBER(T$186),T$186/2,"")</f>
        <v/>
      </c>
      <c r="N212" s="530" t="str">
        <f t="shared" ref="N212:N218" si="36">IF(ISNUMBER(E212),2*SQRT(SUMSQ(J212,K212,L212)),"")</f>
        <v/>
      </c>
      <c r="O212" s="46" t="str">
        <f t="shared" ref="O212:O218" si="37">IF(ISNUMBER(E212),IF(D212&lt;=$F$49,I$49,IF(D212&lt;=$F$50,$I$50,$I$51)),"")</f>
        <v/>
      </c>
      <c r="P212" s="534" t="str">
        <f>IF(ISNUMBER(F212),IF('Identificación del Instrumento'!$B$17="periódica",IF(ABS(F212)&lt;=O212,0,1),IF(ABS(I212)&lt;=O212,0,1)),"")</f>
        <v/>
      </c>
    </row>
    <row r="213" spans="4:16" ht="21" hidden="1" customHeight="1" thickBot="1" x14ac:dyDescent="0.3">
      <c r="D213" s="374" t="e">
        <f>IF(ISNUMBER($G$211),D212+$G$211,"")</f>
        <v>#VALUE!</v>
      </c>
      <c r="E213" s="532"/>
      <c r="F213" s="374" t="str">
        <f t="shared" ref="F213:F218" si="38">IF(ISNUMBER(E213),E213-D213,"")</f>
        <v/>
      </c>
      <c r="G213" s="374">
        <v>10</v>
      </c>
      <c r="H213" s="374" t="str">
        <f t="shared" si="31"/>
        <v/>
      </c>
      <c r="I213" s="374" t="str">
        <f t="shared" si="32"/>
        <v/>
      </c>
      <c r="J213" s="530" t="str">
        <f t="shared" si="33"/>
        <v/>
      </c>
      <c r="K213" s="530" t="str">
        <f t="shared" si="34"/>
        <v/>
      </c>
      <c r="L213" s="530">
        <v>7.1</v>
      </c>
      <c r="M213" s="530" t="str">
        <f t="shared" si="35"/>
        <v/>
      </c>
      <c r="N213" s="530" t="str">
        <f t="shared" si="36"/>
        <v/>
      </c>
      <c r="O213" s="46" t="str">
        <f t="shared" si="37"/>
        <v/>
      </c>
      <c r="P213" s="534" t="str">
        <f>IF(ISNUMBER(F213),IF('Identificación del Instrumento'!$B$17="periódica",IF(ABS(F213)&lt;=O213,0,1),IF(ABS(I213)&lt;=O213,0,1)),"")</f>
        <v/>
      </c>
    </row>
    <row r="214" spans="4:16" ht="21" hidden="1" customHeight="1" thickBot="1" x14ac:dyDescent="0.3">
      <c r="D214" s="374" t="e">
        <f>IF(ISNUMBER($G$211),D213+$G$211,"")</f>
        <v>#VALUE!</v>
      </c>
      <c r="E214" s="532"/>
      <c r="F214" s="374" t="str">
        <f t="shared" si="38"/>
        <v/>
      </c>
      <c r="G214" s="374">
        <v>10</v>
      </c>
      <c r="H214" s="374" t="str">
        <f t="shared" si="31"/>
        <v/>
      </c>
      <c r="I214" s="374" t="str">
        <f t="shared" si="32"/>
        <v/>
      </c>
      <c r="J214" s="530" t="str">
        <f t="shared" si="33"/>
        <v/>
      </c>
      <c r="K214" s="530" t="str">
        <f t="shared" si="34"/>
        <v/>
      </c>
      <c r="L214" s="530">
        <v>8.1</v>
      </c>
      <c r="M214" s="530" t="str">
        <f t="shared" si="35"/>
        <v/>
      </c>
      <c r="N214" s="530" t="str">
        <f t="shared" si="36"/>
        <v/>
      </c>
      <c r="O214" s="46" t="str">
        <f t="shared" si="37"/>
        <v/>
      </c>
      <c r="P214" s="534" t="str">
        <f>IF(ISNUMBER(F214),IF('Identificación del Instrumento'!$B$17="periódica",IF(ABS(F214)&lt;=O214,0,1),IF(ABS(I214)&lt;=O214,0,1)),"")</f>
        <v/>
      </c>
    </row>
    <row r="215" spans="4:16" ht="21" hidden="1" customHeight="1" thickBot="1" x14ac:dyDescent="0.3">
      <c r="D215" s="374" t="e">
        <f>IF(ISNUMBER($G$211),D214+$G$211,"")</f>
        <v>#VALUE!</v>
      </c>
      <c r="E215" s="532"/>
      <c r="F215" s="374" t="str">
        <f t="shared" si="38"/>
        <v/>
      </c>
      <c r="G215" s="374">
        <v>10</v>
      </c>
      <c r="H215" s="374" t="str">
        <f t="shared" si="31"/>
        <v/>
      </c>
      <c r="I215" s="374" t="str">
        <f t="shared" si="32"/>
        <v/>
      </c>
      <c r="J215" s="530" t="str">
        <f t="shared" si="33"/>
        <v/>
      </c>
      <c r="K215" s="530" t="str">
        <f t="shared" si="34"/>
        <v/>
      </c>
      <c r="L215" s="530">
        <v>9.1</v>
      </c>
      <c r="M215" s="530" t="str">
        <f t="shared" si="35"/>
        <v/>
      </c>
      <c r="N215" s="530" t="str">
        <f t="shared" si="36"/>
        <v/>
      </c>
      <c r="O215" s="46" t="str">
        <f t="shared" si="37"/>
        <v/>
      </c>
      <c r="P215" s="534" t="str">
        <f>IF(ISNUMBER(F215),IF('Identificación del Instrumento'!$B$17="periódica",IF(ABS(F215)&lt;=O215,0,1),IF(ABS(I215)&lt;=O215,0,1)),"")</f>
        <v/>
      </c>
    </row>
    <row r="216" spans="4:16" ht="21" hidden="1" customHeight="1" thickBot="1" x14ac:dyDescent="0.3">
      <c r="D216" s="374" t="e">
        <f>IF(ISNUMBER($G$211),D215+$G$211,"")</f>
        <v>#VALUE!</v>
      </c>
      <c r="E216" s="532"/>
      <c r="F216" s="374" t="str">
        <f t="shared" si="38"/>
        <v/>
      </c>
      <c r="G216" s="374">
        <v>10</v>
      </c>
      <c r="H216" s="374" t="str">
        <f t="shared" si="31"/>
        <v/>
      </c>
      <c r="I216" s="374" t="str">
        <f t="shared" si="32"/>
        <v/>
      </c>
      <c r="J216" s="530" t="str">
        <f t="shared" si="33"/>
        <v/>
      </c>
      <c r="K216" s="530" t="str">
        <f t="shared" si="34"/>
        <v/>
      </c>
      <c r="L216" s="530">
        <v>10.1</v>
      </c>
      <c r="M216" s="530" t="str">
        <f t="shared" si="35"/>
        <v/>
      </c>
      <c r="N216" s="530" t="str">
        <f t="shared" si="36"/>
        <v/>
      </c>
      <c r="O216" s="46" t="str">
        <f t="shared" si="37"/>
        <v/>
      </c>
      <c r="P216" s="534" t="str">
        <f>IF(ISNUMBER(F216),IF('Identificación del Instrumento'!$B$17="periódica",IF(ABS(F216)&lt;=O216,0,1),IF(ABS(I216)&lt;=O216,0,1)),"")</f>
        <v/>
      </c>
    </row>
    <row r="217" spans="4:16" ht="21" hidden="1" customHeight="1" thickBot="1" x14ac:dyDescent="0.3">
      <c r="D217" s="374"/>
      <c r="E217" s="532"/>
      <c r="F217" s="374" t="str">
        <f t="shared" si="38"/>
        <v/>
      </c>
      <c r="G217" s="533">
        <v>8</v>
      </c>
      <c r="H217" s="374" t="str">
        <f t="shared" si="31"/>
        <v/>
      </c>
      <c r="I217" s="374" t="str">
        <f t="shared" si="32"/>
        <v/>
      </c>
      <c r="J217" s="530" t="str">
        <f t="shared" si="33"/>
        <v/>
      </c>
      <c r="K217" s="530" t="str">
        <f t="shared" si="34"/>
        <v/>
      </c>
      <c r="L217" s="530">
        <v>11.1</v>
      </c>
      <c r="M217" s="530" t="str">
        <f t="shared" si="35"/>
        <v/>
      </c>
      <c r="N217" s="530" t="str">
        <f t="shared" si="36"/>
        <v/>
      </c>
      <c r="O217" s="46" t="str">
        <f t="shared" si="37"/>
        <v/>
      </c>
      <c r="P217" s="534" t="str">
        <f>IF(ISNUMBER(F217),IF('Identificación del Instrumento'!$B$17="periódica",IF(ABS(F217)&lt;=O217,0,1),IF(ABS(I217)&lt;=O217,0,1)),"")</f>
        <v/>
      </c>
    </row>
    <row r="218" spans="4:16" ht="21" hidden="1" customHeight="1" thickBot="1" x14ac:dyDescent="0.3">
      <c r="D218" s="374"/>
      <c r="E218" s="532"/>
      <c r="F218" s="374" t="str">
        <f t="shared" si="38"/>
        <v/>
      </c>
      <c r="G218" s="533" t="str">
        <f>IF(ISNUMBER(F218),IF('Identificación del Instrumento'!$F$17="PRIMITIVA","",IF($G$59="DISCONTINUA",$E$84/2,0)),"")</f>
        <v/>
      </c>
      <c r="H218" s="374" t="str">
        <f t="shared" si="31"/>
        <v/>
      </c>
      <c r="I218" s="374" t="str">
        <f t="shared" si="32"/>
        <v/>
      </c>
      <c r="J218" s="530" t="str">
        <f t="shared" si="33"/>
        <v/>
      </c>
      <c r="K218" s="530" t="str">
        <f t="shared" si="34"/>
        <v/>
      </c>
      <c r="L218" s="530">
        <v>12.1</v>
      </c>
      <c r="M218" s="530" t="str">
        <f t="shared" si="35"/>
        <v/>
      </c>
      <c r="N218" s="530" t="str">
        <f t="shared" si="36"/>
        <v/>
      </c>
      <c r="O218" s="46" t="str">
        <f t="shared" si="37"/>
        <v/>
      </c>
      <c r="P218" s="534" t="str">
        <f>IF(ISNUMBER(F218),IF('Identificación del Instrumento'!$B$17="periódica",IF(ABS(F218)&lt;=O218,0,1),IF(ABS(I218)&lt;=O218,0,1)),"")</f>
        <v/>
      </c>
    </row>
    <row r="219" spans="4:16" ht="34.5" customHeight="1" x14ac:dyDescent="0.25">
      <c r="D219" s="480" t="s">
        <v>406</v>
      </c>
      <c r="O219" s="474" t="s">
        <v>330</v>
      </c>
      <c r="P219" s="475">
        <f>IF(COUNT(V143:V186)&gt;0,SUM(V143:V186,P196:P203,P212:P218),1)</f>
        <v>0</v>
      </c>
    </row>
    <row r="220" spans="4:16" ht="21" customHeight="1" x14ac:dyDescent="0.2"/>
    <row r="221" spans="4:16" ht="21" customHeight="1" x14ac:dyDescent="0.2"/>
    <row r="222" spans="4:16" ht="21.95" hidden="1" customHeight="1" thickBot="1" x14ac:dyDescent="0.25"/>
    <row r="223" spans="4:16" ht="21" hidden="1" customHeight="1" thickBot="1" x14ac:dyDescent="0.3">
      <c r="D223" s="908" t="s">
        <v>407</v>
      </c>
      <c r="E223" s="847"/>
      <c r="F223" s="858"/>
      <c r="G223" s="899"/>
      <c r="H223" s="826"/>
      <c r="I223" s="826"/>
      <c r="J223" s="826"/>
      <c r="K223" s="827"/>
      <c r="L223" s="826"/>
      <c r="M223" s="826"/>
      <c r="N223" s="826"/>
      <c r="O223" s="826"/>
    </row>
    <row r="224" spans="4:16" ht="21" hidden="1" customHeight="1" thickBot="1" x14ac:dyDescent="0.3">
      <c r="D224" s="928" t="s">
        <v>405</v>
      </c>
      <c r="E224" s="783"/>
      <c r="F224" s="252"/>
      <c r="G224" s="130"/>
      <c r="H224" s="130"/>
      <c r="J224" s="72"/>
      <c r="K224" s="73"/>
      <c r="L224" s="73"/>
      <c r="M224" s="72"/>
      <c r="N224" s="72"/>
      <c r="O224" s="74"/>
    </row>
    <row r="225" spans="4:16" ht="21" hidden="1" customHeight="1" thickBot="1" x14ac:dyDescent="0.25">
      <c r="D225" s="906" t="s">
        <v>408</v>
      </c>
      <c r="E225" s="907"/>
      <c r="F225" s="254"/>
      <c r="G225" s="334" t="s">
        <v>391</v>
      </c>
      <c r="H225" s="255"/>
      <c r="J225" s="72"/>
      <c r="K225" s="73"/>
      <c r="L225" s="73"/>
      <c r="M225" s="72"/>
      <c r="N225" s="72"/>
      <c r="O225" s="74"/>
    </row>
    <row r="226" spans="4:16" ht="16.5" hidden="1" customHeight="1" thickBot="1" x14ac:dyDescent="0.3">
      <c r="D226" s="829" t="s">
        <v>392</v>
      </c>
      <c r="E226" s="903" t="s">
        <v>393</v>
      </c>
      <c r="F226" s="831" t="s">
        <v>394</v>
      </c>
      <c r="G226" s="905" t="s">
        <v>395</v>
      </c>
      <c r="H226" s="836"/>
      <c r="I226" s="831" t="s">
        <v>396</v>
      </c>
      <c r="J226" s="885" t="s">
        <v>397</v>
      </c>
      <c r="K226" s="773"/>
      <c r="L226" s="773"/>
      <c r="M226" s="773"/>
      <c r="N226" s="774"/>
      <c r="O226" s="889" t="s">
        <v>398</v>
      </c>
      <c r="P226" s="915" t="s">
        <v>380</v>
      </c>
    </row>
    <row r="227" spans="4:16" ht="36" hidden="1" customHeight="1" thickBot="1" x14ac:dyDescent="0.25">
      <c r="D227" s="830"/>
      <c r="E227" s="904"/>
      <c r="F227" s="832"/>
      <c r="G227" s="255">
        <v>4000</v>
      </c>
      <c r="H227" s="256" t="s">
        <v>289</v>
      </c>
      <c r="I227" s="832"/>
      <c r="J227" s="44" t="s">
        <v>399</v>
      </c>
      <c r="K227" s="49" t="s">
        <v>400</v>
      </c>
      <c r="L227" s="44" t="s">
        <v>401</v>
      </c>
      <c r="M227" s="44" t="s">
        <v>402</v>
      </c>
      <c r="N227" s="44" t="s">
        <v>403</v>
      </c>
      <c r="O227" s="890"/>
      <c r="P227" s="916"/>
    </row>
    <row r="228" spans="4:16" ht="21" hidden="1" customHeight="1" thickBot="1" x14ac:dyDescent="0.3">
      <c r="D228" s="374" t="str">
        <f>IF(AND(ISNUMBER(F224),ISNUMBER(F225)),F224-F225,"")</f>
        <v/>
      </c>
      <c r="E228" s="374" t="str">
        <f>IF(ISNUMBER(F224),F224,"")</f>
        <v/>
      </c>
      <c r="F228" s="374" t="str">
        <f>IF(ISNUMBER(D228),E228-D228,"")</f>
        <v/>
      </c>
      <c r="G228" s="374">
        <f>H225</f>
        <v>0</v>
      </c>
      <c r="H228" s="374" t="str">
        <f t="shared" ref="H228:H234" si="39">IF(AND(ISNUMBER(E228),ISNUMBER(G228),$B$59=1),IF($G$59="discontinua",(E228+($H$136/2)-G228),(E228-G228)),"")</f>
        <v/>
      </c>
      <c r="I228" s="374" t="str">
        <f t="shared" ref="I228:I234" si="40">IF(AND(ISNUMBER(D228),ISNUMBER(H228)),H228-D228,"")</f>
        <v/>
      </c>
      <c r="J228" s="530" t="str">
        <f t="shared" ref="J228:J234" si="41">IF(ISNUMBER(E228),$E$18/SQRT(12),"")</f>
        <v/>
      </c>
      <c r="K228" s="530" t="str">
        <f t="shared" ref="K228:K234" si="42">IF(ISNUMBER(E228),MAX(K$94,K$118,K$106,K$130),"")</f>
        <v/>
      </c>
      <c r="L228" s="530">
        <v>6.1</v>
      </c>
      <c r="M228" s="530" t="str">
        <f t="shared" ref="M228:M234" si="43">IF(ISNUMBER(T$184),T$184/2,"")</f>
        <v/>
      </c>
      <c r="N228" s="530" t="str">
        <f t="shared" ref="N228:N234" si="44">IF(ISNUMBER(E228),2*SQRT(SUMSQ(J228,K228,L228)),"")</f>
        <v/>
      </c>
      <c r="O228" s="46" t="str">
        <f t="shared" ref="O228:O234" si="45">IF(ISNUMBER(E228),IF(D228&lt;=$F$49,I$49,IF(D228&lt;=$F$50,$I$50,$I$51)),"")</f>
        <v/>
      </c>
      <c r="P228" s="534"/>
    </row>
    <row r="229" spans="4:16" ht="21" hidden="1" customHeight="1" thickBot="1" x14ac:dyDescent="0.3">
      <c r="D229" s="374" t="e">
        <f t="shared" ref="D229:D234" si="46">IF(ISNUMBER($G$227),D228+$G$227,"")</f>
        <v>#VALUE!</v>
      </c>
      <c r="E229" s="532"/>
      <c r="F229" s="374" t="str">
        <f t="shared" ref="F229:F234" si="47">IF(ISNUMBER(E229),E229-D229,"")</f>
        <v/>
      </c>
      <c r="G229" s="535" t="str">
        <f>IF(ISNUMBER(F229),IF('Identificación del Instrumento'!$F$17="PRIMITIVA","",IF($G$59="DISCONTINUA",$E$84/2,0)),"")</f>
        <v/>
      </c>
      <c r="H229" s="374" t="str">
        <f t="shared" si="39"/>
        <v/>
      </c>
      <c r="I229" s="374" t="str">
        <f t="shared" si="40"/>
        <v/>
      </c>
      <c r="J229" s="530" t="str">
        <f t="shared" si="41"/>
        <v/>
      </c>
      <c r="K229" s="530" t="str">
        <f t="shared" si="42"/>
        <v/>
      </c>
      <c r="L229" s="530">
        <v>7.1</v>
      </c>
      <c r="M229" s="530" t="str">
        <f t="shared" si="43"/>
        <v/>
      </c>
      <c r="N229" s="530" t="str">
        <f t="shared" si="44"/>
        <v/>
      </c>
      <c r="O229" s="46" t="str">
        <f t="shared" si="45"/>
        <v/>
      </c>
      <c r="P229" s="534"/>
    </row>
    <row r="230" spans="4:16" ht="21" hidden="1" customHeight="1" thickBot="1" x14ac:dyDescent="0.3">
      <c r="D230" s="374" t="e">
        <f t="shared" si="46"/>
        <v>#VALUE!</v>
      </c>
      <c r="E230" s="532"/>
      <c r="F230" s="374" t="str">
        <f t="shared" si="47"/>
        <v/>
      </c>
      <c r="G230" s="533" t="str">
        <f>IF(ISNUMBER(F230),IF('Identificación del Instrumento'!$F$17="PRIMITIVA","",IF($G$59="DISCONTINUA",$E$84/2,0)),"")</f>
        <v/>
      </c>
      <c r="H230" s="374" t="str">
        <f t="shared" si="39"/>
        <v/>
      </c>
      <c r="I230" s="374" t="str">
        <f t="shared" si="40"/>
        <v/>
      </c>
      <c r="J230" s="530" t="str">
        <f t="shared" si="41"/>
        <v/>
      </c>
      <c r="K230" s="530" t="str">
        <f t="shared" si="42"/>
        <v/>
      </c>
      <c r="L230" s="530">
        <v>8.1</v>
      </c>
      <c r="M230" s="530" t="str">
        <f t="shared" si="43"/>
        <v/>
      </c>
      <c r="N230" s="530" t="str">
        <f t="shared" si="44"/>
        <v/>
      </c>
      <c r="O230" s="46" t="str">
        <f t="shared" si="45"/>
        <v/>
      </c>
      <c r="P230" s="534"/>
    </row>
    <row r="231" spans="4:16" ht="21" hidden="1" customHeight="1" thickBot="1" x14ac:dyDescent="0.3">
      <c r="D231" s="374" t="e">
        <f t="shared" si="46"/>
        <v>#VALUE!</v>
      </c>
      <c r="E231" s="532"/>
      <c r="F231" s="374" t="str">
        <f t="shared" si="47"/>
        <v/>
      </c>
      <c r="G231" s="533" t="str">
        <f>IF(ISNUMBER(F231),IF('Identificación del Instrumento'!$F$17="PRIMITIVA","",IF($G$59="DISCONTINUA",$E$84/2,0)),"")</f>
        <v/>
      </c>
      <c r="H231" s="374" t="str">
        <f t="shared" si="39"/>
        <v/>
      </c>
      <c r="I231" s="374" t="str">
        <f t="shared" si="40"/>
        <v/>
      </c>
      <c r="J231" s="530" t="str">
        <f t="shared" si="41"/>
        <v/>
      </c>
      <c r="K231" s="530" t="str">
        <f t="shared" si="42"/>
        <v/>
      </c>
      <c r="L231" s="530">
        <v>9.1</v>
      </c>
      <c r="M231" s="530" t="str">
        <f t="shared" si="43"/>
        <v/>
      </c>
      <c r="N231" s="530" t="str">
        <f t="shared" si="44"/>
        <v/>
      </c>
      <c r="O231" s="46" t="str">
        <f t="shared" si="45"/>
        <v/>
      </c>
      <c r="P231" s="534"/>
    </row>
    <row r="232" spans="4:16" ht="21" hidden="1" customHeight="1" thickBot="1" x14ac:dyDescent="0.3">
      <c r="D232" s="374" t="e">
        <f t="shared" si="46"/>
        <v>#VALUE!</v>
      </c>
      <c r="E232" s="532"/>
      <c r="F232" s="374" t="str">
        <f t="shared" si="47"/>
        <v/>
      </c>
      <c r="G232" s="533" t="str">
        <f>IF(ISNUMBER(F232),IF('Identificación del Instrumento'!$F$17="PRIMITIVA","",IF($G$59="DISCONTINUA",$E$84/2,0)),"")</f>
        <v/>
      </c>
      <c r="H232" s="374" t="str">
        <f t="shared" si="39"/>
        <v/>
      </c>
      <c r="I232" s="374" t="str">
        <f t="shared" si="40"/>
        <v/>
      </c>
      <c r="J232" s="530" t="str">
        <f t="shared" si="41"/>
        <v/>
      </c>
      <c r="K232" s="530" t="str">
        <f t="shared" si="42"/>
        <v/>
      </c>
      <c r="L232" s="530">
        <v>10.1</v>
      </c>
      <c r="M232" s="530" t="str">
        <f t="shared" si="43"/>
        <v/>
      </c>
      <c r="N232" s="530" t="str">
        <f t="shared" si="44"/>
        <v/>
      </c>
      <c r="O232" s="46" t="str">
        <f t="shared" si="45"/>
        <v/>
      </c>
      <c r="P232" s="534"/>
    </row>
    <row r="233" spans="4:16" ht="21" hidden="1" customHeight="1" thickBot="1" x14ac:dyDescent="0.3">
      <c r="D233" s="374" t="e">
        <f t="shared" si="46"/>
        <v>#VALUE!</v>
      </c>
      <c r="E233" s="532"/>
      <c r="F233" s="374" t="str">
        <f t="shared" si="47"/>
        <v/>
      </c>
      <c r="G233" s="533" t="str">
        <f>IF(ISNUMBER(F233),IF('Identificación del Instrumento'!$F$17="PRIMITIVA","",IF($G$59="DISCONTINUA",$E$84/2,0)),"")</f>
        <v/>
      </c>
      <c r="H233" s="374" t="str">
        <f t="shared" si="39"/>
        <v/>
      </c>
      <c r="I233" s="374" t="str">
        <f t="shared" si="40"/>
        <v/>
      </c>
      <c r="J233" s="530" t="str">
        <f t="shared" si="41"/>
        <v/>
      </c>
      <c r="K233" s="530" t="str">
        <f t="shared" si="42"/>
        <v/>
      </c>
      <c r="L233" s="530">
        <v>10.1</v>
      </c>
      <c r="M233" s="530" t="str">
        <f t="shared" si="43"/>
        <v/>
      </c>
      <c r="N233" s="530" t="str">
        <f t="shared" si="44"/>
        <v/>
      </c>
      <c r="O233" s="46" t="str">
        <f t="shared" si="45"/>
        <v/>
      </c>
      <c r="P233" s="534"/>
    </row>
    <row r="234" spans="4:16" ht="21" hidden="1" customHeight="1" thickBot="1" x14ac:dyDescent="0.3">
      <c r="D234" s="374" t="e">
        <f t="shared" si="46"/>
        <v>#VALUE!</v>
      </c>
      <c r="E234" s="532"/>
      <c r="F234" s="374" t="str">
        <f t="shared" si="47"/>
        <v/>
      </c>
      <c r="G234" s="535" t="str">
        <f>IF(ISNUMBER(F234),IF('Identificación del Instrumento'!$F$17="PRIMITIVA","",IF($G$59="DISCONTINUA",$E$84/2,0)),"")</f>
        <v/>
      </c>
      <c r="H234" s="374" t="str">
        <f t="shared" si="39"/>
        <v/>
      </c>
      <c r="I234" s="374" t="str">
        <f t="shared" si="40"/>
        <v/>
      </c>
      <c r="J234" s="530" t="str">
        <f t="shared" si="41"/>
        <v/>
      </c>
      <c r="K234" s="530" t="str">
        <f t="shared" si="42"/>
        <v/>
      </c>
      <c r="L234" s="530">
        <v>10.1</v>
      </c>
      <c r="M234" s="530" t="str">
        <f t="shared" si="43"/>
        <v/>
      </c>
      <c r="N234" s="530" t="str">
        <f t="shared" si="44"/>
        <v/>
      </c>
      <c r="O234" s="46" t="str">
        <f t="shared" si="45"/>
        <v/>
      </c>
      <c r="P234" s="534"/>
    </row>
    <row r="235" spans="4:16" ht="30.75" hidden="1" customHeight="1" x14ac:dyDescent="0.2">
      <c r="O235" s="474" t="s">
        <v>330</v>
      </c>
      <c r="P235" s="479">
        <f>IF(COUNT(V143:V186)&gt;0,SUM(V143:V186,P196:P203,P212:P218,P228:P234),1)</f>
        <v>0</v>
      </c>
    </row>
    <row r="236" spans="4:16" ht="21" hidden="1" customHeight="1" x14ac:dyDescent="0.2"/>
    <row r="237" spans="4:16" ht="21" hidden="1" customHeight="1" x14ac:dyDescent="0.2"/>
    <row r="238" spans="4:16" ht="21" hidden="1" customHeight="1" thickBot="1" x14ac:dyDescent="0.25"/>
    <row r="239" spans="4:16" ht="21" hidden="1" customHeight="1" thickBot="1" x14ac:dyDescent="0.4">
      <c r="D239" s="908" t="s">
        <v>409</v>
      </c>
      <c r="E239" s="847"/>
      <c r="F239" s="858"/>
      <c r="G239" s="938"/>
      <c r="H239" s="826"/>
      <c r="I239" s="826"/>
      <c r="J239" s="826"/>
      <c r="K239" s="827"/>
      <c r="L239" s="826"/>
      <c r="M239" s="826"/>
      <c r="N239" s="826"/>
      <c r="O239" s="826"/>
    </row>
    <row r="240" spans="4:16" ht="21" hidden="1" customHeight="1" thickBot="1" x14ac:dyDescent="0.3">
      <c r="D240" s="928" t="s">
        <v>405</v>
      </c>
      <c r="E240" s="783"/>
      <c r="F240" s="252"/>
      <c r="G240" s="130"/>
      <c r="H240" s="130"/>
      <c r="J240" s="72"/>
      <c r="K240" s="73"/>
      <c r="L240" s="73"/>
      <c r="M240" s="72"/>
      <c r="N240" s="72"/>
      <c r="O240" s="74"/>
    </row>
    <row r="241" spans="4:16" ht="21" hidden="1" customHeight="1" thickBot="1" x14ac:dyDescent="0.25">
      <c r="D241" s="906" t="s">
        <v>408</v>
      </c>
      <c r="E241" s="907"/>
      <c r="F241" s="254"/>
      <c r="G241" s="334" t="s">
        <v>391</v>
      </c>
      <c r="H241" s="255"/>
      <c r="J241" s="72"/>
      <c r="K241" s="73"/>
      <c r="L241" s="73"/>
      <c r="M241" s="72"/>
      <c r="N241" s="72"/>
      <c r="O241" s="74"/>
    </row>
    <row r="242" spans="4:16" ht="21" hidden="1" customHeight="1" thickBot="1" x14ac:dyDescent="0.3">
      <c r="D242" s="829" t="s">
        <v>392</v>
      </c>
      <c r="E242" s="903" t="s">
        <v>393</v>
      </c>
      <c r="F242" s="831" t="s">
        <v>394</v>
      </c>
      <c r="G242" s="905" t="s">
        <v>395</v>
      </c>
      <c r="H242" s="836"/>
      <c r="I242" s="831" t="s">
        <v>396</v>
      </c>
      <c r="J242" s="885" t="s">
        <v>397</v>
      </c>
      <c r="K242" s="773"/>
      <c r="L242" s="773"/>
      <c r="M242" s="773"/>
      <c r="N242" s="774"/>
      <c r="O242" s="889" t="s">
        <v>398</v>
      </c>
      <c r="P242" s="915" t="s">
        <v>380</v>
      </c>
    </row>
    <row r="243" spans="4:16" ht="40.5" hidden="1" customHeight="1" thickBot="1" x14ac:dyDescent="0.25">
      <c r="D243" s="830"/>
      <c r="E243" s="904"/>
      <c r="F243" s="832"/>
      <c r="G243" s="255"/>
      <c r="H243" s="256" t="s">
        <v>289</v>
      </c>
      <c r="I243" s="832"/>
      <c r="J243" s="44" t="s">
        <v>399</v>
      </c>
      <c r="K243" s="49" t="s">
        <v>400</v>
      </c>
      <c r="L243" s="44" t="s">
        <v>401</v>
      </c>
      <c r="M243" s="44" t="s">
        <v>402</v>
      </c>
      <c r="N243" s="44" t="s">
        <v>403</v>
      </c>
      <c r="O243" s="890"/>
      <c r="P243" s="916"/>
    </row>
    <row r="244" spans="4:16" ht="21" hidden="1" customHeight="1" thickBot="1" x14ac:dyDescent="0.3">
      <c r="D244" s="374" t="str">
        <f>IF(AND(ISNUMBER(F240),ISNUMBER(F241)),F240-F241,"")</f>
        <v/>
      </c>
      <c r="E244" s="374" t="str">
        <f>IF(ISNUMBER(F240),F240,"")</f>
        <v/>
      </c>
      <c r="F244" s="374" t="str">
        <f t="shared" ref="F244:F250" si="48">IF(ISNUMBER(E244),E244-D244,"")</f>
        <v/>
      </c>
      <c r="G244" s="374">
        <f>H241</f>
        <v>0</v>
      </c>
      <c r="H244" s="374" t="str">
        <f t="shared" ref="H244:H250" si="49">IF(AND(ISNUMBER(E244),ISNUMBER(G244),$B$59=1),IF($G$59="discontinua",(E244+($H$136/2)-G244),(E244-G244)),"")</f>
        <v/>
      </c>
      <c r="I244" s="374" t="str">
        <f t="shared" ref="I244:I250" si="50">IF(AND(ISNUMBER(D244),ISNUMBER(H244)),H244-D244,"")</f>
        <v/>
      </c>
      <c r="J244" s="530" t="str">
        <f t="shared" ref="J244:J250" si="51">IF(ISNUMBER(E244),$E$18/SQRT(12),"")</f>
        <v/>
      </c>
      <c r="K244" s="530" t="str">
        <f t="shared" ref="K244:K250" si="52">IF(ISNUMBER(E244),MAX(K$94,K$118,K$106,K$130),"")</f>
        <v/>
      </c>
      <c r="L244" s="530">
        <v>6.1</v>
      </c>
      <c r="M244" s="530" t="str">
        <f t="shared" ref="M244:M250" si="53">IF(ISNUMBER(T$184),T$184/2,"")</f>
        <v/>
      </c>
      <c r="N244" s="530" t="str">
        <f t="shared" ref="N244:N250" si="54">IF(ISNUMBER(E244),2*SQRT(SUMSQ(J244,K244,L244)),"")</f>
        <v/>
      </c>
      <c r="O244" s="46" t="str">
        <f t="shared" ref="O244:O250" si="55">IF(ISNUMBER(E244),IF(D244&lt;=$F$49,I$49,IF(D244&lt;=$F$50,$I$50,$I$51)),"")</f>
        <v/>
      </c>
      <c r="P244" s="534"/>
    </row>
    <row r="245" spans="4:16" ht="21" hidden="1" customHeight="1" thickBot="1" x14ac:dyDescent="0.3">
      <c r="D245" s="374" t="str">
        <f t="shared" ref="D245:D250" si="56">IF(ISNUMBER($G$243),D244+$G$243,"")</f>
        <v/>
      </c>
      <c r="E245" s="532"/>
      <c r="F245" s="374" t="str">
        <f t="shared" si="48"/>
        <v/>
      </c>
      <c r="G245" s="533" t="str">
        <f>IF(ISNUMBER(F245),IF('Identificación del Instrumento'!$F$17="PRIMITIVA","",IF($G$59="DISCONTINUA",$E$84/2,0)),"")</f>
        <v/>
      </c>
      <c r="H245" s="374" t="str">
        <f t="shared" si="49"/>
        <v/>
      </c>
      <c r="I245" s="374" t="str">
        <f t="shared" si="50"/>
        <v/>
      </c>
      <c r="J245" s="530" t="str">
        <f t="shared" si="51"/>
        <v/>
      </c>
      <c r="K245" s="530" t="str">
        <f t="shared" si="52"/>
        <v/>
      </c>
      <c r="L245" s="530">
        <v>7.1</v>
      </c>
      <c r="M245" s="530" t="str">
        <f t="shared" si="53"/>
        <v/>
      </c>
      <c r="N245" s="530" t="str">
        <f t="shared" si="54"/>
        <v/>
      </c>
      <c r="O245" s="46" t="str">
        <f t="shared" si="55"/>
        <v/>
      </c>
      <c r="P245" s="534"/>
    </row>
    <row r="246" spans="4:16" ht="21" hidden="1" customHeight="1" thickBot="1" x14ac:dyDescent="0.3">
      <c r="D246" s="374" t="str">
        <f t="shared" si="56"/>
        <v/>
      </c>
      <c r="E246" s="532"/>
      <c r="F246" s="374" t="str">
        <f t="shared" si="48"/>
        <v/>
      </c>
      <c r="G246" s="533" t="str">
        <f>IF(ISNUMBER(F246),IF('Identificación del Instrumento'!$F$17="PRIMITIVA","",IF($G$59="DISCONTINUA",$E$84/2,0)),"")</f>
        <v/>
      </c>
      <c r="H246" s="374" t="str">
        <f t="shared" si="49"/>
        <v/>
      </c>
      <c r="I246" s="374" t="str">
        <f t="shared" si="50"/>
        <v/>
      </c>
      <c r="J246" s="530" t="str">
        <f t="shared" si="51"/>
        <v/>
      </c>
      <c r="K246" s="530" t="str">
        <f t="shared" si="52"/>
        <v/>
      </c>
      <c r="L246" s="530">
        <v>8.1</v>
      </c>
      <c r="M246" s="530" t="str">
        <f t="shared" si="53"/>
        <v/>
      </c>
      <c r="N246" s="530" t="str">
        <f t="shared" si="54"/>
        <v/>
      </c>
      <c r="O246" s="46" t="str">
        <f t="shared" si="55"/>
        <v/>
      </c>
      <c r="P246" s="534"/>
    </row>
    <row r="247" spans="4:16" ht="21" hidden="1" customHeight="1" thickBot="1" x14ac:dyDescent="0.3">
      <c r="D247" s="374" t="str">
        <f t="shared" si="56"/>
        <v/>
      </c>
      <c r="E247" s="532"/>
      <c r="F247" s="374" t="str">
        <f t="shared" si="48"/>
        <v/>
      </c>
      <c r="G247" s="533" t="str">
        <f>IF(ISNUMBER(F247),IF('Identificación del Instrumento'!$F$17="PRIMITIVA","",IF($G$59="DISCONTINUA",$E$84/2,0)),"")</f>
        <v/>
      </c>
      <c r="H247" s="374" t="str">
        <f t="shared" si="49"/>
        <v/>
      </c>
      <c r="I247" s="374" t="str">
        <f t="shared" si="50"/>
        <v/>
      </c>
      <c r="J247" s="530" t="str">
        <f t="shared" si="51"/>
        <v/>
      </c>
      <c r="K247" s="530" t="str">
        <f t="shared" si="52"/>
        <v/>
      </c>
      <c r="L247" s="530">
        <v>9.1</v>
      </c>
      <c r="M247" s="530" t="str">
        <f t="shared" si="53"/>
        <v/>
      </c>
      <c r="N247" s="530" t="str">
        <f t="shared" si="54"/>
        <v/>
      </c>
      <c r="O247" s="46" t="str">
        <f t="shared" si="55"/>
        <v/>
      </c>
      <c r="P247" s="534"/>
    </row>
    <row r="248" spans="4:16" ht="21" hidden="1" customHeight="1" thickBot="1" x14ac:dyDescent="0.3">
      <c r="D248" s="374" t="str">
        <f t="shared" si="56"/>
        <v/>
      </c>
      <c r="E248" s="532"/>
      <c r="F248" s="374" t="str">
        <f t="shared" si="48"/>
        <v/>
      </c>
      <c r="G248" s="533" t="str">
        <f>IF(ISNUMBER(F248),IF('Identificación del Instrumento'!$F$17="PRIMITIVA","",IF($G$59="DISCONTINUA",$E$84/2,0)),"")</f>
        <v/>
      </c>
      <c r="H248" s="374" t="str">
        <f t="shared" si="49"/>
        <v/>
      </c>
      <c r="I248" s="374" t="str">
        <f t="shared" si="50"/>
        <v/>
      </c>
      <c r="J248" s="530" t="str">
        <f t="shared" si="51"/>
        <v/>
      </c>
      <c r="K248" s="530" t="str">
        <f t="shared" si="52"/>
        <v/>
      </c>
      <c r="L248" s="530">
        <v>10.1</v>
      </c>
      <c r="M248" s="530" t="str">
        <f t="shared" si="53"/>
        <v/>
      </c>
      <c r="N248" s="530" t="str">
        <f t="shared" si="54"/>
        <v/>
      </c>
      <c r="O248" s="46" t="str">
        <f t="shared" si="55"/>
        <v/>
      </c>
      <c r="P248" s="534"/>
    </row>
    <row r="249" spans="4:16" ht="21" hidden="1" customHeight="1" thickBot="1" x14ac:dyDescent="0.3">
      <c r="D249" s="374" t="str">
        <f t="shared" si="56"/>
        <v/>
      </c>
      <c r="E249" s="532"/>
      <c r="F249" s="374" t="str">
        <f t="shared" si="48"/>
        <v/>
      </c>
      <c r="G249" s="533" t="str">
        <f>IF(ISNUMBER(F249),IF('Identificación del Instrumento'!$F$17="PRIMITIVA","",IF($G$59="DISCONTINUA",$E$84/2,0)),"")</f>
        <v/>
      </c>
      <c r="H249" s="374" t="str">
        <f t="shared" si="49"/>
        <v/>
      </c>
      <c r="I249" s="374" t="str">
        <f t="shared" si="50"/>
        <v/>
      </c>
      <c r="J249" s="530" t="str">
        <f t="shared" si="51"/>
        <v/>
      </c>
      <c r="K249" s="530" t="str">
        <f t="shared" si="52"/>
        <v/>
      </c>
      <c r="L249" s="530">
        <v>10.1</v>
      </c>
      <c r="M249" s="530" t="str">
        <f t="shared" si="53"/>
        <v/>
      </c>
      <c r="N249" s="530" t="str">
        <f t="shared" si="54"/>
        <v/>
      </c>
      <c r="O249" s="46" t="str">
        <f t="shared" si="55"/>
        <v/>
      </c>
      <c r="P249" s="534"/>
    </row>
    <row r="250" spans="4:16" ht="21.75" hidden="1" customHeight="1" thickBot="1" x14ac:dyDescent="0.3">
      <c r="D250" s="374" t="str">
        <f t="shared" si="56"/>
        <v/>
      </c>
      <c r="E250" s="532"/>
      <c r="F250" s="374" t="str">
        <f t="shared" si="48"/>
        <v/>
      </c>
      <c r="G250" s="535" t="str">
        <f>IF(ISNUMBER(F250),IF('Identificación del Instrumento'!$F$17="PRIMITIVA","",IF($G$59="DISCONTINUA",$E$84/2,0)),"")</f>
        <v/>
      </c>
      <c r="H250" s="374" t="str">
        <f t="shared" si="49"/>
        <v/>
      </c>
      <c r="I250" s="374" t="str">
        <f t="shared" si="50"/>
        <v/>
      </c>
      <c r="J250" s="530" t="str">
        <f t="shared" si="51"/>
        <v/>
      </c>
      <c r="K250" s="530" t="str">
        <f t="shared" si="52"/>
        <v/>
      </c>
      <c r="L250" s="530">
        <v>10.1</v>
      </c>
      <c r="M250" s="530" t="str">
        <f t="shared" si="53"/>
        <v/>
      </c>
      <c r="N250" s="530" t="str">
        <f t="shared" si="54"/>
        <v/>
      </c>
      <c r="O250" s="46" t="str">
        <f t="shared" si="55"/>
        <v/>
      </c>
      <c r="P250" s="534"/>
    </row>
    <row r="251" spans="4:16" ht="21" hidden="1" customHeight="1" x14ac:dyDescent="0.25">
      <c r="O251" s="477" t="s">
        <v>330</v>
      </c>
      <c r="P251" s="476">
        <f>IF(COUNT(V143:V186)&gt;0,SUM(V143:V186,P196:P203,P212:P218,P228:P234,P244:P250),1)</f>
        <v>0</v>
      </c>
    </row>
    <row r="252" spans="4:16" ht="21" customHeight="1" x14ac:dyDescent="0.2"/>
    <row r="253" spans="4:16" ht="21" customHeight="1" x14ac:dyDescent="0.2"/>
    <row r="254" spans="4:16" ht="21.95" customHeight="1" x14ac:dyDescent="0.2"/>
    <row r="255" spans="4:16" ht="21.95" customHeight="1" x14ac:dyDescent="0.2"/>
    <row r="256" spans="4:16" ht="21.95" customHeight="1" x14ac:dyDescent="0.2"/>
    <row r="257" ht="21.95" customHeight="1" x14ac:dyDescent="0.2"/>
    <row r="258" ht="21.95" customHeight="1" x14ac:dyDescent="0.2"/>
    <row r="259" ht="21.95" customHeight="1" x14ac:dyDescent="0.2"/>
    <row r="260" ht="21.95" customHeight="1" x14ac:dyDescent="0.2"/>
    <row r="261" ht="21.95" customHeight="1" x14ac:dyDescent="0.2"/>
    <row r="262" ht="21.95" customHeight="1" x14ac:dyDescent="0.2"/>
    <row r="263" ht="21.95" customHeight="1" x14ac:dyDescent="0.2"/>
    <row r="264" ht="21.95" customHeight="1" x14ac:dyDescent="0.2"/>
    <row r="265" ht="21.95" customHeight="1" x14ac:dyDescent="0.2"/>
    <row r="266" ht="21.95" customHeight="1" x14ac:dyDescent="0.2"/>
    <row r="267" ht="21.95" customHeight="1" x14ac:dyDescent="0.2"/>
    <row r="268" ht="21.95" customHeight="1" x14ac:dyDescent="0.2"/>
    <row r="269" ht="21.95" customHeight="1" x14ac:dyDescent="0.2"/>
    <row r="270" ht="21.95" customHeight="1" x14ac:dyDescent="0.2"/>
    <row r="271" ht="21.95" customHeight="1" x14ac:dyDescent="0.2"/>
    <row r="272" ht="21.95" customHeight="1" x14ac:dyDescent="0.2"/>
    <row r="273" ht="21.95" customHeight="1" x14ac:dyDescent="0.2"/>
    <row r="274" ht="21.95" customHeight="1" x14ac:dyDescent="0.2"/>
    <row r="275" ht="21.95" customHeight="1" x14ac:dyDescent="0.2"/>
    <row r="276" ht="21.95" customHeight="1" x14ac:dyDescent="0.2"/>
    <row r="277" ht="21.95" customHeight="1" x14ac:dyDescent="0.2"/>
    <row r="278" ht="21.95" customHeight="1" x14ac:dyDescent="0.2"/>
    <row r="279" ht="21.95" customHeight="1" x14ac:dyDescent="0.2"/>
    <row r="280" ht="21.95" customHeight="1" x14ac:dyDescent="0.2"/>
    <row r="281" ht="21.95" customHeight="1" x14ac:dyDescent="0.2"/>
    <row r="282" ht="21.95" customHeight="1" x14ac:dyDescent="0.2"/>
    <row r="283" ht="21.95" customHeight="1" x14ac:dyDescent="0.2"/>
    <row r="284" ht="21.95" customHeight="1" x14ac:dyDescent="0.2"/>
    <row r="285" ht="21.95" customHeight="1" x14ac:dyDescent="0.2"/>
    <row r="286" ht="21.95" customHeight="1" x14ac:dyDescent="0.2"/>
    <row r="287" ht="21.95" customHeight="1" x14ac:dyDescent="0.2"/>
    <row r="288" ht="21.95" customHeight="1" x14ac:dyDescent="0.2"/>
    <row r="289" ht="21.95" customHeight="1" x14ac:dyDescent="0.2"/>
    <row r="290" ht="21.95" customHeight="1" x14ac:dyDescent="0.2"/>
    <row r="291" ht="21.95" customHeight="1" x14ac:dyDescent="0.2"/>
    <row r="292" ht="21.95" customHeight="1" x14ac:dyDescent="0.2"/>
    <row r="293" ht="21.95" customHeight="1" x14ac:dyDescent="0.2"/>
    <row r="294" ht="21.95" customHeight="1" x14ac:dyDescent="0.2"/>
    <row r="295" ht="21.95" customHeight="1" x14ac:dyDescent="0.2"/>
    <row r="296" ht="21.95" customHeight="1" x14ac:dyDescent="0.2"/>
    <row r="297" ht="21.95" customHeight="1" x14ac:dyDescent="0.2"/>
    <row r="298" ht="21.95" customHeight="1" x14ac:dyDescent="0.2"/>
    <row r="299" ht="21.95" customHeight="1" x14ac:dyDescent="0.2"/>
    <row r="300" ht="21.95" customHeight="1" x14ac:dyDescent="0.2"/>
    <row r="301" ht="21.95" customHeight="1" x14ac:dyDescent="0.2"/>
    <row r="302" ht="21.95" customHeight="1" x14ac:dyDescent="0.2"/>
    <row r="303" ht="21.95" customHeight="1" x14ac:dyDescent="0.2"/>
  </sheetData>
  <mergeCells count="142">
    <mergeCell ref="V141:V142"/>
    <mergeCell ref="J242:N242"/>
    <mergeCell ref="F210:F211"/>
    <mergeCell ref="P47:T47"/>
    <mergeCell ref="D192:E192"/>
    <mergeCell ref="L96:M96"/>
    <mergeCell ref="P242:P243"/>
    <mergeCell ref="D226:D227"/>
    <mergeCell ref="H141:H142"/>
    <mergeCell ref="U141:U142"/>
    <mergeCell ref="L141:L142"/>
    <mergeCell ref="E226:E227"/>
    <mergeCell ref="J210:N210"/>
    <mergeCell ref="D141:D142"/>
    <mergeCell ref="I194:I195"/>
    <mergeCell ref="E141:E142"/>
    <mergeCell ref="G239:O239"/>
    <mergeCell ref="I226:I227"/>
    <mergeCell ref="P141:T141"/>
    <mergeCell ref="D191:F191"/>
    <mergeCell ref="D193:E193"/>
    <mergeCell ref="F226:F227"/>
    <mergeCell ref="O210:O211"/>
    <mergeCell ref="I141:I142"/>
    <mergeCell ref="E7:L7"/>
    <mergeCell ref="J141:J142"/>
    <mergeCell ref="I12:L12"/>
    <mergeCell ref="D240:E240"/>
    <mergeCell ref="P226:P227"/>
    <mergeCell ref="E210:E211"/>
    <mergeCell ref="D22:L22"/>
    <mergeCell ref="G242:H242"/>
    <mergeCell ref="J194:N194"/>
    <mergeCell ref="E194:E195"/>
    <mergeCell ref="D56:F56"/>
    <mergeCell ref="P46:T46"/>
    <mergeCell ref="D225:E225"/>
    <mergeCell ref="D135:H135"/>
    <mergeCell ref="P39:T39"/>
    <mergeCell ref="P210:P211"/>
    <mergeCell ref="E17:H17"/>
    <mergeCell ref="D209:E209"/>
    <mergeCell ref="M141:M142"/>
    <mergeCell ref="D133:I133"/>
    <mergeCell ref="P48:T48"/>
    <mergeCell ref="K141:K142"/>
    <mergeCell ref="D224:E224"/>
    <mergeCell ref="I242:I243"/>
    <mergeCell ref="D1:L1"/>
    <mergeCell ref="E41:I41"/>
    <mergeCell ref="K6:L6"/>
    <mergeCell ref="D239:F239"/>
    <mergeCell ref="AE1:AH1"/>
    <mergeCell ref="P45:T45"/>
    <mergeCell ref="P194:P195"/>
    <mergeCell ref="G141:G142"/>
    <mergeCell ref="P38:T38"/>
    <mergeCell ref="D208:E208"/>
    <mergeCell ref="E9:G9"/>
    <mergeCell ref="P44:T44"/>
    <mergeCell ref="E4:L4"/>
    <mergeCell ref="D139:E139"/>
    <mergeCell ref="D54:J54"/>
    <mergeCell ref="P40:T40"/>
    <mergeCell ref="I9:L9"/>
    <mergeCell ref="D210:D211"/>
    <mergeCell ref="E11:G11"/>
    <mergeCell ref="H47:J47"/>
    <mergeCell ref="I11:L11"/>
    <mergeCell ref="G210:H210"/>
    <mergeCell ref="I39:I40"/>
    <mergeCell ref="E12:G12"/>
    <mergeCell ref="J226:N226"/>
    <mergeCell ref="G55:I55"/>
    <mergeCell ref="E10:L10"/>
    <mergeCell ref="O242:O243"/>
    <mergeCell ref="F47:G47"/>
    <mergeCell ref="O194:O195"/>
    <mergeCell ref="D23:L34"/>
    <mergeCell ref="O226:O227"/>
    <mergeCell ref="D57:J57"/>
    <mergeCell ref="H35:J35"/>
    <mergeCell ref="G223:O223"/>
    <mergeCell ref="D242:D243"/>
    <mergeCell ref="F242:F243"/>
    <mergeCell ref="D59:F59"/>
    <mergeCell ref="I15:K15"/>
    <mergeCell ref="D55:E55"/>
    <mergeCell ref="E242:E243"/>
    <mergeCell ref="E14:G14"/>
    <mergeCell ref="E125:F125"/>
    <mergeCell ref="G226:H226"/>
    <mergeCell ref="D241:E241"/>
    <mergeCell ref="D223:F223"/>
    <mergeCell ref="D207:F207"/>
    <mergeCell ref="G194:H194"/>
    <mergeCell ref="M4:P4"/>
    <mergeCell ref="E38:I38"/>
    <mergeCell ref="G139:G140"/>
    <mergeCell ref="D121:I121"/>
    <mergeCell ref="P36:T36"/>
    <mergeCell ref="L132:M132"/>
    <mergeCell ref="D2:L2"/>
    <mergeCell ref="I6:J6"/>
    <mergeCell ref="L120:M120"/>
    <mergeCell ref="G66:J67"/>
    <mergeCell ref="D20:L21"/>
    <mergeCell ref="E16:K16"/>
    <mergeCell ref="D97:I97"/>
    <mergeCell ref="D140:E140"/>
    <mergeCell ref="E8:L8"/>
    <mergeCell ref="I13:L13"/>
    <mergeCell ref="E6:H6"/>
    <mergeCell ref="F39:H40"/>
    <mergeCell ref="L108:M108"/>
    <mergeCell ref="D138:H138"/>
    <mergeCell ref="E3:L3"/>
    <mergeCell ref="D46:E46"/>
    <mergeCell ref="H139:H140"/>
    <mergeCell ref="H59:K59"/>
    <mergeCell ref="P37:T37"/>
    <mergeCell ref="P43:T43"/>
    <mergeCell ref="P42:T42"/>
    <mergeCell ref="P35:T35"/>
    <mergeCell ref="E39:E40"/>
    <mergeCell ref="E13:G13"/>
    <mergeCell ref="F187:G187"/>
    <mergeCell ref="K37:L41"/>
    <mergeCell ref="P41:T41"/>
    <mergeCell ref="D82:G82"/>
    <mergeCell ref="I14:K14"/>
    <mergeCell ref="F141:F142"/>
    <mergeCell ref="E15:G15"/>
    <mergeCell ref="G207:N208"/>
    <mergeCell ref="D194:D195"/>
    <mergeCell ref="F194:F195"/>
    <mergeCell ref="I210:I211"/>
    <mergeCell ref="E101:F101"/>
    <mergeCell ref="F46:J46"/>
    <mergeCell ref="E113:F113"/>
    <mergeCell ref="D109:I109"/>
    <mergeCell ref="D35:G35"/>
  </mergeCells>
  <conditionalFormatting sqref="D97:I98 R98:W110 D109:I110 D121:I122 R122:W132 D133:I134">
    <cfRule type="expression" dxfId="45" priority="21" stopIfTrue="1">
      <formula>$I$113&gt;$E$89</formula>
    </cfRule>
  </conditionalFormatting>
  <conditionalFormatting sqref="E82:E83 D82:D85 F82:G85 E85">
    <cfRule type="expression" dxfId="44" priority="13" stopIfTrue="1">
      <formula>$K$82&gt;0</formula>
    </cfRule>
  </conditionalFormatting>
  <conditionalFormatting sqref="F196:F203 F212:F218">
    <cfRule type="expression" dxfId="43" priority="33" stopIfTrue="1">
      <formula>ABS($F196)&gt;$O196</formula>
    </cfRule>
  </conditionalFormatting>
  <conditionalFormatting sqref="F228:F234">
    <cfRule type="expression" dxfId="42" priority="9" stopIfTrue="1">
      <formula>ABS($F228)&gt;$O228</formula>
    </cfRule>
  </conditionalFormatting>
  <conditionalFormatting sqref="F244:F250">
    <cfRule type="expression" dxfId="41" priority="6" stopIfTrue="1">
      <formula>ABS($F244)&gt;$O244</formula>
    </cfRule>
  </conditionalFormatting>
  <conditionalFormatting sqref="G60">
    <cfRule type="cellIs" dxfId="40" priority="14" stopIfTrue="1" operator="equal">
      <formula>"Complete G59"</formula>
    </cfRule>
  </conditionalFormatting>
  <conditionalFormatting sqref="H70:H81">
    <cfRule type="cellIs" dxfId="39" priority="11" stopIfTrue="1" operator="greaterThan">
      <formula>$E70+$I70</formula>
    </cfRule>
    <cfRule type="cellIs" dxfId="38" priority="12" stopIfTrue="1" operator="lessThan">
      <formula>$E70-$I70</formula>
    </cfRule>
  </conditionalFormatting>
  <conditionalFormatting sqref="I196:I203">
    <cfRule type="expression" dxfId="37" priority="34" stopIfTrue="1">
      <formula>ABS($I196)&gt;$O196</formula>
    </cfRule>
  </conditionalFormatting>
  <conditionalFormatting sqref="I212:I218">
    <cfRule type="expression" dxfId="36" priority="35" stopIfTrue="1">
      <formula>ABS($I212&gt;$O212)</formula>
    </cfRule>
  </conditionalFormatting>
  <conditionalFormatting sqref="I228:I234">
    <cfRule type="expression" dxfId="35" priority="8" stopIfTrue="1">
      <formula>ABS($I228&gt;$O228)</formula>
    </cfRule>
  </conditionalFormatting>
  <conditionalFormatting sqref="I244:I250">
    <cfRule type="expression" dxfId="34" priority="5" stopIfTrue="1">
      <formula>ABS($I244&gt;$O244)</formula>
    </cfRule>
  </conditionalFormatting>
  <conditionalFormatting sqref="I143:J186">
    <cfRule type="expression" dxfId="33" priority="30" stopIfTrue="1">
      <formula>ABS($I143)&gt;$U143</formula>
    </cfRule>
  </conditionalFormatting>
  <conditionalFormatting sqref="J70:J81">
    <cfRule type="expression" dxfId="32" priority="29" stopIfTrue="1">
      <formula>ABS($J70)&gt;$I70</formula>
    </cfRule>
  </conditionalFormatting>
  <conditionalFormatting sqref="K70:K81">
    <cfRule type="cellIs" dxfId="31" priority="27" stopIfTrue="1" operator="equal">
      <formula>1</formula>
    </cfRule>
  </conditionalFormatting>
  <conditionalFormatting sqref="L143:L186">
    <cfRule type="expression" dxfId="30" priority="31" stopIfTrue="1">
      <formula>ABS($L143)&gt;$U143</formula>
    </cfRule>
  </conditionalFormatting>
  <conditionalFormatting sqref="M97">
    <cfRule type="cellIs" dxfId="29" priority="23" stopIfTrue="1" operator="between">
      <formula>1</formula>
      <formula>1</formula>
    </cfRule>
  </conditionalFormatting>
  <conditionalFormatting sqref="M143:M186">
    <cfRule type="expression" dxfId="28" priority="28" stopIfTrue="1">
      <formula>ABS($I143)&gt;$U143</formula>
    </cfRule>
  </conditionalFormatting>
  <conditionalFormatting sqref="N97 N109 N121 N133 N135">
    <cfRule type="cellIs" dxfId="27" priority="24" stopIfTrue="1" operator="equal">
      <formula>1</formula>
    </cfRule>
  </conditionalFormatting>
  <conditionalFormatting sqref="P228:P234">
    <cfRule type="cellIs" dxfId="26" priority="10" stopIfTrue="1" operator="equal">
      <formula>1</formula>
    </cfRule>
  </conditionalFormatting>
  <conditionalFormatting sqref="P244:P250">
    <cfRule type="cellIs" dxfId="25" priority="7" stopIfTrue="1" operator="equal">
      <formula>1</formula>
    </cfRule>
  </conditionalFormatting>
  <conditionalFormatting sqref="V143:V186 P196:P203 P212:P218">
    <cfRule type="cellIs" dxfId="24" priority="22" stopIfTrue="1" operator="equal">
      <formula>1</formula>
    </cfRule>
  </conditionalFormatting>
  <dataValidations xWindow="521" yWindow="600" count="7">
    <dataValidation type="list" allowBlank="1" showInputMessage="1" showErrorMessage="1" errorTitle="ERROR!!!" error="Respete las opciones de la lista" promptTitle="TIPO DE INDICACIÓN" prompt="Seleccione la opción que corresponda (ENA = Equilibrio no automático)_x000a_" sqref="G59" xr:uid="{00000000-0002-0000-0200-000000000000}">
      <formula1>$AE$59:$AE$62</formula1>
    </dataValidation>
    <dataValidation type="list" allowBlank="1" showInputMessage="1" showErrorMessage="1" errorTitle="ERROR!!!" error="Respete las opciones de la lista." promptTitle="EFECTO MÁXIMO DEL DISPOSITIVO:" prompt="Seleccionar &quot;SUPERA&quot; o &quot;NO SUPERA&quot; según corresponda. En caso que no sea aplicable el ensayo, seleccionar &quot;X&quot;." sqref="G56" xr:uid="{00000000-0002-0000-0200-000001000000}">
      <formula1>$AF$59:$AF$62</formula1>
    </dataValidation>
    <dataValidation type="list" allowBlank="1" showInputMessage="1" showErrorMessage="1" errorTitle="ERROR!!!!!!" error="Respete las opciones de la lista." promptTitle="PARTE DE CERO???" prompt="Seleccione la opción correspondiente." sqref="F55" xr:uid="{00000000-0002-0000-0200-000002000000}">
      <formula1>$AG$59:$AG$61</formula1>
    </dataValidation>
    <dataValidation type="list" allowBlank="1" showInputMessage="1" showErrorMessage="1" errorTitle="ERROR!!!!" error="Respete las opciones de la lista." promptTitle="MOVIMIENTO VISIBLE" prompt="Seleccione la opción correspondiente. SÓLO DEBE COMPLETARSE PARA BALANZAS E.N.A." sqref="J61:J63" xr:uid="{00000000-0002-0000-0200-000003000000}">
      <formula1>$AG$59:$AG$60</formula1>
    </dataValidation>
    <dataValidation type="list" allowBlank="1" showInputMessage="1" showErrorMessage="1" sqref="G87 G99 G111 G123" xr:uid="{00000000-0002-0000-0200-000004000000}">
      <formula1>$S$87:$S$88</formula1>
    </dataValidation>
    <dataValidation type="list" allowBlank="1" showInputMessage="1" showErrorMessage="1" sqref="I87 I99 I111 I123" xr:uid="{00000000-0002-0000-0200-000005000000}">
      <formula1>$T$87:$T$88</formula1>
    </dataValidation>
    <dataValidation type="list" allowBlank="1" showInputMessage="1" showErrorMessage="1" sqref="E3:L4" xr:uid="{00000000-0002-0000-0200-000006000000}">
      <formula1>$AC$3:$AC$34</formula1>
    </dataValidation>
  </dataValidations>
  <hyperlinks>
    <hyperlink ref="AG3" r:id="rId1" xr:uid="{00000000-0004-0000-0200-000000000000}"/>
    <hyperlink ref="AG4" r:id="rId2" xr:uid="{00000000-0004-0000-0200-000001000000}"/>
    <hyperlink ref="AG5" r:id="rId3" xr:uid="{00000000-0004-0000-0200-000002000000}"/>
    <hyperlink ref="AG6" r:id="rId4" xr:uid="{00000000-0004-0000-0200-000003000000}"/>
    <hyperlink ref="AG7" r:id="rId5" xr:uid="{00000000-0004-0000-0200-000004000000}"/>
    <hyperlink ref="AG8" r:id="rId6" xr:uid="{00000000-0004-0000-0200-000005000000}"/>
    <hyperlink ref="AG9" r:id="rId7" xr:uid="{00000000-0004-0000-0200-000006000000}"/>
    <hyperlink ref="AG10" r:id="rId8" xr:uid="{00000000-0004-0000-0200-000007000000}"/>
    <hyperlink ref="AG11" r:id="rId9" xr:uid="{00000000-0004-0000-0200-000008000000}"/>
    <hyperlink ref="AG12" r:id="rId10" xr:uid="{00000000-0004-0000-0200-000009000000}"/>
    <hyperlink ref="AG13" r:id="rId11" xr:uid="{00000000-0004-0000-0200-00000A000000}"/>
    <hyperlink ref="AG14" r:id="rId12" xr:uid="{00000000-0004-0000-0200-00000B000000}"/>
    <hyperlink ref="AG15" r:id="rId13" xr:uid="{00000000-0004-0000-0200-00000C000000}"/>
    <hyperlink ref="AG16" r:id="rId14" xr:uid="{00000000-0004-0000-0200-00000D000000}"/>
    <hyperlink ref="AG17" r:id="rId15" xr:uid="{00000000-0004-0000-0200-00000E000000}"/>
    <hyperlink ref="AG18" r:id="rId16" xr:uid="{00000000-0004-0000-0200-00000F000000}"/>
    <hyperlink ref="AG19" r:id="rId17" xr:uid="{00000000-0004-0000-0200-000010000000}"/>
    <hyperlink ref="AG20" r:id="rId18" xr:uid="{00000000-0004-0000-0200-000011000000}"/>
    <hyperlink ref="AG21" r:id="rId19" xr:uid="{00000000-0004-0000-0200-000012000000}"/>
    <hyperlink ref="AG23" r:id="rId20" xr:uid="{86A5E66A-D05E-4AE7-AD2D-5CC309616809}"/>
    <hyperlink ref="AG22" r:id="rId21" xr:uid="{91A8B190-7BC1-4318-B61B-119171B7B13C}"/>
  </hyperlinks>
  <pageMargins left="0.21" right="0.32" top="0.62" bottom="1" header="0" footer="0"/>
  <pageSetup paperSize="9" scale="95" orientation="portrait" horizontalDpi="300" verticalDpi="300"/>
  <legacyDrawing r:id="rId2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Hoja5"/>
  <dimension ref="A1:V67"/>
  <sheetViews>
    <sheetView view="pageBreakPreview" zoomScaleNormal="100" zoomScaleSheetLayoutView="100" workbookViewId="0">
      <selection activeCell="J23" sqref="J23:L23"/>
    </sheetView>
  </sheetViews>
  <sheetFormatPr baseColWidth="10" defaultColWidth="11.42578125" defaultRowHeight="12.75" x14ac:dyDescent="0.2"/>
  <cols>
    <col min="1" max="8" width="12.7109375" style="335" customWidth="1"/>
    <col min="9" max="9" width="11.42578125" style="335" customWidth="1"/>
    <col min="10" max="10" width="11.85546875" style="335" customWidth="1"/>
    <col min="11" max="11" width="19.5703125" style="335" customWidth="1"/>
    <col min="12" max="12" width="26" style="335" bestFit="1" customWidth="1"/>
    <col min="13" max="16" width="11.42578125" style="335" customWidth="1"/>
    <col min="17" max="17" width="10.28515625" style="335" customWidth="1"/>
    <col min="18" max="18" width="11.42578125" style="335" hidden="1" customWidth="1"/>
    <col min="19" max="19" width="20" style="335" customWidth="1"/>
    <col min="20" max="20" width="34.42578125" style="335" customWidth="1"/>
    <col min="21" max="21" width="11.42578125" style="335" customWidth="1"/>
    <col min="22" max="22" width="36.5703125" style="335" customWidth="1"/>
    <col min="23" max="23" width="11.42578125" style="335" customWidth="1"/>
    <col min="24" max="16384" width="11.42578125" style="335"/>
  </cols>
  <sheetData>
    <row r="1" spans="1:22" ht="15" customHeight="1" x14ac:dyDescent="0.2">
      <c r="A1" s="957" t="e">
        <v>#VALUE!</v>
      </c>
      <c r="B1" s="942"/>
      <c r="C1" s="942"/>
      <c r="D1" s="942"/>
      <c r="E1" s="942"/>
      <c r="F1" s="942"/>
      <c r="G1" s="942"/>
      <c r="H1" s="942"/>
      <c r="J1" s="336" t="str">
        <f>CONCATENATE("En la localidad de ",'Identificación del Instrumento'!$D$4,", provincia de ",'Identificación del Instrumento'!$D$5,", siendo las ",$J$18," horas del día ",'Identificación del Instrumento'!J2,", en virtud de la solicitud presentada por la firma ",'Identificación del Instrumento'!$C$14,", conforme a lo establecido en la Resolución Nº 611/2019 de la SECRETARÍA DE COMERCIO INTERIOR y sus modificatorias, el ",$T$18,", ",$T$19,", habilitado por el INSTITUTO NACIONAL DE TECNOLOGÍA INDUSTRIAL (I.N.T.I.), con credencial acreditante N° ",$T$20,", que en este acto se exhibe")</f>
        <v>En la localidad de COSTA DE ARAUJO, provincia de Mendoza, siendo las 15:30 horas del día 1 de enero de 2025, en virtud de la solicitud presentada por la firma Marolio S.A., conforme a lo establecido en la Resolución Nº 611/2019 de la SECRETARÍA DE COMERCIO INTERIOR y sus modificatorias, el Tco. Pablo Javier Siklosi A., D.N.I. N° 24.705.518, habilitado por el INSTITUTO NACIONAL DE TECNOLOGÍA INDUSTRIAL (I.N.T.I.), con credencial acreditante N° 96, que en este acto se exhibe</v>
      </c>
    </row>
    <row r="2" spans="1:22" ht="15" customHeight="1" x14ac:dyDescent="0.2">
      <c r="A2" s="942"/>
      <c r="B2" s="942"/>
      <c r="C2" s="942"/>
      <c r="D2" s="942"/>
      <c r="E2" s="942"/>
      <c r="F2" s="942"/>
      <c r="G2" s="942"/>
      <c r="H2" s="942"/>
      <c r="J2" s="336" t="str">
        <f>CONCATENATE(", en ejecución y en ejercicio de las facultades conferidas por la ley Nº 19.511,"&amp;" el Decreto Reglamentario N° 960/2017, la Resolución Nº 611/2019 y sus modifiatorias, procede a hacerse presente en ",$J$24,"la firma citada, ubicada en ",$J$23,", siendo recibido por quien acredita ser ",$K$19,"; ",$J$20," Nº ",$K$20,", quien se desempeña en la firma como ",$J$22," y suscribe este instrumento en prueba de conformidad.")</f>
        <v>, en ejecución y en ejercicio de las facultades conferidas por la ley Nº 19.511, el Decreto Reglamentario N° 960/2017, la Resolución Nº 611/2019 y sus modifiatorias, procede a hacerse presente en Zona de pesaje de la firma citada, ubicada en RUTA PROVINCIAL Nº 20 S/N, siendo recibido por quien acredita ser Sr. Nievas Aldo Dario; D.N.I. Nº 21.038.713, quien se desempeña en la firma como Jefe de mantenimiento  y suscribe este instrumento en prueba de conformidad.</v>
      </c>
    </row>
    <row r="3" spans="1:22" ht="15" customHeight="1" x14ac:dyDescent="0.2">
      <c r="A3" s="942"/>
      <c r="B3" s="942"/>
      <c r="C3" s="942"/>
      <c r="D3" s="942"/>
      <c r="E3" s="942"/>
      <c r="F3" s="942"/>
      <c r="G3" s="942"/>
      <c r="H3" s="942"/>
      <c r="J3" s="336" t="str">
        <f>CONCATENATE("A continuación se deja constancia que se verificó la concordancia con el modelo aprobado y se realizaron los ensayos de ",$N$44," respecto de los siguientes elementos: ",'Identificación del Instrumento'!$B$22," de tipo ",'Identificación del Instrumento'!$F$23,", compuesta por una plataforma receptora de cargas ",$N$30,"marca ",'Identificación del Instrumento'!$B$24,", modelo ",'Identificación del Instrumento'!$B$25,", N° de serie ",'Identificación del Instrumento'!$B$26,", código de aprobación de modelo ",'Identificación del Instrumento'!$B$27,", e indicador ",$P$30," de cargas marca ",'Identificación del Instrumento'!$F$24,", modelo ",'Identificación del Instrumento'!$F$25,", N° de serie ",'Identificación del Instrumento'!$F$26,", código de aprobación de modelo ",'Identificación del Instrumento'!$F$27,";")</f>
        <v>A continuación se deja constancia que se verificó la concordancia con el modelo aprobado y se realizaron los ensayos de  fidelidad, excentricidad, movilidad, errores de indicación y efecto máximo del dispositivo de puesta a cero respecto de los siguientes elementos: Balanza para pesar camiones de tipo electrónica, compuesta por una plataforma receptora de cargas marca BIANCHETTI, modelo TruckTRONIX 8020, N° de serie 28082017214, código de aprobación de modelo BF.80-2172, e indicador electrónico de cargas marca BIANCHETTI, modelo PB 10.000, N° de serie 28082017215, código de aprobación de modelo BF.60-1624;</v>
      </c>
    </row>
    <row r="4" spans="1:22" ht="15" customHeight="1" x14ac:dyDescent="0.2">
      <c r="A4" s="942"/>
      <c r="B4" s="942"/>
      <c r="C4" s="942"/>
      <c r="D4" s="942"/>
      <c r="E4" s="942"/>
      <c r="F4" s="942"/>
      <c r="G4" s="942"/>
      <c r="H4" s="942"/>
      <c r="J4" s="336" t="str">
        <f>CONCATENATE(" características metrológicas: capacidad máxima Máx.= ",'Identificación del Instrumento'!$D$29," kg; capacidad mínima Mín. = ",'Identificación del Instrumento'!$F$29," kg; e=dd=dt=",'Identificación del Instrumento'!$D$30," kg; clase ",'Identificación del Instrumento'!$F$30,", comprobando que los mismos cumplen con los requisitos de la verificación encomendada.")</f>
        <v xml:space="preserve"> características metrológicas: capacidad máxima Máx.= 80000 kg; capacidad mínima Mín. = 1000 kg; e=dd=dt=20 kg; clase III, comprobando que los mismos cumplen con los requisitos de la verificación encomendada.</v>
      </c>
    </row>
    <row r="5" spans="1:22" ht="15" customHeight="1" x14ac:dyDescent="0.2">
      <c r="A5" s="942"/>
      <c r="B5" s="942"/>
      <c r="C5" s="942"/>
      <c r="D5" s="942"/>
      <c r="E5" s="942"/>
      <c r="F5" s="942"/>
      <c r="G5" s="942"/>
      <c r="H5" s="942"/>
      <c r="J5" s="336" t="str">
        <f>CONCATENATE("Completada la presente verificación se cierra el acto, comprometiéndose el I.N.T.I. a emitir el ",$J$25,$J$26," en tiempo y forma, firmando como constancia el agente verificador y  ",$J$19,"",$K$19," por la firma ",'Identificación del Instrumento'!$C$14,".")</f>
        <v>Completada la presente verificación se cierra el acto, comprometiéndose el I.N.T.I. a emitir el informe previsto en la Resolución Nº 611/2019 de la SECRETARÍA DE COMERCIO INTERIOR y sus modificatorias en tiempo y forma, firmando como constancia el agente verificador y  Sr. Nievas Aldo Dario por la firma Marolio S.A..</v>
      </c>
    </row>
    <row r="6" spans="1:22" ht="15" customHeight="1" x14ac:dyDescent="0.2">
      <c r="A6" s="942"/>
      <c r="B6" s="942"/>
      <c r="C6" s="942"/>
      <c r="D6" s="942"/>
      <c r="E6" s="942"/>
      <c r="F6" s="942"/>
      <c r="G6" s="942"/>
      <c r="H6" s="942"/>
      <c r="J6" s="336" t="str">
        <f>CONCATENATE("Del presente se suscriben ",L30, " ejemplares de igual tenor, quedandosé uno en su poder ",$K$19," por la firma visitada.")</f>
        <v>Del presente se suscriben dos (2) ejemplares de igual tenor, quedandosé uno en su poder Sr. Nievas Aldo Dario por la firma visitada.</v>
      </c>
    </row>
    <row r="7" spans="1:22" ht="15" customHeight="1" x14ac:dyDescent="0.2">
      <c r="A7" s="942"/>
      <c r="B7" s="942"/>
      <c r="C7" s="942"/>
      <c r="D7" s="942"/>
      <c r="E7" s="942"/>
      <c r="F7" s="942"/>
      <c r="G7" s="942"/>
      <c r="H7" s="942"/>
    </row>
    <row r="8" spans="1:22" ht="15" hidden="1" customHeight="1" x14ac:dyDescent="0.2">
      <c r="A8" s="575"/>
      <c r="B8" s="575"/>
      <c r="C8" s="575"/>
      <c r="D8" s="575"/>
      <c r="E8" s="575"/>
      <c r="F8" s="575"/>
      <c r="G8" s="575"/>
      <c r="H8" s="575"/>
    </row>
    <row r="9" spans="1:22" ht="15" hidden="1" customHeight="1" x14ac:dyDescent="0.2">
      <c r="A9" s="575"/>
      <c r="B9" s="575"/>
      <c r="C9" s="575"/>
      <c r="D9" s="575"/>
      <c r="E9" s="575"/>
      <c r="F9" s="575"/>
      <c r="G9" s="575"/>
      <c r="H9" s="575"/>
    </row>
    <row r="10" spans="1:22" ht="15" hidden="1" customHeight="1" x14ac:dyDescent="0.2">
      <c r="A10" s="575"/>
      <c r="B10" s="575"/>
      <c r="C10" s="575"/>
      <c r="D10" s="575"/>
      <c r="E10" s="575"/>
      <c r="F10" s="575"/>
      <c r="G10" s="575"/>
      <c r="H10" s="575"/>
    </row>
    <row r="11" spans="1:22" ht="15" hidden="1" customHeight="1" x14ac:dyDescent="0.2">
      <c r="A11" s="575"/>
      <c r="B11" s="575"/>
      <c r="C11" s="575"/>
      <c r="D11" s="575"/>
      <c r="E11" s="575"/>
      <c r="F11" s="575"/>
      <c r="G11" s="575"/>
      <c r="H11" s="575"/>
    </row>
    <row r="12" spans="1:22" ht="15" hidden="1" customHeight="1" x14ac:dyDescent="0.2">
      <c r="A12" s="575"/>
      <c r="B12" s="575"/>
      <c r="C12" s="575"/>
      <c r="D12" s="575"/>
      <c r="E12" s="575"/>
      <c r="F12" s="575"/>
      <c r="G12" s="575"/>
      <c r="H12" s="575"/>
    </row>
    <row r="13" spans="1:22" ht="15" customHeight="1" x14ac:dyDescent="0.2">
      <c r="A13" s="575"/>
      <c r="B13" s="575"/>
      <c r="C13" s="575"/>
      <c r="D13" s="575"/>
      <c r="E13" s="575"/>
      <c r="F13" s="575"/>
      <c r="G13" s="575"/>
      <c r="H13" s="575"/>
      <c r="J13" s="944"/>
      <c r="K13" s="942"/>
    </row>
    <row r="14" spans="1:22" ht="15" customHeight="1" x14ac:dyDescent="0.2">
      <c r="A14" s="959" t="str">
        <f>IF(ISBLANK('Identificación del Instrumento'!B17),"",CONCATENATE("ACTA DE ",'Identificación del Instrumento'!B17))</f>
        <v>ACTA DE VERIFICACIÓN PERIÓDICA</v>
      </c>
      <c r="B14" s="942"/>
      <c r="C14" s="942"/>
      <c r="D14" s="942"/>
      <c r="E14" s="942"/>
      <c r="F14" s="942"/>
      <c r="G14" s="942"/>
      <c r="H14" s="942"/>
      <c r="J14" s="944"/>
      <c r="K14" s="942"/>
      <c r="L14" s="672"/>
    </row>
    <row r="15" spans="1:22" ht="15" customHeight="1" thickBot="1" x14ac:dyDescent="0.25">
      <c r="A15" s="575"/>
      <c r="B15" s="575"/>
      <c r="C15" s="575"/>
      <c r="D15" s="575"/>
      <c r="E15" s="575"/>
      <c r="F15" s="575"/>
      <c r="G15" s="575"/>
      <c r="H15" s="575"/>
    </row>
    <row r="16" spans="1:22" ht="15" customHeight="1" thickBot="1" x14ac:dyDescent="0.3">
      <c r="A16" s="964" t="str">
        <f>CONCATENATE("N° O.T.: ",'Identificación del Instrumento'!B4,"           ",'Identificación del Instrumento'!A5,"  ",'Identificación del Instrumento'!B5)</f>
        <v>N° O.T.: 307-64088           VPE Nº:  93084</v>
      </c>
      <c r="B16" s="942"/>
      <c r="C16" s="942"/>
      <c r="D16" s="942"/>
      <c r="E16" s="942"/>
      <c r="F16" s="942"/>
      <c r="G16" s="574"/>
      <c r="H16" s="574"/>
      <c r="J16" s="568" t="s">
        <v>410</v>
      </c>
      <c r="T16" s="398" t="s">
        <v>411</v>
      </c>
      <c r="V16" s="337" t="s">
        <v>412</v>
      </c>
    </row>
    <row r="17" spans="1:22" ht="15" customHeight="1" thickBot="1" x14ac:dyDescent="0.25">
      <c r="A17" s="576"/>
      <c r="B17" s="576"/>
      <c r="C17" s="576"/>
      <c r="D17" s="576"/>
      <c r="E17" s="576"/>
      <c r="F17" s="576"/>
      <c r="G17" s="576"/>
      <c r="H17" s="576"/>
    </row>
    <row r="18" spans="1:22" ht="16.5" customHeight="1" thickBot="1" x14ac:dyDescent="0.25">
      <c r="A18" s="960" t="str">
        <f>IF($J$29=6,CONCATENATE($J$1,$J$2),"¡Completar datos del acta!")</f>
        <v>En la localidad de COSTA DE ARAUJO, provincia de Mendoza, siendo las 15:30 horas del día 1 de enero de 2025, en virtud de la solicitud presentada por la firma Marolio S.A., conforme a lo establecido en la Resolución Nº 611/2019 de la SECRETARÍA DE COMERCIO INTERIOR y sus modificatorias, el Tco. Pablo Javier Siklosi A., D.N.I. N° 24.705.518, habilitado por el INSTITUTO NACIONAL DE TECNOLOGÍA INDUSTRIAL (I.N.T.I.), con credencial acreditante N° 96, que en este acto se exhibe, en ejecución y en ejercicio de las facultades conferidas por la ley Nº 19.511, el Decreto Reglamentario N° 960/2017, la Resolución Nº 611/2019 y sus modifiatorias, procede a hacerse presente en Zona de pesaje de la firma citada, ubicada en RUTA PROVINCIAL Nº 20 S/N, siendo recibido por quien acredita ser Sr. Nievas Aldo Dario; D.N.I. Nº 21.038.713, quien se desempeña en la firma como Jefe de mantenimiento  y suscribe este instrumento en prueba de conformidad.</v>
      </c>
      <c r="B18" s="786"/>
      <c r="C18" s="786"/>
      <c r="D18" s="786"/>
      <c r="E18" s="786"/>
      <c r="F18" s="786"/>
      <c r="G18" s="786"/>
      <c r="H18" s="786"/>
      <c r="J18" s="958" t="s">
        <v>413</v>
      </c>
      <c r="K18" s="948"/>
      <c r="L18" s="949"/>
      <c r="M18" s="682" t="s">
        <v>414</v>
      </c>
      <c r="N18" s="567"/>
      <c r="O18" s="567"/>
      <c r="P18" s="567"/>
      <c r="Q18" s="563"/>
      <c r="S18" s="683" t="s">
        <v>415</v>
      </c>
      <c r="T18" s="684" t="str">
        <f>+'Datos de Ensayos'!E4</f>
        <v>Tco. Pablo Javier Siklosi A.</v>
      </c>
      <c r="V18" s="338" t="s">
        <v>416</v>
      </c>
    </row>
    <row r="19" spans="1:22" ht="16.5" customHeight="1" thickBot="1" x14ac:dyDescent="0.25">
      <c r="A19" s="786"/>
      <c r="B19" s="786"/>
      <c r="C19" s="786"/>
      <c r="D19" s="786"/>
      <c r="E19" s="786"/>
      <c r="F19" s="786"/>
      <c r="G19" s="786"/>
      <c r="H19" s="786"/>
      <c r="J19" s="711"/>
      <c r="K19" s="961" t="s">
        <v>674</v>
      </c>
      <c r="L19" s="949"/>
      <c r="M19" s="682" t="s">
        <v>417</v>
      </c>
      <c r="N19" s="567"/>
      <c r="O19" s="567"/>
      <c r="P19" s="567"/>
      <c r="Q19" s="563"/>
      <c r="S19" s="685" t="s">
        <v>418</v>
      </c>
      <c r="T19" s="686" t="str">
        <f>VLOOKUP($T$18,'Datos de Ensayos'!$AC$3:$AG$21,2,0)</f>
        <v>D.N.I. N° 24.705.518</v>
      </c>
      <c r="V19" s="339" t="s">
        <v>419</v>
      </c>
    </row>
    <row r="20" spans="1:22" ht="16.5" customHeight="1" thickBot="1" x14ac:dyDescent="0.25">
      <c r="A20" s="786"/>
      <c r="B20" s="786"/>
      <c r="C20" s="786"/>
      <c r="D20" s="786"/>
      <c r="E20" s="786"/>
      <c r="F20" s="786"/>
      <c r="G20" s="786"/>
      <c r="H20" s="786"/>
      <c r="J20" s="712" t="s">
        <v>416</v>
      </c>
      <c r="K20" s="958" t="s">
        <v>675</v>
      </c>
      <c r="L20" s="949"/>
      <c r="M20" s="682" t="s">
        <v>420</v>
      </c>
      <c r="N20" s="567"/>
      <c r="O20" s="567"/>
      <c r="P20" s="567"/>
      <c r="Q20" s="563"/>
      <c r="S20" s="685" t="s">
        <v>421</v>
      </c>
      <c r="T20" s="686" t="str">
        <f>VLOOKUP($T$18,'Datos de Ensayos'!$AC$3:$AG$21,3,0)</f>
        <v>96</v>
      </c>
      <c r="V20" s="339" t="s">
        <v>422</v>
      </c>
    </row>
    <row r="21" spans="1:22" ht="16.5" customHeight="1" thickBot="1" x14ac:dyDescent="0.25">
      <c r="A21" s="786"/>
      <c r="B21" s="786"/>
      <c r="C21" s="786"/>
      <c r="D21" s="786"/>
      <c r="E21" s="786"/>
      <c r="F21" s="786"/>
      <c r="G21" s="786"/>
      <c r="H21" s="786"/>
      <c r="J21" s="712" t="s">
        <v>423</v>
      </c>
      <c r="K21" s="962" t="s">
        <v>676</v>
      </c>
      <c r="L21" s="962"/>
      <c r="M21" s="564" t="s">
        <v>424</v>
      </c>
      <c r="N21" s="567"/>
      <c r="O21" s="567"/>
      <c r="P21" s="567"/>
      <c r="Q21" s="563"/>
      <c r="S21" s="687"/>
      <c r="T21" s="688"/>
      <c r="V21" s="339" t="s">
        <v>425</v>
      </c>
    </row>
    <row r="22" spans="1:22" ht="16.5" customHeight="1" thickBot="1" x14ac:dyDescent="0.25">
      <c r="A22" s="786"/>
      <c r="B22" s="786"/>
      <c r="C22" s="786"/>
      <c r="D22" s="786"/>
      <c r="E22" s="786"/>
      <c r="F22" s="786"/>
      <c r="G22" s="786"/>
      <c r="H22" s="786"/>
      <c r="J22" s="947" t="s">
        <v>677</v>
      </c>
      <c r="K22" s="948"/>
      <c r="L22" s="949"/>
      <c r="M22" s="682" t="s">
        <v>426</v>
      </c>
      <c r="N22" s="567"/>
      <c r="O22" s="567"/>
      <c r="P22" s="567"/>
      <c r="Q22" s="563"/>
      <c r="S22" s="689" t="s">
        <v>427</v>
      </c>
      <c r="T22" s="690" t="str">
        <f>VLOOKUP($T$18,'Datos de Ensayos'!$AC$3:$AG$21,4,0)</f>
        <v>519/05</v>
      </c>
      <c r="V22" s="339" t="s">
        <v>428</v>
      </c>
    </row>
    <row r="23" spans="1:22" ht="16.5" customHeight="1" thickBot="1" x14ac:dyDescent="0.25">
      <c r="A23" s="786"/>
      <c r="B23" s="786"/>
      <c r="C23" s="786"/>
      <c r="D23" s="786"/>
      <c r="E23" s="786"/>
      <c r="F23" s="786"/>
      <c r="G23" s="786"/>
      <c r="H23" s="786"/>
      <c r="J23" s="940" t="str">
        <f>IF(COUNTA('Identificación del Instrumento'!$B$19)=1,'Identificación del Instrumento'!$B$19,CONCATENATE('Identificación del Instrumento'!$B$15," de la localidad de ",'Identificación del Instrumento'!$B$16,", provincia de ",'Identificación del Instrumento'!$F$16))</f>
        <v>RUTA PROVINCIAL Nº 20 S/N</v>
      </c>
      <c r="K23" s="847"/>
      <c r="L23" s="858"/>
      <c r="M23" s="562" t="s">
        <v>429</v>
      </c>
      <c r="N23" s="563"/>
      <c r="O23" s="563"/>
      <c r="P23" s="563"/>
      <c r="Q23" s="563"/>
      <c r="V23" s="339"/>
    </row>
    <row r="24" spans="1:22" ht="16.5" customHeight="1" thickBot="1" x14ac:dyDescent="0.25">
      <c r="A24" s="786"/>
      <c r="B24" s="786"/>
      <c r="C24" s="786"/>
      <c r="D24" s="786"/>
      <c r="E24" s="786"/>
      <c r="F24" s="786"/>
      <c r="G24" s="786"/>
      <c r="H24" s="786"/>
      <c r="J24" s="940" t="str">
        <f>IF(ISBLANK('Identificación del Instrumento'!$C$18),"",CONCATENATE('Identificación del Instrumento'!$C$18," de "))</f>
        <v xml:space="preserve">Zona de pesaje de </v>
      </c>
      <c r="K24" s="847"/>
      <c r="L24" s="858"/>
      <c r="M24" s="562" t="s">
        <v>430</v>
      </c>
      <c r="N24" s="563"/>
      <c r="O24" s="563"/>
      <c r="P24" s="563"/>
      <c r="Q24" s="563"/>
      <c r="V24" s="339" t="s">
        <v>423</v>
      </c>
    </row>
    <row r="25" spans="1:22" ht="16.5" customHeight="1" thickBot="1" x14ac:dyDescent="0.25">
      <c r="A25" s="786"/>
      <c r="B25" s="786"/>
      <c r="C25" s="786"/>
      <c r="D25" s="786"/>
      <c r="E25" s="786"/>
      <c r="F25" s="786"/>
      <c r="G25" s="786"/>
      <c r="H25" s="786"/>
      <c r="J25" s="940" t="str">
        <f>IF('Identificación del Instrumento'!$B$17="VERIFICACIÓN PERIÓDICA","informe")</f>
        <v>informe</v>
      </c>
      <c r="K25" s="847"/>
      <c r="L25" s="858"/>
      <c r="M25" s="1"/>
      <c r="V25" s="494"/>
    </row>
    <row r="26" spans="1:22" ht="16.5" customHeight="1" thickBot="1" x14ac:dyDescent="0.25">
      <c r="A26" s="786"/>
      <c r="B26" s="786"/>
      <c r="C26" s="786"/>
      <c r="D26" s="786"/>
      <c r="E26" s="786"/>
      <c r="F26" s="786"/>
      <c r="G26" s="786"/>
      <c r="H26" s="786"/>
      <c r="J26" s="963" t="str">
        <f>IF('Identificación del Instrumento'!$B$17="VERIFICACIÓN PERIÓDICA"," previsto en la Resolución Nº 611/2019 de la SECRETARÍA DE COMERCIO INTERIOR y sus modificatorias",IF('Identificación del Instrumento'!$B$17="APROBACIÓN DE MODELO DE EFECTO LIMITADO"," previsto por el punto 2, Cap. II del Anexo I de la Resolución Nº 611/2019 de la SECRETARÍA DE COMERCIO INTERIOR"," previsto por el punto 3, Cap. II del Anexo I de la Resolución Nº 611/2019 de la SECRETARÍA DE COMERCIO INTERIOR"))</f>
        <v xml:space="preserve"> previsto en la Resolución Nº 611/2019 de la SECRETARÍA DE COMERCIO INTERIOR y sus modificatorias</v>
      </c>
      <c r="K26" s="847"/>
      <c r="L26" s="858"/>
    </row>
    <row r="27" spans="1:22" ht="10.5" customHeight="1" thickBot="1" x14ac:dyDescent="0.25">
      <c r="A27" s="786"/>
      <c r="B27" s="786"/>
      <c r="C27" s="786"/>
      <c r="D27" s="786"/>
      <c r="E27" s="786"/>
      <c r="F27" s="786"/>
      <c r="G27" s="786"/>
      <c r="H27" s="786"/>
      <c r="J27" s="956" t="str">
        <f>IF('Identificación del Instrumento'!$B$17="VERIFICACIÓN PERIÓDICA","1 del Cap. I y 1 del Cap. III",(IF('Identificación del Instrumento'!$B$17="APROBACIÓN DE MODELO DE EFECTO LIMITADO","1 del Cap. I y 2 del Cap. II","1 del Cap. I y 3 del Cap. II")))</f>
        <v>1 del Cap. I y 1 del Cap. III</v>
      </c>
      <c r="K27" s="847"/>
      <c r="L27" s="858"/>
      <c r="N27" s="945" t="s">
        <v>431</v>
      </c>
      <c r="O27" s="835"/>
      <c r="P27" s="836"/>
    </row>
    <row r="28" spans="1:22" ht="8.25" customHeight="1" thickBot="1" x14ac:dyDescent="0.25">
      <c r="A28" s="786"/>
      <c r="B28" s="786"/>
      <c r="C28" s="786"/>
      <c r="D28" s="786"/>
      <c r="E28" s="786"/>
      <c r="F28" s="786"/>
      <c r="G28" s="786"/>
      <c r="H28" s="786"/>
      <c r="J28" s="956" t="str">
        <f>IF('Identificación del Instrumento'!$B$17="VERIFICACIÓN PERIÓDICA","1 del Cap. III del Anexo I",(IF('Identificación del Instrumento'!$B$17="APROBACIÓN DE MODELO DE EFECTO LIMITADO","2 del Cap. II del Anexo I","3 del Cap. II del Anexo I")))</f>
        <v>1 del Cap. III del Anexo I</v>
      </c>
      <c r="K28" s="847"/>
      <c r="L28" s="858"/>
      <c r="N28" s="828"/>
      <c r="O28" s="942"/>
      <c r="P28" s="850"/>
    </row>
    <row r="29" spans="1:22" ht="10.5" customHeight="1" thickBot="1" x14ac:dyDescent="0.25">
      <c r="A29" s="786"/>
      <c r="B29" s="786"/>
      <c r="C29" s="786"/>
      <c r="D29" s="786"/>
      <c r="E29" s="786"/>
      <c r="F29" s="786"/>
      <c r="G29" s="786"/>
      <c r="H29" s="786"/>
      <c r="J29" s="399">
        <f>COUNTIF(K29:K34,"=FALSO")</f>
        <v>6</v>
      </c>
      <c r="K29" s="400" t="b">
        <f>ISBLANK(J18)</f>
        <v>0</v>
      </c>
      <c r="L29" s="622" t="str">
        <f>IF('Identificación del Instrumento'!$B$17="VERIFICACIÓN PERIÓDICA","b)","a)")</f>
        <v>b)</v>
      </c>
      <c r="N29" s="340" t="s">
        <v>432</v>
      </c>
      <c r="O29" s="341"/>
      <c r="P29" s="342" t="s">
        <v>433</v>
      </c>
    </row>
    <row r="30" spans="1:22" ht="10.5" customHeight="1" thickBot="1" x14ac:dyDescent="0.25">
      <c r="A30" s="786"/>
      <c r="B30" s="786"/>
      <c r="C30" s="786"/>
      <c r="D30" s="786"/>
      <c r="E30" s="786"/>
      <c r="F30" s="786"/>
      <c r="G30" s="786"/>
      <c r="H30" s="786"/>
      <c r="K30" s="397" t="b">
        <f>ISBLANK(K19)</f>
        <v>0</v>
      </c>
      <c r="L30" s="622" t="str">
        <f>IF('Identificación del Instrumento'!$B$17="VERIFICACIÓN PERIÓDICA","dos (2)","tres (3)")</f>
        <v>dos (2)</v>
      </c>
      <c r="N30" s="343" t="str">
        <f>IF('Identificación del Instrumento'!$F$23="electrónica","","tipo mecánica ")</f>
        <v/>
      </c>
      <c r="O30" s="344"/>
      <c r="P30" s="345" t="str">
        <f>IF(ISBLANK('Identificación del Instrumento'!$F$23),"",IF('Identificación del Instrumento'!$F$23="mecánica","mecánico","electrónico"))</f>
        <v>electrónico</v>
      </c>
    </row>
    <row r="31" spans="1:22" ht="16.5" customHeight="1" x14ac:dyDescent="0.2">
      <c r="A31" s="951" t="str">
        <f>IF(COUNTBLANK(Informe!$F$20:$F$25)=6,CONCATENATE($J$3,$J$4),"¡LA BALANZA NO CUMPLE!")</f>
        <v>A continuación se deja constancia que se verificó la concordancia con el modelo aprobado y se realizaron los ensayos de  fidelidad, excentricidad, movilidad, errores de indicación y efecto máximo del dispositivo de puesta a cero respecto de los siguientes elementos: Balanza para pesar camiones de tipo electrónica, compuesta por una plataforma receptora de cargas marca BIANCHETTI, modelo TruckTRONIX 8020, N° de serie 28082017214, código de aprobación de modelo BF.80-2172, e indicador electrónico de cargas marca BIANCHETTI, modelo PB 10.000, N° de serie 28082017215, código de aprobación de modelo BF.60-1624; características metrológicas: capacidad máxima Máx.= 80000 kg; capacidad mínima Mín. = 1000 kg; e=dd=dt=20 kg; clase III, comprobando que los mismos cumplen con los requisitos de la verificación encomendada.</v>
      </c>
      <c r="B31" s="942"/>
      <c r="C31" s="942"/>
      <c r="D31" s="942"/>
      <c r="E31" s="942"/>
      <c r="F31" s="942"/>
      <c r="G31" s="942"/>
      <c r="H31" s="942"/>
      <c r="J31" s="335" t="s">
        <v>30</v>
      </c>
      <c r="K31" s="397" t="b">
        <f>ISBLANK(K20)</f>
        <v>0</v>
      </c>
    </row>
    <row r="32" spans="1:22" ht="16.5" customHeight="1" x14ac:dyDescent="0.2">
      <c r="A32" s="942"/>
      <c r="B32" s="942"/>
      <c r="C32" s="942"/>
      <c r="D32" s="942"/>
      <c r="E32" s="942"/>
      <c r="F32" s="942"/>
      <c r="G32" s="942"/>
      <c r="H32" s="942"/>
      <c r="K32" s="397" t="b">
        <f>ISBLANK(J22)</f>
        <v>0</v>
      </c>
    </row>
    <row r="33" spans="1:16" ht="16.5" customHeight="1" x14ac:dyDescent="0.2">
      <c r="A33" s="942"/>
      <c r="B33" s="942"/>
      <c r="C33" s="942"/>
      <c r="D33" s="942"/>
      <c r="E33" s="942"/>
      <c r="F33" s="942"/>
      <c r="G33" s="942"/>
      <c r="H33" s="942"/>
      <c r="K33" s="397" t="b">
        <f>AND(ISBLANK('Identificación del Instrumento'!$B$19),ISBLANK('Identificación del Instrumento'!$B$15),ISBLANK('Identificación del Instrumento'!$B$16),ISBLANK('Identificación del Instrumento'!$F$16))</f>
        <v>0</v>
      </c>
      <c r="N33" s="941"/>
      <c r="O33" s="942"/>
      <c r="P33" s="942"/>
    </row>
    <row r="34" spans="1:16" ht="16.5" customHeight="1" thickBot="1" x14ac:dyDescent="0.25">
      <c r="A34" s="942"/>
      <c r="B34" s="942"/>
      <c r="C34" s="942"/>
      <c r="D34" s="942"/>
      <c r="E34" s="942"/>
      <c r="F34" s="942"/>
      <c r="G34" s="942"/>
      <c r="H34" s="942"/>
      <c r="K34" s="426" t="b">
        <f>ISBLANK(J24)</f>
        <v>0</v>
      </c>
      <c r="N34" s="346"/>
      <c r="O34" s="346"/>
      <c r="P34" s="346"/>
    </row>
    <row r="35" spans="1:16" ht="16.5" customHeight="1" thickBot="1" x14ac:dyDescent="0.25">
      <c r="A35" s="942"/>
      <c r="B35" s="942"/>
      <c r="C35" s="942"/>
      <c r="D35" s="942"/>
      <c r="E35" s="942"/>
      <c r="F35" s="942"/>
      <c r="G35" s="942"/>
      <c r="H35" s="942"/>
      <c r="N35" s="347"/>
      <c r="O35" s="346"/>
      <c r="P35" s="348"/>
    </row>
    <row r="36" spans="1:16" ht="16.5" customHeight="1" thickBot="1" x14ac:dyDescent="0.25">
      <c r="A36" s="942"/>
      <c r="B36" s="942"/>
      <c r="C36" s="942"/>
      <c r="D36" s="942"/>
      <c r="E36" s="942"/>
      <c r="F36" s="942"/>
      <c r="G36" s="942"/>
      <c r="H36" s="942"/>
      <c r="N36" s="349"/>
      <c r="O36" s="350"/>
      <c r="P36" s="351"/>
    </row>
    <row r="37" spans="1:16" ht="16.5" customHeight="1" thickBot="1" x14ac:dyDescent="0.25">
      <c r="A37" s="942"/>
      <c r="B37" s="942"/>
      <c r="C37" s="942"/>
      <c r="D37" s="942"/>
      <c r="E37" s="942"/>
      <c r="F37" s="942"/>
      <c r="G37" s="942"/>
      <c r="H37" s="942"/>
      <c r="N37" s="954" t="s">
        <v>434</v>
      </c>
      <c r="O37" s="847"/>
      <c r="P37" s="858"/>
    </row>
    <row r="38" spans="1:16" ht="16.5" customHeight="1" thickBot="1" x14ac:dyDescent="0.25">
      <c r="A38" s="942"/>
      <c r="B38" s="942"/>
      <c r="C38" s="942"/>
      <c r="D38" s="942"/>
      <c r="E38" s="942"/>
      <c r="F38" s="942"/>
      <c r="G38" s="942"/>
      <c r="H38" s="942"/>
      <c r="N38" s="943" t="str">
        <f>IF(Informe!$G$23=Informe!$J$2,""," fidelidad")</f>
        <v xml:space="preserve"> fidelidad</v>
      </c>
      <c r="O38" s="847"/>
      <c r="P38" s="858"/>
    </row>
    <row r="39" spans="1:16" ht="16.5" customHeight="1" thickBot="1" x14ac:dyDescent="0.25">
      <c r="A39" s="942"/>
      <c r="B39" s="942"/>
      <c r="C39" s="942"/>
      <c r="D39" s="942"/>
      <c r="E39" s="942"/>
      <c r="F39" s="942"/>
      <c r="G39" s="942"/>
      <c r="H39" s="942"/>
      <c r="N39" s="943" t="str">
        <f>IF(Informe!$G$22=Informe!$J$2,"",", excentricidad")</f>
        <v>, excentricidad</v>
      </c>
      <c r="O39" s="847"/>
      <c r="P39" s="858"/>
    </row>
    <row r="40" spans="1:16" ht="16.5" customHeight="1" thickBot="1" x14ac:dyDescent="0.25">
      <c r="A40" s="960" t="str">
        <f>IF($J$29=6,J5,"¡Completar datos del acta!")</f>
        <v>Completada la presente verificación se cierra el acto, comprometiéndose el I.N.T.I. a emitir el informe previsto en la Resolución Nº 611/2019 de la SECRETARÍA DE COMERCIO INTERIOR y sus modificatorias en tiempo y forma, firmando como constancia el agente verificador y  Sr. Nievas Aldo Dario por la firma Marolio S.A..</v>
      </c>
      <c r="B40" s="786"/>
      <c r="C40" s="786"/>
      <c r="D40" s="786"/>
      <c r="E40" s="786"/>
      <c r="F40" s="786"/>
      <c r="G40" s="786"/>
      <c r="H40" s="786"/>
      <c r="N40" s="943" t="str">
        <f>IF(Informe!$G$24=Informe!$J$2,"",", movilidad")</f>
        <v>, movilidad</v>
      </c>
      <c r="O40" s="847"/>
      <c r="P40" s="858"/>
    </row>
    <row r="41" spans="1:16" ht="16.5" customHeight="1" thickBot="1" x14ac:dyDescent="0.25">
      <c r="A41" s="786"/>
      <c r="B41" s="786"/>
      <c r="C41" s="786"/>
      <c r="D41" s="786"/>
      <c r="E41" s="786"/>
      <c r="F41" s="786"/>
      <c r="G41" s="786"/>
      <c r="H41" s="786"/>
      <c r="N41" s="943" t="str">
        <f>IF(Informe!$G$20=Informe!$J$2,"",IF(AND(N42="",N43="")," y errores de indicación",", errores de indicación"))</f>
        <v>, errores de indicación</v>
      </c>
      <c r="O41" s="847"/>
      <c r="P41" s="858"/>
    </row>
    <row r="42" spans="1:16" ht="16.5" customHeight="1" thickBot="1" x14ac:dyDescent="0.25">
      <c r="A42" s="786"/>
      <c r="B42" s="786"/>
      <c r="C42" s="786"/>
      <c r="D42" s="786"/>
      <c r="E42" s="786"/>
      <c r="F42" s="786"/>
      <c r="G42" s="786"/>
      <c r="H42" s="786"/>
      <c r="N42" s="943" t="str">
        <f>IF(Informe!$G$21=Informe!$J$2,"",", desvíos entre resultados")</f>
        <v/>
      </c>
      <c r="O42" s="847"/>
      <c r="P42" s="858"/>
    </row>
    <row r="43" spans="1:16" ht="30" customHeight="1" thickBot="1" x14ac:dyDescent="0.25">
      <c r="A43" s="786"/>
      <c r="B43" s="786"/>
      <c r="C43" s="786"/>
      <c r="D43" s="786"/>
      <c r="E43" s="786"/>
      <c r="F43" s="786"/>
      <c r="G43" s="786"/>
      <c r="H43" s="786"/>
      <c r="N43" s="943" t="str">
        <f>IF(Informe!$G$25=Informe!$J$2,""," y efecto máximo del dispositivo de puesta a cero")</f>
        <v xml:space="preserve"> y efecto máximo del dispositivo de puesta a cero</v>
      </c>
      <c r="O43" s="847"/>
      <c r="P43" s="858"/>
    </row>
    <row r="44" spans="1:16" ht="15" customHeight="1" x14ac:dyDescent="0.25">
      <c r="A44" s="960" t="str">
        <f>IF($J$29=6,J6,"¡Completar datos del acta!")</f>
        <v>Del presente se suscriben dos (2) ejemplares de igual tenor, quedandosé uno en su poder Sr. Nievas Aldo Dario por la firma visitada.</v>
      </c>
      <c r="B44" s="786"/>
      <c r="C44" s="786"/>
      <c r="D44" s="786"/>
      <c r="E44" s="786"/>
      <c r="F44" s="786"/>
      <c r="G44" s="786"/>
      <c r="H44" s="786"/>
      <c r="N44" s="454" t="str">
        <f>CONCATENATE($N$38,$N$39,$N$40,$N$41,$N$42,$N$43)</f>
        <v xml:space="preserve"> fidelidad, excentricidad, movilidad, errores de indicación y efecto máximo del dispositivo de puesta a cero</v>
      </c>
      <c r="O44" s="455"/>
      <c r="P44" s="455"/>
    </row>
    <row r="45" spans="1:16" ht="15" customHeight="1" x14ac:dyDescent="0.25">
      <c r="A45" s="786"/>
      <c r="B45" s="786"/>
      <c r="C45" s="786"/>
      <c r="D45" s="786"/>
      <c r="E45" s="786"/>
      <c r="F45" s="786"/>
      <c r="G45" s="786"/>
      <c r="H45" s="786"/>
      <c r="N45" s="454"/>
      <c r="O45" s="455"/>
      <c r="P45" s="455"/>
    </row>
    <row r="46" spans="1:16" ht="15" customHeight="1" x14ac:dyDescent="0.2">
      <c r="A46" s="786"/>
      <c r="B46" s="786"/>
      <c r="C46" s="786"/>
      <c r="D46" s="786"/>
      <c r="E46" s="786"/>
      <c r="F46" s="786"/>
      <c r="G46" s="786"/>
      <c r="H46" s="786"/>
      <c r="N46" s="455"/>
      <c r="O46" s="455"/>
      <c r="P46" s="455"/>
    </row>
    <row r="47" spans="1:16" ht="15" customHeight="1" x14ac:dyDescent="0.2">
      <c r="A47" s="786"/>
      <c r="B47" s="786"/>
      <c r="C47" s="786"/>
      <c r="D47" s="786"/>
      <c r="E47" s="786"/>
      <c r="F47" s="786"/>
      <c r="G47" s="786"/>
      <c r="H47" s="786"/>
      <c r="N47" s="455"/>
      <c r="O47" s="455"/>
      <c r="P47" s="455"/>
    </row>
    <row r="48" spans="1:16" ht="15" customHeight="1" x14ac:dyDescent="0.2">
      <c r="A48" s="786"/>
      <c r="B48" s="786"/>
      <c r="C48" s="786"/>
      <c r="D48" s="786"/>
      <c r="E48" s="786"/>
      <c r="F48" s="786"/>
      <c r="G48" s="786"/>
      <c r="H48" s="786"/>
      <c r="N48" s="455"/>
      <c r="O48" s="455"/>
      <c r="P48" s="455"/>
    </row>
    <row r="49" spans="1:16" ht="15" customHeight="1" x14ac:dyDescent="0.2">
      <c r="A49" s="786"/>
      <c r="B49" s="786"/>
      <c r="C49" s="786"/>
      <c r="D49" s="786"/>
      <c r="E49" s="786"/>
      <c r="F49" s="786"/>
      <c r="G49" s="786"/>
      <c r="H49" s="786"/>
      <c r="N49" s="455"/>
      <c r="O49" s="455"/>
      <c r="P49" s="455"/>
    </row>
    <row r="50" spans="1:16" ht="15" customHeight="1" x14ac:dyDescent="0.2">
      <c r="A50" s="786"/>
      <c r="B50" s="786"/>
      <c r="C50" s="786"/>
      <c r="D50" s="786"/>
      <c r="E50" s="786"/>
      <c r="F50" s="786"/>
      <c r="G50" s="786"/>
      <c r="H50" s="786"/>
      <c r="N50" s="455"/>
      <c r="O50" s="455"/>
      <c r="P50" s="455"/>
    </row>
    <row r="51" spans="1:16" ht="15" customHeight="1" x14ac:dyDescent="0.2">
      <c r="A51" s="786"/>
      <c r="B51" s="786"/>
      <c r="C51" s="786"/>
      <c r="D51" s="786"/>
      <c r="E51" s="786"/>
      <c r="F51" s="786"/>
      <c r="G51" s="786"/>
      <c r="H51" s="786"/>
    </row>
    <row r="52" spans="1:16" s="395" customFormat="1" ht="15" customHeight="1" x14ac:dyDescent="0.2">
      <c r="A52" s="576"/>
      <c r="B52" s="576"/>
      <c r="C52" s="576"/>
      <c r="D52" s="576"/>
      <c r="E52" s="576"/>
      <c r="F52" s="576"/>
      <c r="G52" s="576"/>
      <c r="H52" s="576"/>
    </row>
    <row r="53" spans="1:16" s="395" customFormat="1" ht="15" customHeight="1" x14ac:dyDescent="0.2">
      <c r="A53" s="576"/>
      <c r="B53" s="576"/>
      <c r="C53" s="576"/>
      <c r="D53" s="576"/>
      <c r="E53" s="576"/>
      <c r="F53" s="576"/>
      <c r="G53" s="576"/>
      <c r="H53" s="576"/>
    </row>
    <row r="54" spans="1:16" s="395" customFormat="1" ht="15" customHeight="1" x14ac:dyDescent="0.2">
      <c r="A54" s="576"/>
      <c r="B54" s="576"/>
      <c r="C54" s="576"/>
      <c r="D54" s="576"/>
      <c r="E54" s="576"/>
      <c r="F54" s="576"/>
      <c r="G54" s="576"/>
      <c r="H54" s="576"/>
    </row>
    <row r="55" spans="1:16" ht="15" customHeight="1" x14ac:dyDescent="0.2">
      <c r="A55" s="576"/>
      <c r="B55" s="576"/>
      <c r="C55" s="576"/>
      <c r="D55" s="576"/>
      <c r="E55" s="576"/>
      <c r="F55" s="576"/>
      <c r="G55" s="576"/>
      <c r="H55" s="576"/>
      <c r="I55" s="393"/>
    </row>
    <row r="56" spans="1:16" ht="15" customHeight="1" x14ac:dyDescent="0.2">
      <c r="A56" s="576"/>
      <c r="B56" s="576"/>
      <c r="C56" s="576"/>
      <c r="D56" s="576"/>
      <c r="E56" s="576"/>
      <c r="F56" s="576"/>
      <c r="G56" s="576"/>
      <c r="H56" s="576"/>
      <c r="I56" s="393"/>
    </row>
    <row r="57" spans="1:16" ht="15" customHeight="1" x14ac:dyDescent="0.2">
      <c r="A57" s="955" t="str">
        <f>+K19</f>
        <v>Sr. Nievas Aldo Dario</v>
      </c>
      <c r="B57" s="767"/>
      <c r="C57" s="767"/>
      <c r="D57" s="624"/>
      <c r="E57" s="624"/>
      <c r="F57" s="955" t="str">
        <f>+T18</f>
        <v>Tco. Pablo Javier Siklosi A.</v>
      </c>
      <c r="G57" s="767"/>
      <c r="H57" s="767"/>
      <c r="I57" s="394"/>
      <c r="K57" s="233"/>
    </row>
    <row r="58" spans="1:16" ht="15" customHeight="1" x14ac:dyDescent="0.2">
      <c r="A58" s="950" t="str">
        <f>+'Identificación del Instrumento'!C14</f>
        <v>Marolio S.A.</v>
      </c>
      <c r="B58" s="942"/>
      <c r="C58" s="942"/>
      <c r="D58" s="624"/>
      <c r="E58" s="624"/>
      <c r="F58" s="950" t="s">
        <v>146</v>
      </c>
      <c r="G58" s="942"/>
      <c r="H58" s="942"/>
    </row>
    <row r="59" spans="1:16" ht="15" customHeight="1" x14ac:dyDescent="0.2">
      <c r="A59" s="952" t="str">
        <f>K21</f>
        <v>aldo.nievas@trivento.com 2613376542</v>
      </c>
      <c r="B59" s="942"/>
      <c r="C59" s="942"/>
      <c r="D59" s="624"/>
      <c r="E59" s="624"/>
      <c r="F59" s="710"/>
      <c r="G59" s="710"/>
      <c r="H59" s="710"/>
    </row>
    <row r="60" spans="1:16" s="505" customFormat="1" ht="15" customHeight="1" x14ac:dyDescent="0.25">
      <c r="A60" s="576"/>
      <c r="B60" s="576"/>
      <c r="C60" s="576"/>
      <c r="D60" s="576"/>
      <c r="E60" s="576"/>
      <c r="F60" s="576"/>
      <c r="G60" s="576"/>
      <c r="H60" s="576"/>
    </row>
    <row r="61" spans="1:16" s="505" customFormat="1" ht="15" customHeight="1" x14ac:dyDescent="0.25">
      <c r="A61" s="576"/>
      <c r="B61" s="576"/>
      <c r="C61" s="576"/>
      <c r="D61" s="576"/>
      <c r="E61" s="576"/>
      <c r="F61" s="576"/>
      <c r="G61" s="576"/>
      <c r="H61" s="576"/>
    </row>
    <row r="62" spans="1:16" s="505" customFormat="1" ht="15" customHeight="1" x14ac:dyDescent="0.25">
      <c r="A62" s="576"/>
      <c r="B62" s="576"/>
      <c r="C62" s="576"/>
      <c r="D62" s="576"/>
      <c r="E62" s="576"/>
      <c r="F62" s="576"/>
      <c r="G62" s="576"/>
      <c r="H62" s="576"/>
    </row>
    <row r="63" spans="1:16" ht="15" customHeight="1" x14ac:dyDescent="0.2">
      <c r="A63" s="953"/>
      <c r="B63" s="942"/>
      <c r="C63" s="942"/>
      <c r="D63" s="942"/>
      <c r="E63" s="942"/>
      <c r="F63" s="942"/>
      <c r="G63" s="942"/>
      <c r="H63" s="942"/>
    </row>
    <row r="64" spans="1:16" ht="15" customHeight="1" x14ac:dyDescent="0.2">
      <c r="A64" s="946"/>
      <c r="B64" s="942"/>
      <c r="C64" s="942"/>
      <c r="D64" s="942"/>
      <c r="E64" s="942"/>
      <c r="F64" s="942"/>
      <c r="G64" s="942"/>
      <c r="H64" s="942"/>
    </row>
    <row r="65" spans="1:8" ht="15" customHeight="1" x14ac:dyDescent="0.2">
      <c r="A65" s="946"/>
      <c r="B65" s="942"/>
      <c r="C65" s="942"/>
      <c r="D65" s="942"/>
      <c r="E65" s="942"/>
      <c r="F65" s="942"/>
      <c r="G65" s="942"/>
      <c r="H65" s="942"/>
    </row>
    <row r="66" spans="1:8" ht="15" customHeight="1" x14ac:dyDescent="0.2"/>
    <row r="67" spans="1:8" ht="15" customHeight="1" x14ac:dyDescent="0.2"/>
  </sheetData>
  <mergeCells count="37">
    <mergeCell ref="A1:H7"/>
    <mergeCell ref="J18:L18"/>
    <mergeCell ref="F57:H57"/>
    <mergeCell ref="A58:C58"/>
    <mergeCell ref="J23:L23"/>
    <mergeCell ref="A14:H14"/>
    <mergeCell ref="A40:H43"/>
    <mergeCell ref="A44:H51"/>
    <mergeCell ref="J28:L28"/>
    <mergeCell ref="K19:L19"/>
    <mergeCell ref="J13:K13"/>
    <mergeCell ref="K21:L21"/>
    <mergeCell ref="K20:L20"/>
    <mergeCell ref="A18:H30"/>
    <mergeCell ref="J26:L26"/>
    <mergeCell ref="A16:F16"/>
    <mergeCell ref="A65:H65"/>
    <mergeCell ref="J22:L22"/>
    <mergeCell ref="N40:P40"/>
    <mergeCell ref="F58:H58"/>
    <mergeCell ref="A31:H39"/>
    <mergeCell ref="A59:C59"/>
    <mergeCell ref="N41:P41"/>
    <mergeCell ref="A63:H63"/>
    <mergeCell ref="N37:P37"/>
    <mergeCell ref="N43:P43"/>
    <mergeCell ref="A57:C57"/>
    <mergeCell ref="J25:L25"/>
    <mergeCell ref="N38:P38"/>
    <mergeCell ref="A64:H64"/>
    <mergeCell ref="J27:L27"/>
    <mergeCell ref="N39:P39"/>
    <mergeCell ref="J24:L24"/>
    <mergeCell ref="N33:P33"/>
    <mergeCell ref="N42:P42"/>
    <mergeCell ref="J14:K14"/>
    <mergeCell ref="N27:P28"/>
  </mergeCells>
  <conditionalFormatting sqref="A18 A40 A44:A45">
    <cfRule type="cellIs" dxfId="23" priority="1" stopIfTrue="1" operator="equal">
      <formula>"¡Completar datos del acta!"</formula>
    </cfRule>
  </conditionalFormatting>
  <conditionalFormatting sqref="A31">
    <cfRule type="cellIs" dxfId="22" priority="2" stopIfTrue="1" operator="equal">
      <formula>"¡LA BALANZA NO CUMPLE!"</formula>
    </cfRule>
  </conditionalFormatting>
  <dataValidations count="2">
    <dataValidation type="list" allowBlank="1" showInputMessage="1" showErrorMessage="1" errorTitle="Tipo de documento" error="Valor incorrecto. Respete las opciones de la lista" promptTitle="Tipo de documento" prompt="Seleccione una opción de la lista" sqref="J20" xr:uid="{00000000-0002-0000-0300-000000000000}">
      <formula1>$V$18:$V$23</formula1>
    </dataValidation>
    <dataValidation type="list" allowBlank="1" showInputMessage="1" showErrorMessage="1" errorTitle="Tipo de documento" error="Valor incorrecto. Respete las opciones de la lista" promptTitle="Tipo de documento" prompt="Seleccione una opción de la lista" sqref="J21" xr:uid="{00000000-0002-0000-0300-000001000000}">
      <formula1>$V$18:$V$25</formula1>
    </dataValidation>
  </dataValidations>
  <hyperlinks>
    <hyperlink ref="K21" r:id="rId1" xr:uid="{00000000-0004-0000-0300-000000000000}"/>
    <hyperlink ref="K21:L21" r:id="rId2" display="aldo.nievas@trivento.com 2613376542" xr:uid="{D4A2DD0B-BC2A-8142-A095-ED33FB14AB02}"/>
  </hyperlinks>
  <pageMargins left="0.98425196850393704" right="0.39370078740157483" top="0.39370078740157483" bottom="0.39370078740157483" header="0" footer="0"/>
  <pageSetup paperSize="9" scale="86" orientation="portrait" verticalDpi="300" r:id="rId3"/>
  <drawing r:id="rId4"/>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Hoja6"/>
  <dimension ref="A1:S76"/>
  <sheetViews>
    <sheetView view="pageBreakPreview" zoomScaleSheetLayoutView="100" workbookViewId="0">
      <selection activeCell="E28" sqref="E28:G28"/>
    </sheetView>
  </sheetViews>
  <sheetFormatPr baseColWidth="10" defaultColWidth="10.7109375" defaultRowHeight="12.75" x14ac:dyDescent="0.2"/>
  <cols>
    <col min="1" max="1" width="9.7109375" customWidth="1"/>
    <col min="2" max="2" width="18.28515625" customWidth="1"/>
    <col min="3" max="3" width="10.7109375" customWidth="1"/>
    <col min="4" max="4" width="10" customWidth="1"/>
    <col min="5" max="5" width="20.7109375" customWidth="1"/>
    <col min="6" max="6" width="10.7109375" customWidth="1"/>
    <col min="7" max="7" width="14.28515625" customWidth="1"/>
    <col min="8" max="8" width="9.7109375" customWidth="1"/>
    <col min="9" max="9" width="12.7109375" customWidth="1"/>
    <col min="10" max="10" width="3.85546875" customWidth="1"/>
    <col min="11" max="14" width="11.42578125" customWidth="1"/>
    <col min="15" max="15" width="2.85546875" customWidth="1"/>
    <col min="16" max="16" width="3" customWidth="1"/>
    <col min="17" max="17" width="1.85546875" customWidth="1"/>
    <col min="18" max="18" width="3.42578125" customWidth="1"/>
  </cols>
  <sheetData>
    <row r="1" spans="1:16" ht="15" customHeight="1" x14ac:dyDescent="0.2">
      <c r="A1" s="972"/>
      <c r="B1" s="841"/>
      <c r="C1" s="841"/>
      <c r="D1" s="841"/>
      <c r="E1" s="841"/>
      <c r="F1" s="841"/>
      <c r="G1" s="841"/>
      <c r="H1" s="841"/>
      <c r="I1" s="381"/>
      <c r="J1" s="396"/>
      <c r="K1" s="396"/>
      <c r="L1" s="396"/>
      <c r="M1" s="396"/>
      <c r="N1" s="396"/>
      <c r="O1" s="396"/>
      <c r="P1" s="396"/>
    </row>
    <row r="2" spans="1:16" ht="15" customHeight="1" x14ac:dyDescent="0.2">
      <c r="A2" s="841"/>
      <c r="B2" s="841"/>
      <c r="C2" s="841"/>
      <c r="D2" s="841"/>
      <c r="E2" s="841"/>
      <c r="F2" s="841"/>
      <c r="G2" s="841"/>
      <c r="H2" s="841"/>
      <c r="I2" s="381"/>
      <c r="J2" s="396"/>
      <c r="K2" s="396"/>
      <c r="L2" s="396"/>
      <c r="M2" s="396"/>
      <c r="N2" s="396"/>
      <c r="O2" s="396"/>
      <c r="P2" s="396"/>
    </row>
    <row r="3" spans="1:16" ht="15" customHeight="1" x14ac:dyDescent="0.2">
      <c r="A3" s="841"/>
      <c r="B3" s="841"/>
      <c r="C3" s="841"/>
      <c r="D3" s="841"/>
      <c r="E3" s="841"/>
      <c r="F3" s="841"/>
      <c r="G3" s="841"/>
      <c r="H3" s="841"/>
      <c r="I3" s="381"/>
      <c r="J3" s="396"/>
      <c r="K3" s="396"/>
      <c r="L3" s="396"/>
      <c r="M3" s="396"/>
      <c r="N3" s="396"/>
      <c r="O3" s="396"/>
      <c r="P3" s="396"/>
    </row>
    <row r="4" spans="1:16" ht="15" customHeight="1" x14ac:dyDescent="0.2">
      <c r="A4" s="841"/>
      <c r="B4" s="841"/>
      <c r="C4" s="841"/>
      <c r="D4" s="841"/>
      <c r="E4" s="841"/>
      <c r="F4" s="841"/>
      <c r="G4" s="841"/>
      <c r="H4" s="841"/>
      <c r="I4" s="381"/>
      <c r="J4" s="396"/>
      <c r="K4" s="396"/>
      <c r="L4" s="396"/>
      <c r="M4" s="396"/>
      <c r="N4" s="396"/>
      <c r="O4" s="396"/>
      <c r="P4" s="396"/>
    </row>
    <row r="5" spans="1:16" ht="15" customHeight="1" x14ac:dyDescent="0.2">
      <c r="A5" s="841"/>
      <c r="B5" s="841"/>
      <c r="C5" s="841"/>
      <c r="D5" s="841"/>
      <c r="E5" s="841"/>
      <c r="F5" s="841"/>
      <c r="G5" s="841"/>
      <c r="H5" s="841"/>
      <c r="I5" s="381"/>
      <c r="J5" s="396"/>
      <c r="K5" s="396"/>
      <c r="L5" s="396"/>
      <c r="M5" s="396"/>
      <c r="N5" s="396"/>
      <c r="O5" s="396"/>
      <c r="P5" s="396"/>
    </row>
    <row r="6" spans="1:16" ht="15" customHeight="1" x14ac:dyDescent="0.2">
      <c r="A6" s="841"/>
      <c r="B6" s="841"/>
      <c r="C6" s="841"/>
      <c r="D6" s="841"/>
      <c r="E6" s="841"/>
      <c r="F6" s="841"/>
      <c r="G6" s="841"/>
      <c r="H6" s="841"/>
      <c r="I6" s="381"/>
      <c r="J6" s="396"/>
      <c r="K6" s="396"/>
      <c r="L6" s="396"/>
      <c r="M6" s="396"/>
      <c r="N6" s="396"/>
      <c r="O6" s="396"/>
      <c r="P6" s="396"/>
    </row>
    <row r="7" spans="1:16" ht="15" customHeight="1" x14ac:dyDescent="0.2">
      <c r="A7" s="841"/>
      <c r="B7" s="841"/>
      <c r="C7" s="841"/>
      <c r="D7" s="841"/>
      <c r="E7" s="841"/>
      <c r="F7" s="841"/>
      <c r="G7" s="841"/>
      <c r="H7" s="841"/>
      <c r="I7" s="381"/>
      <c r="J7" s="396"/>
      <c r="K7" s="396"/>
      <c r="L7" s="396"/>
      <c r="M7" s="396"/>
      <c r="N7" s="396"/>
      <c r="O7" s="396"/>
      <c r="P7" s="396"/>
    </row>
    <row r="8" spans="1:16" ht="15" customHeight="1" x14ac:dyDescent="0.2">
      <c r="A8" s="381"/>
      <c r="B8" s="380"/>
      <c r="C8" s="380"/>
      <c r="D8" s="380"/>
      <c r="E8" s="380"/>
      <c r="F8" s="380"/>
      <c r="G8" s="380"/>
      <c r="H8" s="380"/>
      <c r="I8" s="381"/>
      <c r="J8" s="396"/>
      <c r="K8" s="396"/>
      <c r="L8" s="396"/>
      <c r="M8" s="396"/>
      <c r="N8" s="396"/>
      <c r="O8" s="396"/>
      <c r="P8" s="396"/>
    </row>
    <row r="9" spans="1:16" ht="15" customHeight="1" x14ac:dyDescent="0.2">
      <c r="A9" s="381"/>
      <c r="B9" s="380"/>
      <c r="C9" s="380"/>
      <c r="D9" s="380"/>
      <c r="E9" s="380"/>
      <c r="F9" s="380"/>
      <c r="G9" s="380"/>
      <c r="H9" s="380"/>
      <c r="I9" s="381"/>
      <c r="J9" s="396"/>
      <c r="K9" s="396"/>
      <c r="L9" s="396"/>
      <c r="M9" s="396"/>
      <c r="N9" s="396"/>
      <c r="O9" s="396"/>
      <c r="P9" s="396"/>
    </row>
    <row r="10" spans="1:16" ht="20.25" customHeight="1" x14ac:dyDescent="0.2">
      <c r="A10" s="986" t="s">
        <v>435</v>
      </c>
      <c r="B10" s="841"/>
      <c r="C10" s="841"/>
      <c r="D10" s="841"/>
      <c r="E10" s="841"/>
      <c r="F10" s="841"/>
      <c r="G10" s="841"/>
      <c r="H10" s="841"/>
      <c r="I10" s="570"/>
      <c r="J10" s="396"/>
      <c r="K10" s="396"/>
      <c r="L10" s="396"/>
      <c r="M10" s="396"/>
      <c r="N10" s="396"/>
      <c r="O10" s="396"/>
      <c r="P10" s="396"/>
    </row>
    <row r="11" spans="1:16" ht="15" hidden="1" customHeight="1" x14ac:dyDescent="0.2">
      <c r="A11" s="381"/>
      <c r="B11" s="380"/>
      <c r="C11" s="380"/>
      <c r="D11" s="380"/>
      <c r="E11" s="380"/>
      <c r="F11" s="380"/>
      <c r="G11" s="380"/>
      <c r="H11" s="380"/>
      <c r="I11" s="381"/>
      <c r="J11" s="396"/>
      <c r="K11" s="396" t="s">
        <v>436</v>
      </c>
      <c r="L11" s="396"/>
      <c r="M11" s="396"/>
      <c r="N11" s="396"/>
      <c r="O11" s="396"/>
      <c r="P11" s="396"/>
    </row>
    <row r="12" spans="1:16" ht="15" customHeight="1" x14ac:dyDescent="0.2">
      <c r="A12" s="380"/>
      <c r="B12" s="380"/>
      <c r="C12" s="380"/>
      <c r="D12" s="380"/>
      <c r="E12" s="380"/>
      <c r="F12" s="380"/>
      <c r="G12" s="380"/>
      <c r="H12" s="380"/>
      <c r="I12" s="380"/>
      <c r="K12" s="217"/>
      <c r="L12" s="396"/>
      <c r="O12" s="218"/>
    </row>
    <row r="13" spans="1:16" ht="18" customHeight="1" x14ac:dyDescent="0.2">
      <c r="A13" s="383" t="s">
        <v>437</v>
      </c>
      <c r="B13" s="981" t="str">
        <f>IF(ISBLANK('Identificación del Instrumento'!J2),"",'Identificación del Instrumento'!J2)</f>
        <v>1 de enero de 2025</v>
      </c>
      <c r="C13" s="841"/>
      <c r="D13" s="841"/>
      <c r="E13" s="841"/>
      <c r="F13" s="383"/>
      <c r="G13" s="383"/>
      <c r="H13" s="383"/>
      <c r="I13" s="383"/>
      <c r="K13" s="227" t="s">
        <v>438</v>
      </c>
      <c r="M13" s="47"/>
      <c r="N13" s="47"/>
      <c r="O13" s="218"/>
    </row>
    <row r="14" spans="1:16" ht="18" customHeight="1" x14ac:dyDescent="0.2">
      <c r="A14" s="383" t="s">
        <v>439</v>
      </c>
      <c r="B14" s="973" t="str">
        <f>IF(ISBLANK('Identificación del Instrumento'!B22)," ",'Identificación del Instrumento'!B22)</f>
        <v>Balanza para pesar camiones</v>
      </c>
      <c r="C14" s="841"/>
      <c r="D14" s="841"/>
      <c r="E14" s="841"/>
      <c r="F14" s="841"/>
      <c r="G14" s="841"/>
      <c r="H14" s="841"/>
      <c r="I14" s="380"/>
      <c r="K14" s="227" t="s">
        <v>440</v>
      </c>
      <c r="L14" s="47"/>
      <c r="M14" s="47"/>
      <c r="N14" s="47"/>
      <c r="O14" s="218"/>
    </row>
    <row r="15" spans="1:16" ht="18" customHeight="1" x14ac:dyDescent="0.2">
      <c r="A15" s="383" t="s">
        <v>441</v>
      </c>
      <c r="B15" s="383"/>
      <c r="C15" s="382" t="s">
        <v>442</v>
      </c>
      <c r="D15" s="973" t="str">
        <f>IF(ISBLANK('Identificación del Instrumento'!B24),"",'Identificación del Instrumento'!B24)</f>
        <v>BIANCHETTI</v>
      </c>
      <c r="E15" s="841"/>
      <c r="F15" s="380" t="s">
        <v>52</v>
      </c>
      <c r="G15" s="383" t="str">
        <f>IF(ISBLANK('Identificación del Instrumento'!F24),"",'Identificación del Instrumento'!F24)</f>
        <v>BIANCHETTI</v>
      </c>
      <c r="H15" s="380"/>
      <c r="I15" s="380"/>
      <c r="K15" s="227" t="s">
        <v>443</v>
      </c>
      <c r="L15" s="47"/>
      <c r="M15" s="47"/>
      <c r="N15" s="47"/>
      <c r="O15" s="218"/>
    </row>
    <row r="16" spans="1:16" ht="18" customHeight="1" x14ac:dyDescent="0.2">
      <c r="A16" s="383" t="s">
        <v>444</v>
      </c>
      <c r="B16" s="383" t="s">
        <v>30</v>
      </c>
      <c r="C16" s="382" t="s">
        <v>442</v>
      </c>
      <c r="D16" s="973" t="str">
        <f>IF(ISBLANK('Identificación del Instrumento'!B25),"",'Identificación del Instrumento'!B25)</f>
        <v>TruckTRONIX 8020</v>
      </c>
      <c r="E16" s="841"/>
      <c r="F16" s="380" t="s">
        <v>52</v>
      </c>
      <c r="G16" s="383" t="str">
        <f>IF(ISBLANK('Identificación del Instrumento'!F25),"",'Identificación del Instrumento'!F25)</f>
        <v>PB 10.000</v>
      </c>
      <c r="H16" s="380"/>
      <c r="I16" s="380"/>
      <c r="K16" s="227" t="s">
        <v>445</v>
      </c>
      <c r="L16" s="47"/>
      <c r="M16" s="47"/>
      <c r="N16" s="47"/>
      <c r="O16" s="218"/>
    </row>
    <row r="17" spans="1:19" ht="18" customHeight="1" thickBot="1" x14ac:dyDescent="0.25">
      <c r="A17" s="383" t="s">
        <v>446</v>
      </c>
      <c r="B17" s="383"/>
      <c r="C17" s="382" t="s">
        <v>442</v>
      </c>
      <c r="D17" s="973" t="str">
        <f>IF(ISBLANK('Identificación del Instrumento'!B26),"",'Identificación del Instrumento'!B26)</f>
        <v>28082017214</v>
      </c>
      <c r="E17" s="841"/>
      <c r="F17" s="380" t="s">
        <v>52</v>
      </c>
      <c r="G17" s="383" t="str">
        <f>IF(ISBLANK('Identificación del Instrumento'!F26),"",'Identificación del Instrumento'!F26)</f>
        <v>28082017215</v>
      </c>
      <c r="H17" s="380"/>
      <c r="I17" s="380"/>
      <c r="K17" s="219"/>
      <c r="L17" s="200"/>
      <c r="M17" s="200"/>
      <c r="N17" s="200"/>
      <c r="O17" s="220"/>
    </row>
    <row r="18" spans="1:19" ht="18" customHeight="1" x14ac:dyDescent="0.2">
      <c r="A18" s="383" t="s">
        <v>447</v>
      </c>
      <c r="B18" s="383"/>
      <c r="C18" s="382" t="s">
        <v>442</v>
      </c>
      <c r="D18" s="973" t="str">
        <f>IF(ISBLANK('Identificación del Instrumento'!B27),"",'Identificación del Instrumento'!B27)</f>
        <v>BF.80-2172</v>
      </c>
      <c r="E18" s="841"/>
      <c r="F18" s="380" t="s">
        <v>52</v>
      </c>
      <c r="G18" s="383" t="str">
        <f>IF(ISBLANK('Identificación del Instrumento'!F27),"",'Identificación del Instrumento'!F27)</f>
        <v>BF.60-1624</v>
      </c>
      <c r="H18" s="380"/>
      <c r="I18" s="380"/>
    </row>
    <row r="19" spans="1:19" ht="18" customHeight="1" x14ac:dyDescent="0.2">
      <c r="A19" s="383" t="s">
        <v>448</v>
      </c>
      <c r="B19" s="383"/>
      <c r="C19" s="976" t="str">
        <f>IF(ISBLANK('Identificación del Instrumento'!C14),"",'Identificación del Instrumento'!C14)</f>
        <v>Marolio S.A.</v>
      </c>
      <c r="D19" s="841"/>
      <c r="E19" s="841"/>
      <c r="F19" s="841"/>
      <c r="G19" s="841"/>
      <c r="H19" s="841"/>
      <c r="I19" s="578"/>
      <c r="J19" s="47"/>
      <c r="K19" s="47"/>
    </row>
    <row r="20" spans="1:19" ht="18" customHeight="1" thickBot="1" x14ac:dyDescent="0.25">
      <c r="A20" s="985" t="str">
        <f>'Acta Verificación '!A16:F16</f>
        <v>N° O.T.: 307-64088           VPE Nº:  93084</v>
      </c>
      <c r="B20" s="841"/>
      <c r="C20" s="841"/>
      <c r="D20" s="841"/>
      <c r="E20" s="841"/>
      <c r="F20" s="841"/>
      <c r="G20" s="841"/>
      <c r="H20" s="841"/>
      <c r="I20" s="577"/>
      <c r="L20" s="47"/>
    </row>
    <row r="21" spans="1:19" ht="15" customHeight="1" thickBot="1" x14ac:dyDescent="0.25">
      <c r="A21" s="841"/>
      <c r="B21" s="841"/>
      <c r="C21" s="841"/>
      <c r="D21" s="841"/>
      <c r="E21" s="841"/>
      <c r="F21" s="841"/>
      <c r="G21" s="841"/>
      <c r="H21" s="841"/>
      <c r="I21" s="380"/>
      <c r="K21" s="406" t="s">
        <v>449</v>
      </c>
      <c r="M21" s="407"/>
      <c r="N21" s="407"/>
      <c r="O21" s="408"/>
    </row>
    <row r="22" spans="1:19" ht="18.95" customHeight="1" thickBot="1" x14ac:dyDescent="0.25">
      <c r="A22" s="380"/>
      <c r="B22" s="989" t="str">
        <f>IF(ISBLANK('Identificación del Instrumento'!F23)," ",CONCATENATE("Balanza ",'Identificación del Instrumento'!F23))</f>
        <v>Balanza electrónica</v>
      </c>
      <c r="C22" s="847"/>
      <c r="D22" s="847"/>
      <c r="E22" s="847"/>
      <c r="F22" s="847"/>
      <c r="G22" s="847"/>
      <c r="H22" s="584"/>
      <c r="I22" s="380"/>
      <c r="J22" s="221"/>
      <c r="K22" s="409" t="s">
        <v>450</v>
      </c>
      <c r="L22" s="407"/>
      <c r="M22" s="410"/>
      <c r="N22" s="410"/>
      <c r="O22" s="411"/>
    </row>
    <row r="23" spans="1:19" ht="18.95" customHeight="1" thickBot="1" x14ac:dyDescent="0.25">
      <c r="A23" s="380"/>
      <c r="B23" s="990" t="s">
        <v>451</v>
      </c>
      <c r="C23" s="847"/>
      <c r="D23" s="858"/>
      <c r="E23" s="982" t="s">
        <v>452</v>
      </c>
      <c r="F23" s="847"/>
      <c r="G23" s="847"/>
      <c r="H23" s="585"/>
      <c r="I23" s="380"/>
      <c r="J23" s="221"/>
      <c r="K23" s="227" t="s">
        <v>453</v>
      </c>
      <c r="L23" s="410"/>
      <c r="M23" s="47"/>
      <c r="N23" s="47"/>
      <c r="O23" s="228"/>
    </row>
    <row r="24" spans="1:19" ht="24.95" customHeight="1" x14ac:dyDescent="0.2">
      <c r="A24" s="380"/>
      <c r="B24" s="974" t="s">
        <v>454</v>
      </c>
      <c r="C24" s="965" t="s">
        <v>455</v>
      </c>
      <c r="D24" s="966"/>
      <c r="E24" s="988" t="s">
        <v>679</v>
      </c>
      <c r="F24" s="880"/>
      <c r="G24" s="880"/>
      <c r="H24" s="586"/>
      <c r="I24" s="380"/>
      <c r="K24" s="227" t="s">
        <v>456</v>
      </c>
      <c r="L24" s="47"/>
      <c r="M24" s="47"/>
      <c r="N24" s="47"/>
      <c r="O24" s="228"/>
      <c r="Q24" t="str">
        <f>IF(ISBLANK(F24),"",F24)</f>
        <v/>
      </c>
      <c r="S24" s="229" t="str">
        <f>IF(ISBLANK(E24),"",IF(ISBLANK(E25),CONCATENATE("",B24," ",C24, " ",E24),CONCATENATE("",B24," ",C24," ",E24)))</f>
        <v>Placa identificatoria del receptor (a) N03475</v>
      </c>
    </row>
    <row r="25" spans="1:19" ht="24.95" customHeight="1" x14ac:dyDescent="0.2">
      <c r="A25" s="380"/>
      <c r="B25" s="975"/>
      <c r="C25" s="965" t="s">
        <v>457</v>
      </c>
      <c r="D25" s="966"/>
      <c r="E25" s="968" t="s">
        <v>678</v>
      </c>
      <c r="F25" s="769"/>
      <c r="G25" s="769"/>
      <c r="H25" s="586"/>
      <c r="I25" s="380"/>
      <c r="K25" s="227" t="s">
        <v>458</v>
      </c>
      <c r="L25" s="47"/>
      <c r="M25" s="47"/>
      <c r="N25" s="47"/>
      <c r="O25" s="228"/>
      <c r="S25" s="230" t="str">
        <f>IF(ISBLANK(E25),"",IF(ISBLANK(E26),CONCATENATE(" y ",B24," ",C25," ",E25),CONCATENATE(", ",B24," ",C25," ",E25)))</f>
        <v>, Placa identificatoria del indicador (a) N03474</v>
      </c>
    </row>
    <row r="26" spans="1:19" ht="25.5" customHeight="1" x14ac:dyDescent="0.2">
      <c r="A26" s="380"/>
      <c r="B26" s="967" t="s">
        <v>459</v>
      </c>
      <c r="C26" s="769"/>
      <c r="D26" s="800"/>
      <c r="E26" s="968" t="s">
        <v>680</v>
      </c>
      <c r="F26" s="769"/>
      <c r="G26" s="769"/>
      <c r="H26" s="586"/>
      <c r="I26" s="380"/>
      <c r="K26" s="227" t="s">
        <v>460</v>
      </c>
      <c r="L26" s="47"/>
      <c r="M26" s="47"/>
      <c r="N26" s="47"/>
      <c r="O26" s="228"/>
      <c r="S26" s="230" t="str">
        <f>IF(ISBLANK(E26),"",IF(ISBLANK(E27),CONCATENATE(", ",B26, " ",E26),CONCATENATE(", ",B26," ",E26)))</f>
        <v>, Indicador (a) B79341, B79342 (05/11/25)</v>
      </c>
    </row>
    <row r="27" spans="1:19" ht="25.5" customHeight="1" x14ac:dyDescent="0.2">
      <c r="A27" s="380"/>
      <c r="B27" s="967" t="s">
        <v>461</v>
      </c>
      <c r="C27" s="769"/>
      <c r="D27" s="800"/>
      <c r="E27" s="968" t="s">
        <v>681</v>
      </c>
      <c r="F27" s="769"/>
      <c r="G27" s="769"/>
      <c r="H27" s="586"/>
      <c r="I27" s="380"/>
      <c r="K27" s="227" t="s">
        <v>462</v>
      </c>
      <c r="L27" s="47"/>
      <c r="M27" s="47"/>
      <c r="N27" s="47"/>
      <c r="O27" s="228"/>
      <c r="S27" s="230" t="str">
        <f>IF(ISBLANK(E27),"",IF(ISBLANK(E28),CONCATENATE(", ",B27, " ",E27),CONCATENATE(", ",B27," ",E27)))</f>
        <v>, Caja de ecualización (a) B739443, B79344 (05/11/25)</v>
      </c>
    </row>
    <row r="28" spans="1:19" ht="25.5" customHeight="1" x14ac:dyDescent="0.2">
      <c r="A28" s="380"/>
      <c r="B28" s="967" t="s">
        <v>682</v>
      </c>
      <c r="C28" s="769"/>
      <c r="D28" s="800"/>
      <c r="E28" s="971" t="s">
        <v>683</v>
      </c>
      <c r="F28" s="769"/>
      <c r="G28" s="800"/>
      <c r="H28" s="586"/>
      <c r="I28" s="380"/>
      <c r="K28" s="227" t="s">
        <v>463</v>
      </c>
      <c r="L28" s="47"/>
      <c r="M28" s="47"/>
      <c r="N28" s="47"/>
      <c r="O28" s="228"/>
      <c r="S28" s="230" t="str">
        <f t="shared" ref="S28:S46" si="0">IF(ISBLANK(E28),"",IF(ISBLANK(E29),CONCATENATE(" y ",B28, " ",E28),CONCATENATE(", ",B28," ",E28)))</f>
        <v xml:space="preserve"> y Verificado (a) 1104924 (05/11/25)</v>
      </c>
    </row>
    <row r="29" spans="1:19" ht="33" hidden="1" customHeight="1" thickBot="1" x14ac:dyDescent="0.25">
      <c r="A29" s="380"/>
      <c r="B29" s="992"/>
      <c r="C29" s="776"/>
      <c r="D29" s="896"/>
      <c r="E29" s="987"/>
      <c r="F29" s="776"/>
      <c r="G29" s="896"/>
      <c r="H29" s="586"/>
      <c r="I29" s="380"/>
      <c r="K29" s="227"/>
      <c r="L29" s="47"/>
      <c r="M29" s="47"/>
      <c r="N29" s="47"/>
      <c r="O29" s="228"/>
      <c r="S29" s="230" t="str">
        <f t="shared" si="0"/>
        <v/>
      </c>
    </row>
    <row r="30" spans="1:19" ht="15" hidden="1" customHeight="1" x14ac:dyDescent="0.2">
      <c r="A30" s="380"/>
      <c r="B30" s="580"/>
      <c r="C30" s="581"/>
      <c r="D30" s="582"/>
      <c r="E30" s="991"/>
      <c r="F30" s="780"/>
      <c r="G30" s="780"/>
      <c r="H30" s="586"/>
      <c r="I30" s="380"/>
      <c r="K30" s="227"/>
      <c r="L30" s="47"/>
      <c r="M30" s="47"/>
      <c r="N30" s="47"/>
      <c r="O30" s="228"/>
      <c r="S30" s="230" t="str">
        <f t="shared" si="0"/>
        <v/>
      </c>
    </row>
    <row r="31" spans="1:19" ht="25.5" hidden="1" customHeight="1" x14ac:dyDescent="0.2">
      <c r="A31" s="380"/>
      <c r="B31" s="580"/>
      <c r="C31" s="581"/>
      <c r="D31" s="582"/>
      <c r="E31" s="968"/>
      <c r="F31" s="769"/>
      <c r="G31" s="769"/>
      <c r="H31" s="586"/>
      <c r="I31" s="380"/>
      <c r="K31" s="227" t="s">
        <v>438</v>
      </c>
      <c r="L31" s="47"/>
      <c r="M31" s="47"/>
      <c r="N31" s="47"/>
      <c r="O31" s="228"/>
      <c r="S31" s="230" t="str">
        <f t="shared" si="0"/>
        <v/>
      </c>
    </row>
    <row r="32" spans="1:19" ht="25.5" hidden="1" customHeight="1" x14ac:dyDescent="0.2">
      <c r="A32" s="380"/>
      <c r="B32" s="580"/>
      <c r="C32" s="581"/>
      <c r="D32" s="582"/>
      <c r="E32" s="968"/>
      <c r="F32" s="769"/>
      <c r="G32" s="769"/>
      <c r="H32" s="586"/>
      <c r="I32" s="380"/>
      <c r="K32" s="227" t="s">
        <v>464</v>
      </c>
      <c r="L32" s="47"/>
      <c r="M32" s="47"/>
      <c r="N32" s="47"/>
      <c r="O32" s="228"/>
      <c r="S32" s="230" t="str">
        <f t="shared" si="0"/>
        <v/>
      </c>
    </row>
    <row r="33" spans="1:19" ht="15" hidden="1" customHeight="1" x14ac:dyDescent="0.2">
      <c r="A33" s="380"/>
      <c r="B33" s="580"/>
      <c r="C33" s="581"/>
      <c r="D33" s="582"/>
      <c r="E33" s="968"/>
      <c r="F33" s="769"/>
      <c r="G33" s="769"/>
      <c r="H33" s="586"/>
      <c r="I33" s="380"/>
      <c r="K33" s="227" t="s">
        <v>445</v>
      </c>
      <c r="L33" s="47"/>
      <c r="M33" s="47"/>
      <c r="N33" s="47"/>
      <c r="O33" s="228"/>
      <c r="S33" s="230" t="str">
        <f t="shared" si="0"/>
        <v/>
      </c>
    </row>
    <row r="34" spans="1:19" ht="15.75" hidden="1" customHeight="1" thickBot="1" x14ac:dyDescent="0.25">
      <c r="A34" s="579"/>
      <c r="B34" s="580"/>
      <c r="C34" s="581"/>
      <c r="D34" s="582"/>
      <c r="E34" s="968"/>
      <c r="F34" s="769"/>
      <c r="G34" s="769"/>
      <c r="H34" s="586" t="s">
        <v>465</v>
      </c>
      <c r="I34" s="579"/>
      <c r="K34" s="219"/>
      <c r="L34" s="47"/>
      <c r="M34" s="200"/>
      <c r="N34" s="200"/>
      <c r="O34" s="220"/>
      <c r="S34" s="230" t="str">
        <f t="shared" si="0"/>
        <v/>
      </c>
    </row>
    <row r="35" spans="1:19" ht="15.75" hidden="1" customHeight="1" thickBot="1" x14ac:dyDescent="0.25">
      <c r="A35" s="579"/>
      <c r="B35" s="580"/>
      <c r="C35" s="581"/>
      <c r="D35" s="582"/>
      <c r="E35" s="968"/>
      <c r="F35" s="769"/>
      <c r="G35" s="769"/>
      <c r="H35" s="586"/>
      <c r="I35" s="579"/>
      <c r="L35" s="200"/>
      <c r="S35" s="230" t="str">
        <f t="shared" si="0"/>
        <v/>
      </c>
    </row>
    <row r="36" spans="1:19" ht="15" hidden="1" customHeight="1" x14ac:dyDescent="0.2">
      <c r="A36" s="579"/>
      <c r="B36" s="580"/>
      <c r="C36" s="581"/>
      <c r="D36" s="582"/>
      <c r="E36" s="968"/>
      <c r="F36" s="769"/>
      <c r="G36" s="769"/>
      <c r="H36" s="586"/>
      <c r="I36" s="579"/>
      <c r="S36" s="230" t="str">
        <f t="shared" si="0"/>
        <v/>
      </c>
    </row>
    <row r="37" spans="1:19" ht="15" hidden="1" customHeight="1" x14ac:dyDescent="0.2">
      <c r="A37" s="579"/>
      <c r="B37" s="580"/>
      <c r="C37" s="581"/>
      <c r="D37" s="582"/>
      <c r="E37" s="968"/>
      <c r="F37" s="769"/>
      <c r="G37" s="769"/>
      <c r="H37" s="586"/>
      <c r="I37" s="579"/>
      <c r="S37" s="230" t="str">
        <f t="shared" si="0"/>
        <v/>
      </c>
    </row>
    <row r="38" spans="1:19" ht="15" hidden="1" customHeight="1" x14ac:dyDescent="0.2">
      <c r="A38" s="579"/>
      <c r="B38" s="580"/>
      <c r="C38" s="581"/>
      <c r="D38" s="582"/>
      <c r="E38" s="968"/>
      <c r="F38" s="769"/>
      <c r="G38" s="769"/>
      <c r="H38" s="586"/>
      <c r="I38" s="579"/>
      <c r="S38" s="230" t="str">
        <f t="shared" si="0"/>
        <v/>
      </c>
    </row>
    <row r="39" spans="1:19" ht="15" hidden="1" customHeight="1" x14ac:dyDescent="0.2">
      <c r="A39" s="579"/>
      <c r="B39" s="580"/>
      <c r="C39" s="581"/>
      <c r="D39" s="582"/>
      <c r="E39" s="968"/>
      <c r="F39" s="769"/>
      <c r="G39" s="769"/>
      <c r="H39" s="586"/>
      <c r="I39" s="579"/>
      <c r="S39" s="230" t="str">
        <f t="shared" si="0"/>
        <v/>
      </c>
    </row>
    <row r="40" spans="1:19" ht="15" hidden="1" customHeight="1" x14ac:dyDescent="0.2">
      <c r="A40" s="579"/>
      <c r="B40" s="580"/>
      <c r="C40" s="581"/>
      <c r="D40" s="582"/>
      <c r="E40" s="968"/>
      <c r="F40" s="769"/>
      <c r="G40" s="769"/>
      <c r="H40" s="586"/>
      <c r="I40" s="579"/>
      <c r="S40" s="230" t="str">
        <f t="shared" si="0"/>
        <v/>
      </c>
    </row>
    <row r="41" spans="1:19" ht="15" hidden="1" customHeight="1" x14ac:dyDescent="0.2">
      <c r="A41" s="579"/>
      <c r="B41" s="971"/>
      <c r="C41" s="769"/>
      <c r="D41" s="800"/>
      <c r="E41" s="968"/>
      <c r="F41" s="769"/>
      <c r="G41" s="769"/>
      <c r="H41" s="586"/>
      <c r="I41" s="579"/>
      <c r="S41" s="230" t="str">
        <f t="shared" si="0"/>
        <v/>
      </c>
    </row>
    <row r="42" spans="1:19" ht="15" hidden="1" customHeight="1" x14ac:dyDescent="0.2">
      <c r="A42" s="579"/>
      <c r="B42" s="971"/>
      <c r="C42" s="769"/>
      <c r="D42" s="800"/>
      <c r="E42" s="968"/>
      <c r="F42" s="769"/>
      <c r="G42" s="769"/>
      <c r="H42" s="586"/>
      <c r="I42" s="579"/>
      <c r="S42" s="230" t="str">
        <f t="shared" si="0"/>
        <v/>
      </c>
    </row>
    <row r="43" spans="1:19" ht="15" hidden="1" customHeight="1" x14ac:dyDescent="0.2">
      <c r="A43" s="579"/>
      <c r="B43" s="971"/>
      <c r="C43" s="769"/>
      <c r="D43" s="800"/>
      <c r="E43" s="968"/>
      <c r="F43" s="769"/>
      <c r="G43" s="769"/>
      <c r="H43" s="586"/>
      <c r="I43" s="579"/>
      <c r="S43" s="230" t="str">
        <f t="shared" si="0"/>
        <v/>
      </c>
    </row>
    <row r="44" spans="1:19" ht="15" hidden="1" customHeight="1" x14ac:dyDescent="0.2">
      <c r="A44" s="579"/>
      <c r="B44" s="971"/>
      <c r="C44" s="769"/>
      <c r="D44" s="800"/>
      <c r="E44" s="968"/>
      <c r="F44" s="769"/>
      <c r="G44" s="769"/>
      <c r="H44" s="586"/>
      <c r="I44" s="579"/>
      <c r="S44" s="230" t="str">
        <f t="shared" si="0"/>
        <v/>
      </c>
    </row>
    <row r="45" spans="1:19" ht="15" hidden="1" customHeight="1" x14ac:dyDescent="0.2">
      <c r="A45" s="579"/>
      <c r="B45" s="971"/>
      <c r="C45" s="769"/>
      <c r="D45" s="800"/>
      <c r="E45" s="968"/>
      <c r="F45" s="769"/>
      <c r="G45" s="769"/>
      <c r="H45" s="586"/>
      <c r="I45" s="579"/>
      <c r="S45" s="230" t="str">
        <f t="shared" si="0"/>
        <v/>
      </c>
    </row>
    <row r="46" spans="1:19" ht="15" hidden="1" customHeight="1" x14ac:dyDescent="0.2">
      <c r="A46" s="579"/>
      <c r="B46" s="971"/>
      <c r="C46" s="769"/>
      <c r="D46" s="800"/>
      <c r="E46" s="968"/>
      <c r="F46" s="769"/>
      <c r="G46" s="769"/>
      <c r="H46" s="586"/>
      <c r="I46" s="579"/>
      <c r="S46" s="230" t="str">
        <f t="shared" si="0"/>
        <v/>
      </c>
    </row>
    <row r="47" spans="1:19" ht="15.75" hidden="1" customHeight="1" thickBot="1" x14ac:dyDescent="0.25">
      <c r="A47" s="579"/>
      <c r="B47" s="984"/>
      <c r="C47" s="920"/>
      <c r="D47" s="788"/>
      <c r="E47" s="970"/>
      <c r="F47" s="920"/>
      <c r="G47" s="920"/>
      <c r="H47" s="586"/>
      <c r="I47" s="579"/>
      <c r="S47" s="230" t="str">
        <f>IF(ISBLANK(E47),"",IF(ISBLANK(E49),CONCATENATE(" y ",B47, " ",E47),CONCATENATE(", ",B47," ",E47)))</f>
        <v/>
      </c>
    </row>
    <row r="48" spans="1:19" ht="18.95" customHeight="1" thickBot="1" x14ac:dyDescent="0.25">
      <c r="A48" s="579"/>
      <c r="B48" s="703"/>
      <c r="C48" s="703"/>
      <c r="D48" s="703"/>
      <c r="E48" s="703"/>
      <c r="F48" s="703"/>
      <c r="G48" s="703"/>
      <c r="H48" s="704"/>
      <c r="I48" s="579"/>
      <c r="S48" s="705"/>
    </row>
    <row r="49" spans="1:19" ht="15" customHeight="1" thickBot="1" x14ac:dyDescent="0.25">
      <c r="A49" s="969" t="s">
        <v>466</v>
      </c>
      <c r="B49" s="841"/>
      <c r="C49" s="841"/>
      <c r="D49" s="841"/>
      <c r="E49" s="841"/>
      <c r="F49" s="841"/>
      <c r="G49" s="841"/>
      <c r="H49" s="841"/>
      <c r="I49" s="583"/>
      <c r="K49" s="406" t="s">
        <v>467</v>
      </c>
      <c r="M49" s="407"/>
      <c r="N49" s="407"/>
      <c r="O49" s="408"/>
      <c r="S49" s="231" t="str">
        <f>CONCATENATE(S24,S25,S26,S27,S28,S29,S30,S31,S32,S33,S34,S35,S36,S37,S38,S39,S40,S41,S42,S43,S44,S45,S46,S47)</f>
        <v>Placa identificatoria del receptor (a) N03475, Placa identificatoria del indicador (a) N03474, Indicador (a) B79341, B79342 (05/11/25), Caja de ecualización (a) B739443, B79344 (05/11/25) y Verificado (a) 1104924 (05/11/25)</v>
      </c>
    </row>
    <row r="50" spans="1:19" ht="15" customHeight="1" thickBot="1" x14ac:dyDescent="0.25">
      <c r="A50" s="841"/>
      <c r="B50" s="841"/>
      <c r="C50" s="841"/>
      <c r="D50" s="841"/>
      <c r="E50" s="841"/>
      <c r="F50" s="841"/>
      <c r="G50" s="841"/>
      <c r="H50" s="841"/>
      <c r="I50" s="583"/>
      <c r="K50" s="217"/>
      <c r="L50" s="407"/>
      <c r="O50" s="218"/>
    </row>
    <row r="51" spans="1:19" ht="15" customHeight="1" x14ac:dyDescent="0.2">
      <c r="A51" s="969" t="s">
        <v>468</v>
      </c>
      <c r="B51" s="841"/>
      <c r="C51" s="841"/>
      <c r="D51" s="841"/>
      <c r="E51" s="841"/>
      <c r="F51" s="841"/>
      <c r="G51" s="841"/>
      <c r="H51" s="841"/>
      <c r="I51" s="380"/>
      <c r="K51" s="227" t="s">
        <v>450</v>
      </c>
      <c r="M51" s="47"/>
      <c r="N51" s="47"/>
      <c r="O51" s="228"/>
    </row>
    <row r="52" spans="1:19" ht="15" customHeight="1" x14ac:dyDescent="0.2">
      <c r="A52" s="983" t="s">
        <v>469</v>
      </c>
      <c r="B52" s="841"/>
      <c r="C52" s="841"/>
      <c r="D52" s="841"/>
      <c r="E52" s="841"/>
      <c r="F52" s="841"/>
      <c r="G52" s="841"/>
      <c r="H52" s="841"/>
      <c r="I52" s="380"/>
      <c r="K52" s="227" t="s">
        <v>453</v>
      </c>
      <c r="L52" s="47"/>
      <c r="M52" s="47"/>
      <c r="N52" s="47"/>
      <c r="O52" s="228"/>
    </row>
    <row r="53" spans="1:19" ht="15" customHeight="1" x14ac:dyDescent="0.2">
      <c r="A53" s="980" t="s">
        <v>470</v>
      </c>
      <c r="B53" s="841"/>
      <c r="C53" s="841"/>
      <c r="D53" s="841"/>
      <c r="E53" s="841"/>
      <c r="F53" s="841"/>
      <c r="G53" s="841"/>
      <c r="H53" s="841"/>
      <c r="I53" s="380"/>
      <c r="K53" s="227" t="s">
        <v>456</v>
      </c>
      <c r="L53" s="47"/>
      <c r="M53" s="47"/>
      <c r="N53" s="47"/>
      <c r="O53" s="228"/>
    </row>
    <row r="54" spans="1:19" ht="15" customHeight="1" x14ac:dyDescent="0.2">
      <c r="A54" s="625"/>
      <c r="B54" s="979"/>
      <c r="C54" s="841"/>
      <c r="D54" s="841"/>
      <c r="E54" s="841"/>
      <c r="F54" s="841"/>
      <c r="G54" s="841"/>
      <c r="H54" s="841"/>
      <c r="I54" s="583"/>
      <c r="K54" s="227" t="s">
        <v>458</v>
      </c>
      <c r="L54" s="47"/>
      <c r="M54" s="47"/>
      <c r="N54" s="47"/>
      <c r="O54" s="228"/>
    </row>
    <row r="55" spans="1:19" ht="15" hidden="1" customHeight="1" x14ac:dyDescent="0.2">
      <c r="A55" s="625"/>
      <c r="B55" s="841"/>
      <c r="C55" s="841"/>
      <c r="D55" s="841"/>
      <c r="E55" s="841"/>
      <c r="F55" s="841"/>
      <c r="G55" s="841"/>
      <c r="H55" s="841"/>
      <c r="I55" s="583"/>
      <c r="K55" s="227" t="s">
        <v>460</v>
      </c>
      <c r="L55" s="47"/>
      <c r="M55" s="47"/>
      <c r="N55" s="47"/>
      <c r="O55" s="228"/>
    </row>
    <row r="56" spans="1:19" ht="15" customHeight="1" x14ac:dyDescent="0.2">
      <c r="A56" s="625"/>
      <c r="B56" s="841"/>
      <c r="C56" s="841"/>
      <c r="D56" s="841"/>
      <c r="E56" s="841"/>
      <c r="F56" s="841"/>
      <c r="G56" s="841"/>
      <c r="H56" s="841"/>
      <c r="I56" s="583"/>
      <c r="K56" s="227" t="s">
        <v>462</v>
      </c>
      <c r="L56" s="47"/>
      <c r="M56" s="47"/>
      <c r="N56" s="47"/>
      <c r="O56" s="228"/>
    </row>
    <row r="57" spans="1:19" ht="15" customHeight="1" x14ac:dyDescent="0.2">
      <c r="A57" s="380"/>
      <c r="B57" s="380"/>
      <c r="C57" s="380"/>
      <c r="D57" s="380"/>
      <c r="E57" s="380"/>
      <c r="F57" s="380"/>
      <c r="G57" s="380"/>
      <c r="H57" s="380"/>
      <c r="I57" s="380"/>
      <c r="K57" s="227" t="s">
        <v>463</v>
      </c>
      <c r="L57" s="47"/>
      <c r="M57" s="47"/>
      <c r="N57" s="47"/>
      <c r="O57" s="228"/>
    </row>
    <row r="58" spans="1:19" ht="15" hidden="1" customHeight="1" thickBot="1" x14ac:dyDescent="0.25">
      <c r="A58" s="380"/>
      <c r="B58" s="380"/>
      <c r="C58" s="380"/>
      <c r="D58" s="380"/>
      <c r="E58" s="380"/>
      <c r="F58" s="380"/>
      <c r="G58" s="380"/>
      <c r="H58" s="380"/>
      <c r="I58" s="380"/>
      <c r="K58" s="219"/>
      <c r="L58" s="47"/>
      <c r="M58" s="200"/>
      <c r="N58" s="200"/>
      <c r="O58" s="220"/>
    </row>
    <row r="59" spans="1:19" ht="15" customHeight="1" thickBot="1" x14ac:dyDescent="0.25">
      <c r="A59" s="977" t="s">
        <v>471</v>
      </c>
      <c r="B59" s="841"/>
      <c r="C59" s="841"/>
      <c r="D59" s="841"/>
      <c r="E59" s="841"/>
      <c r="F59" s="841"/>
      <c r="G59" s="841"/>
      <c r="H59" s="841"/>
      <c r="I59" s="380"/>
      <c r="L59" s="200"/>
    </row>
    <row r="60" spans="1:19" ht="15" customHeight="1" x14ac:dyDescent="0.2">
      <c r="A60" s="977" t="s">
        <v>472</v>
      </c>
      <c r="B60" s="841"/>
      <c r="C60" s="841"/>
      <c r="D60" s="841"/>
      <c r="E60" s="841"/>
      <c r="F60" s="841"/>
      <c r="G60" s="841"/>
      <c r="H60" s="841"/>
      <c r="I60" s="380"/>
    </row>
    <row r="61" spans="1:19" ht="15" customHeight="1" x14ac:dyDescent="0.2">
      <c r="A61" s="380"/>
      <c r="B61" s="380"/>
      <c r="C61" s="380"/>
      <c r="D61" s="380"/>
      <c r="E61" s="380"/>
      <c r="F61" s="380"/>
      <c r="G61" s="380"/>
      <c r="H61" s="380"/>
      <c r="I61" s="380"/>
    </row>
    <row r="62" spans="1:19" ht="15" customHeight="1" x14ac:dyDescent="0.2">
      <c r="A62" s="380"/>
      <c r="B62" s="380"/>
      <c r="C62" s="380"/>
      <c r="D62" s="380"/>
      <c r="E62" s="380"/>
      <c r="F62" s="380"/>
      <c r="G62" s="380"/>
      <c r="H62" s="380"/>
      <c r="I62" s="577"/>
    </row>
    <row r="63" spans="1:19" ht="15" hidden="1" customHeight="1" x14ac:dyDescent="0.2">
      <c r="A63" s="380"/>
      <c r="B63" s="380"/>
      <c r="C63" s="380"/>
      <c r="D63" s="380"/>
      <c r="E63" s="380"/>
      <c r="F63" s="380"/>
      <c r="G63" s="380"/>
      <c r="H63" s="380"/>
      <c r="I63" s="380"/>
    </row>
    <row r="64" spans="1:19" ht="15" hidden="1" customHeight="1" x14ac:dyDescent="0.2">
      <c r="A64" s="380"/>
      <c r="B64" s="380"/>
      <c r="C64" s="380"/>
      <c r="D64" s="380"/>
      <c r="E64" s="380"/>
      <c r="F64" s="380"/>
      <c r="G64" s="380"/>
      <c r="H64" s="380"/>
      <c r="I64" s="587"/>
    </row>
    <row r="65" spans="1:9" ht="15" hidden="1" customHeight="1" x14ac:dyDescent="0.2">
      <c r="A65" s="380"/>
      <c r="B65" s="380"/>
      <c r="C65" s="380"/>
      <c r="D65" s="380"/>
      <c r="E65" s="380"/>
      <c r="F65" s="380"/>
      <c r="G65" s="380"/>
      <c r="H65" s="380"/>
    </row>
    <row r="66" spans="1:9" ht="15" customHeight="1" x14ac:dyDescent="0.2">
      <c r="A66" s="380"/>
      <c r="B66" s="380"/>
      <c r="C66" s="380"/>
      <c r="D66" s="380"/>
      <c r="E66" s="380"/>
      <c r="F66" s="380"/>
      <c r="G66" s="380"/>
      <c r="H66" s="380"/>
    </row>
    <row r="67" spans="1:9" ht="22.5" customHeight="1" x14ac:dyDescent="0.2">
      <c r="A67" s="380"/>
      <c r="B67" s="380"/>
      <c r="C67" s="380"/>
      <c r="D67" s="380"/>
      <c r="E67" s="380"/>
      <c r="F67" s="380"/>
      <c r="G67" s="380"/>
      <c r="H67" s="380"/>
      <c r="I67" s="380"/>
    </row>
    <row r="68" spans="1:9" ht="15" customHeight="1" x14ac:dyDescent="0.2">
      <c r="A68" s="380"/>
      <c r="B68" s="380"/>
      <c r="C68" s="380"/>
      <c r="D68" s="380"/>
      <c r="E68" s="380"/>
      <c r="F68" s="380"/>
      <c r="G68" s="380"/>
      <c r="H68" s="380"/>
      <c r="I68" s="380"/>
    </row>
    <row r="69" spans="1:9" ht="15" customHeight="1" x14ac:dyDescent="0.2">
      <c r="A69" s="955" t="str">
        <f>+'Acta Verificación '!K19</f>
        <v>Sr. Nievas Aldo Dario</v>
      </c>
      <c r="B69" s="767"/>
      <c r="C69" s="767"/>
      <c r="D69" s="624"/>
      <c r="E69" s="624"/>
      <c r="F69" s="955" t="str">
        <f>+'Acta Verificación '!F57:H57</f>
        <v>Tco. Pablo Javier Siklosi A.</v>
      </c>
      <c r="G69" s="767"/>
      <c r="H69" s="767"/>
    </row>
    <row r="70" spans="1:9" s="502" customFormat="1" ht="28.9" customHeight="1" x14ac:dyDescent="0.2">
      <c r="A70" s="950" t="str">
        <f>+'Identificación del Instrumento'!C14</f>
        <v>Marolio S.A.</v>
      </c>
      <c r="B70" s="978"/>
      <c r="C70" s="978"/>
      <c r="D70" s="624"/>
      <c r="E70" s="624"/>
      <c r="F70" s="950" t="str">
        <f>+'Identificación del Instrumento'!E61</f>
        <v>Programa de Metrología Legal - INTI</v>
      </c>
      <c r="G70" s="978"/>
      <c r="H70" s="978"/>
    </row>
    <row r="71" spans="1:9" ht="15" customHeight="1" x14ac:dyDescent="0.2">
      <c r="A71" s="380"/>
      <c r="B71" s="380"/>
      <c r="C71" s="380"/>
      <c r="D71" s="380"/>
      <c r="E71" s="380"/>
      <c r="F71" s="380"/>
      <c r="G71" s="380"/>
      <c r="H71" s="380"/>
    </row>
    <row r="72" spans="1:9" ht="15" customHeight="1" x14ac:dyDescent="0.2">
      <c r="A72" s="380"/>
      <c r="B72" s="380"/>
      <c r="C72" s="380"/>
      <c r="D72" s="380"/>
      <c r="E72" s="380"/>
      <c r="F72" s="380"/>
      <c r="G72" s="380"/>
      <c r="H72" s="380"/>
    </row>
    <row r="73" spans="1:9" ht="15" customHeight="1" x14ac:dyDescent="0.2">
      <c r="A73" s="380"/>
      <c r="B73" s="380"/>
      <c r="C73" s="380"/>
      <c r="D73" s="380"/>
      <c r="E73" s="380"/>
      <c r="F73" s="380"/>
      <c r="G73" s="380"/>
      <c r="H73" s="380"/>
    </row>
    <row r="74" spans="1:9" ht="15" customHeight="1" x14ac:dyDescent="0.2">
      <c r="A74" s="953"/>
      <c r="B74" s="841"/>
      <c r="C74" s="841"/>
      <c r="D74" s="841"/>
      <c r="E74" s="841"/>
      <c r="F74" s="841"/>
      <c r="G74" s="841"/>
      <c r="H74" s="841"/>
    </row>
    <row r="75" spans="1:9" ht="15" customHeight="1" x14ac:dyDescent="0.2">
      <c r="A75" s="946"/>
      <c r="B75" s="841"/>
      <c r="C75" s="841"/>
      <c r="D75" s="841"/>
      <c r="E75" s="841"/>
      <c r="F75" s="841"/>
      <c r="G75" s="841"/>
      <c r="H75" s="841"/>
    </row>
    <row r="76" spans="1:9" ht="15" customHeight="1" x14ac:dyDescent="0.2">
      <c r="A76" s="946"/>
      <c r="B76" s="841"/>
      <c r="C76" s="841"/>
      <c r="D76" s="841"/>
      <c r="E76" s="841"/>
      <c r="F76" s="841"/>
      <c r="G76" s="841"/>
      <c r="H76" s="841"/>
    </row>
  </sheetData>
  <mergeCells count="65">
    <mergeCell ref="A10:H10"/>
    <mergeCell ref="B27:D27"/>
    <mergeCell ref="E35:G35"/>
    <mergeCell ref="E29:G29"/>
    <mergeCell ref="E38:G38"/>
    <mergeCell ref="B14:H14"/>
    <mergeCell ref="E24:G24"/>
    <mergeCell ref="B22:G22"/>
    <mergeCell ref="D15:E15"/>
    <mergeCell ref="E37:G37"/>
    <mergeCell ref="B23:D23"/>
    <mergeCell ref="E31:G31"/>
    <mergeCell ref="E30:G30"/>
    <mergeCell ref="B29:D29"/>
    <mergeCell ref="B28:D28"/>
    <mergeCell ref="E27:G27"/>
    <mergeCell ref="A76:H76"/>
    <mergeCell ref="A53:H53"/>
    <mergeCell ref="B13:E13"/>
    <mergeCell ref="E23:G23"/>
    <mergeCell ref="E39:G39"/>
    <mergeCell ref="A52:H52"/>
    <mergeCell ref="E42:G42"/>
    <mergeCell ref="B46:D46"/>
    <mergeCell ref="D18:E18"/>
    <mergeCell ref="E43:G43"/>
    <mergeCell ref="F69:H69"/>
    <mergeCell ref="B47:D47"/>
    <mergeCell ref="A70:C70"/>
    <mergeCell ref="A69:C69"/>
    <mergeCell ref="A20:H21"/>
    <mergeCell ref="E26:G26"/>
    <mergeCell ref="F70:H70"/>
    <mergeCell ref="E34:G34"/>
    <mergeCell ref="B44:D44"/>
    <mergeCell ref="E46:G46"/>
    <mergeCell ref="E36:G36"/>
    <mergeCell ref="B54:H56"/>
    <mergeCell ref="E45:G45"/>
    <mergeCell ref="A59:H59"/>
    <mergeCell ref="A51:H51"/>
    <mergeCell ref="A1:H7"/>
    <mergeCell ref="A75:H75"/>
    <mergeCell ref="D17:E17"/>
    <mergeCell ref="B24:B25"/>
    <mergeCell ref="E25:G25"/>
    <mergeCell ref="A74:H74"/>
    <mergeCell ref="E32:G32"/>
    <mergeCell ref="D16:E16"/>
    <mergeCell ref="C19:H19"/>
    <mergeCell ref="E41:G41"/>
    <mergeCell ref="E44:G44"/>
    <mergeCell ref="B45:D45"/>
    <mergeCell ref="B43:D43"/>
    <mergeCell ref="B41:D41"/>
    <mergeCell ref="A60:H60"/>
    <mergeCell ref="E40:G40"/>
    <mergeCell ref="C24:D24"/>
    <mergeCell ref="C25:D25"/>
    <mergeCell ref="B26:D26"/>
    <mergeCell ref="E33:G33"/>
    <mergeCell ref="A49:H50"/>
    <mergeCell ref="E47:G47"/>
    <mergeCell ref="B42:D42"/>
    <mergeCell ref="E28:G28"/>
  </mergeCells>
  <hyperlinks>
    <hyperlink ref="A52" r:id="rId1" xr:uid="{00000000-0004-0000-0400-000000000000}"/>
    <hyperlink ref="A53" r:id="rId2" xr:uid="{00000000-0004-0000-0400-000001000000}"/>
  </hyperlinks>
  <pageMargins left="0.98425196850393704" right="0.39370078740157483" top="0.39370078740157483" bottom="0.39370078740157483" header="0" footer="0"/>
  <pageSetup paperSize="9" scale="85" orientation="portrait" verticalDpi="300" r:id="rId3"/>
  <colBreaks count="2" manualBreakCount="2">
    <brk id="8" max="71" man="1"/>
    <brk id="9" max="1048575" man="1"/>
  </colBreaks>
  <drawing r:id="rId4"/>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Hoja4"/>
  <dimension ref="A1:AR121"/>
  <sheetViews>
    <sheetView showGridLines="0" view="pageBreakPreview" zoomScaleNormal="100" zoomScaleSheetLayoutView="100" workbookViewId="0">
      <selection activeCell="A9" sqref="A9:H9"/>
    </sheetView>
  </sheetViews>
  <sheetFormatPr baseColWidth="10" defaultColWidth="11.42578125" defaultRowHeight="15" x14ac:dyDescent="0.2"/>
  <cols>
    <col min="1" max="1" width="11.42578125" style="1" customWidth="1"/>
    <col min="2" max="2" width="12.85546875" style="1" customWidth="1"/>
    <col min="3" max="3" width="20" style="1" customWidth="1"/>
    <col min="4" max="4" width="7.5703125" style="40" customWidth="1"/>
    <col min="5" max="5" width="7.5703125" style="3" customWidth="1"/>
    <col min="6" max="6" width="15.140625" style="1" customWidth="1"/>
    <col min="7" max="7" width="7.5703125" style="1" customWidth="1"/>
    <col min="8" max="8" width="7.5703125" style="3" customWidth="1"/>
    <col min="9" max="9" width="11.5703125" style="1" customWidth="1"/>
    <col min="10" max="10" width="7.140625" style="1" customWidth="1"/>
    <col min="11" max="11" width="7.85546875" style="1" customWidth="1"/>
    <col min="12" max="12" width="7.5703125" style="1" customWidth="1"/>
    <col min="13" max="13" width="6.85546875" style="1" customWidth="1"/>
    <col min="14" max="14" width="9.28515625" style="1" customWidth="1"/>
    <col min="15" max="15" width="8.42578125" customWidth="1"/>
    <col min="16" max="16" width="8.5703125" style="1" customWidth="1"/>
    <col min="17" max="17" width="8.7109375" style="1" customWidth="1"/>
    <col min="18" max="18" width="9.28515625" style="1" customWidth="1"/>
    <col min="19" max="19" width="11.5703125" style="1" customWidth="1"/>
    <col min="20" max="20" width="65" style="1" customWidth="1"/>
    <col min="21" max="21" width="11.42578125" style="1" customWidth="1"/>
    <col min="22" max="22" width="34.28515625" style="1" customWidth="1"/>
    <col min="23" max="23" width="11.42578125" style="1" customWidth="1"/>
    <col min="24" max="16384" width="11.42578125" style="1"/>
  </cols>
  <sheetData>
    <row r="1" spans="1:44" s="26" customFormat="1" ht="35.25" customHeight="1" x14ac:dyDescent="0.25">
      <c r="A1" s="1002" t="s">
        <v>473</v>
      </c>
      <c r="B1" s="841"/>
      <c r="C1" s="1021" t="str">
        <f>CONCATENATE('Datos de Ensayos'!E3," - ",'Datos de Ensayos'!E4)</f>
        <v>Tco. Pablo Javier Siklosi A. - Tco. Pablo Javier Siklosi A.</v>
      </c>
      <c r="D1" s="841"/>
      <c r="E1" s="841"/>
      <c r="F1" s="841"/>
      <c r="G1" s="841"/>
      <c r="H1" s="841"/>
      <c r="I1" s="30"/>
      <c r="J1" s="30"/>
      <c r="K1" s="30"/>
      <c r="O1" s="31"/>
      <c r="P1" s="27"/>
      <c r="Q1" s="29"/>
      <c r="R1" s="27"/>
      <c r="S1" s="28"/>
      <c r="T1" s="28"/>
      <c r="V1" s="27"/>
      <c r="AJ1" s="28"/>
      <c r="AK1" s="28"/>
      <c r="AL1" s="32"/>
      <c r="AM1" s="28"/>
      <c r="AN1" s="28"/>
      <c r="AO1" s="33"/>
      <c r="AP1" s="34"/>
      <c r="AQ1" s="35"/>
      <c r="AR1" s="28"/>
    </row>
    <row r="2" spans="1:44" ht="14.25" customHeight="1" x14ac:dyDescent="0.25">
      <c r="J2" s="57" t="s">
        <v>474</v>
      </c>
    </row>
    <row r="3" spans="1:44" ht="38.25" customHeight="1" x14ac:dyDescent="0.2">
      <c r="D3" s="995"/>
      <c r="E3" s="997"/>
      <c r="I3" s="6"/>
    </row>
    <row r="4" spans="1:44" ht="29.25" customHeight="1" thickBot="1" x14ac:dyDescent="0.25">
      <c r="A4" s="1019" t="str">
        <f>IF(('Identificación del Instrumento'!B17)="VERIFICACIÓN PERIÓDICA",CONCATENATE("INFORME DE  ",'Identificación del Instrumento'!B17),CONCATENATE("INFORME DE ENSAYO"))</f>
        <v>INFORME DE  VERIFICACIÓN PERIÓDICA</v>
      </c>
      <c r="B4" s="995"/>
      <c r="C4" s="995"/>
      <c r="D4" s="996"/>
      <c r="E4" s="997"/>
      <c r="F4" s="995"/>
      <c r="G4" s="995"/>
      <c r="H4" s="997"/>
      <c r="I4" s="6"/>
    </row>
    <row r="5" spans="1:44" ht="19.5" customHeight="1" thickBot="1" x14ac:dyDescent="0.3">
      <c r="A5" s="1010" t="str">
        <f>CONCATENATE("N° O.T.: ",'Identificación del Instrumento'!B4)</f>
        <v>N° O.T.: 307-64088</v>
      </c>
      <c r="B5" s="995"/>
      <c r="C5" s="995"/>
      <c r="D5" s="996"/>
      <c r="E5" s="997"/>
      <c r="F5" s="995"/>
      <c r="G5" s="1000"/>
      <c r="H5" s="997"/>
      <c r="I5" s="15" t="str">
        <f>IF(ISBLANK('Datos de Ensayos'!E6),"Falta No.parcial","")</f>
        <v/>
      </c>
      <c r="J5" s="12"/>
      <c r="K5" s="12"/>
      <c r="L5" s="12"/>
      <c r="M5" s="12"/>
      <c r="N5" s="993" t="s">
        <v>475</v>
      </c>
      <c r="O5" s="847"/>
      <c r="P5" s="847"/>
      <c r="Q5" s="847"/>
      <c r="R5" s="847"/>
      <c r="S5" s="858"/>
    </row>
    <row r="6" spans="1:44" ht="30" customHeight="1" x14ac:dyDescent="0.2">
      <c r="A6" s="1005" t="str">
        <f>IF(OR(ISBLANK('Identificación del Instrumento'!B22),ISBLANK('Identificación del Instrumento'!D29),ISBLANK('Identificación del Instrumento'!D30),ISBLANK('Identificación del Instrumento'!F30)),"",CONCATENATE("Instrumento:  ",'Identificación del Instrumento'!B22,", de capacidad máxima ",'Datos de Ensayos'!I18," kg,"," mínima división ",'Datos de Ensayos'!E18," kg, clase ",'Datos de Ensayos'!J17,", de tipo ",'Datos de Ensayos'!E17,"."))</f>
        <v>Instrumento:  Balanza para pesar camiones, de capacidad máxima 80000 kg, mínima división 20 kg, clase III, de tipo electrónica.</v>
      </c>
      <c r="B6" s="995"/>
      <c r="C6" s="995"/>
      <c r="D6" s="996"/>
      <c r="E6" s="997"/>
      <c r="F6" s="995"/>
      <c r="G6" s="995"/>
      <c r="H6" s="997"/>
      <c r="J6" s="12"/>
      <c r="K6" s="12"/>
      <c r="L6" s="12"/>
      <c r="M6" s="12"/>
      <c r="N6" s="445"/>
      <c r="O6" s="203"/>
      <c r="P6" s="446" t="s">
        <v>476</v>
      </c>
      <c r="Q6" s="447"/>
      <c r="R6" s="447"/>
      <c r="S6" s="448" t="s">
        <v>477</v>
      </c>
    </row>
    <row r="7" spans="1:44" ht="15.75" customHeight="1" x14ac:dyDescent="0.2">
      <c r="A7" s="824" t="str">
        <f>CONCATENATE("Fabricante / importador: ",IF(AND('Identificación del Instrumento'!B23&lt;&gt;"",'Identificación del Instrumento'!F23&lt;&gt;"",'Identificación del Instrumento'!B23&lt;&gt;'Identificación del Instrumento'!F23),CONCATENATE(," Receptor: ",'Identificación del Instrumento'!B23," / Indicador: ",'Identificación del Instrumento'!D23),IF('Identificación del Instrumento'!B23='Identificación del Instrumento'!F23,'Identificación del Instrumento'!B23,"")))</f>
        <v>Fabricante / importador:  Receptor: INDUSTRIAL SYSTEMS S.A. / Indicador: INDUSTRIAL SYSTEMS S.A.</v>
      </c>
      <c r="B7" s="995"/>
      <c r="C7" s="995"/>
      <c r="D7" s="996"/>
      <c r="E7" s="997"/>
      <c r="F7" s="995"/>
      <c r="G7" s="995"/>
      <c r="H7" s="997"/>
      <c r="N7" s="451" t="s">
        <v>478</v>
      </c>
      <c r="R7" s="61" t="s">
        <v>479</v>
      </c>
      <c r="S7" s="450"/>
    </row>
    <row r="8" spans="1:44" ht="15.75" customHeight="1" x14ac:dyDescent="0.2">
      <c r="A8" s="824" t="str">
        <f>CONCATENATE("Marca: ",IF(AND('Identificación del Instrumento'!B24&lt;&gt;"",'Identificación del Instrumento'!F24&lt;&gt;"",'Identificación del Instrumento'!B24&lt;&gt;'Identificación del Instrumento'!F24),CONCATENATE(," Receptor: ",'Identificación del Instrumento'!B24," / Indicador: ",'Identificación del Instrumento'!F24),IF('Identificación del Instrumento'!B24='Identificación del Instrumento'!F24,'Identificación del Instrumento'!B24,"")))</f>
        <v>Marca: BIANCHETTI</v>
      </c>
      <c r="B8" s="995"/>
      <c r="C8" s="995"/>
      <c r="D8" s="996"/>
      <c r="E8" s="997"/>
      <c r="F8" s="995"/>
      <c r="G8" s="995"/>
      <c r="H8" s="997"/>
      <c r="N8" s="451"/>
      <c r="R8" s="61"/>
      <c r="S8" s="450"/>
    </row>
    <row r="9" spans="1:44" ht="15.75" customHeight="1" x14ac:dyDescent="0.2">
      <c r="A9" s="824" t="str">
        <f>CONCATENATE("Modelo: ",IF(AND('Identificación del Instrumento'!B25&lt;&gt;"",'Identificación del Instrumento'!F25&lt;&gt;"",'Identificación del Instrumento'!B25&lt;&gt;'Identificación del Instrumento'!F25),CONCATENATE(," Receptor: ",'Identificación del Instrumento'!B25," / Indicador: ",'Identificación del Instrumento'!F25),IF('Identificación del Instrumento'!B25='Identificación del Instrumento'!F25,'Identificación del Instrumento'!B25,"")))</f>
        <v>Modelo:  Receptor: TruckTRONIX 8020 / Indicador: PB 10.000</v>
      </c>
      <c r="B9" s="995"/>
      <c r="C9" s="995"/>
      <c r="D9" s="996"/>
      <c r="E9" s="997"/>
      <c r="F9" s="995"/>
      <c r="G9" s="995"/>
      <c r="H9" s="997"/>
      <c r="I9" s="745"/>
      <c r="N9" s="449"/>
      <c r="S9" s="450"/>
    </row>
    <row r="10" spans="1:44" ht="15.75" customHeight="1" x14ac:dyDescent="0.25">
      <c r="A10" s="824" t="str">
        <f>CONCATENATE("Número de serie: ",IF(AND('Identificación del Instrumento'!B26&lt;&gt;"",'Identificación del Instrumento'!F26&lt;&gt;"",'Identificación del Instrumento'!B26&lt;&gt;'Identificación del Instrumento'!F26),CONCATENATE(," Receptor: ",'Identificación del Instrumento'!B26," / Indicador: ",'Identificación del Instrumento'!F26),IF('Identificación del Instrumento'!B26='Identificación del Instrumento'!F26,'Identificación del Instrumento'!B26,"")))</f>
        <v>Número de serie:  Receptor: 28082017214 / Indicador: 28082017215</v>
      </c>
      <c r="B10" s="995"/>
      <c r="C10" s="995"/>
      <c r="D10" s="996"/>
      <c r="E10" s="997"/>
      <c r="F10" s="995"/>
      <c r="G10" s="995"/>
      <c r="H10" s="997"/>
      <c r="I10" s="15" t="str">
        <f>IF(ISBLANK('Datos de Ensayos'!E14),"Falta No. serie","")</f>
        <v/>
      </c>
      <c r="J10" s="12"/>
      <c r="K10" s="12"/>
      <c r="L10" s="12"/>
      <c r="M10" s="12"/>
      <c r="N10" s="452"/>
      <c r="S10" s="450"/>
    </row>
    <row r="11" spans="1:44" ht="15.75" customHeight="1" x14ac:dyDescent="0.25">
      <c r="A11" s="824" t="str">
        <f>CONCATENATE("Origen: ",IF(AND('Identificación del Instrumento'!B28&lt;&gt;"",'Identificación del Instrumento'!F28&lt;&gt;"",'Identificación del Instrumento'!B28&lt;&gt;'Identificación del Instrumento'!F28),CONCATENATE(," Receptor: ",'Identificación del Instrumento'!B28," / Indicador: ",'Identificación del Instrumento'!F28),IF('Identificación del Instrumento'!B28='Identificación del Instrumento'!F28,'Identificación del Instrumento'!B28,"")))</f>
        <v>Origen: Argentina</v>
      </c>
      <c r="B11" s="995"/>
      <c r="C11" s="995"/>
      <c r="D11" s="996"/>
      <c r="E11" s="997"/>
      <c r="F11" s="995"/>
      <c r="G11" s="995"/>
      <c r="H11" s="997"/>
      <c r="I11" s="15"/>
      <c r="J11" s="12"/>
      <c r="K11" s="12"/>
      <c r="L11" s="12"/>
      <c r="M11" s="12"/>
      <c r="N11" s="452"/>
      <c r="S11" s="450"/>
    </row>
    <row r="12" spans="1:44" ht="15.75" customHeight="1" x14ac:dyDescent="0.25">
      <c r="A12" s="824" t="str">
        <f>CONCATENATE("N° de Aprobación de Modelo: ",IF(AND('Identificación del Instrumento'!B31&lt;&gt;"",'Identificación del Instrumento'!F31&lt;&gt;"",'Identificación del Instrumento'!B28&lt;&gt;'Identificación del Instrumento'!F31),CONCATENATE(," Receptor: ",'Identificación del Instrumento'!B31," / Indicador: ",'Identificación del Instrumento'!F31),IF('Identificación del Instrumento'!B31='Identificación del Instrumento'!F31,'Identificación del Instrumento'!B31,"")))</f>
        <v>N° de Aprobación de Modelo:  Receptor: 237/2010 / Indicador: 607/1999</v>
      </c>
      <c r="B12" s="995"/>
      <c r="C12" s="995"/>
      <c r="D12" s="996"/>
      <c r="E12" s="997"/>
      <c r="F12" s="995"/>
      <c r="G12" s="995"/>
      <c r="H12" s="997"/>
      <c r="I12" s="15"/>
      <c r="J12" s="12"/>
      <c r="K12" s="12"/>
      <c r="L12" s="12"/>
      <c r="M12" s="12"/>
      <c r="N12" s="452"/>
      <c r="S12" s="450"/>
    </row>
    <row r="13" spans="1:44" ht="15.75" customHeight="1" x14ac:dyDescent="0.25">
      <c r="A13" s="824" t="str">
        <f>CONCATENATE("Fecha de Aprobación de Modelo: ",IF(AND('Identificación del Instrumento'!B32&lt;&gt;"",'Identificación del Instrumento'!F32&lt;&gt;"",'Identificación del Instrumento'!B29&lt;&gt;'Identificación del Instrumento'!F32),CONCATENATE(," Receptor: ",'Identificación del Instrumento'!B32," / Indicador: ",'Identificación del Instrumento'!F32),IF('Identificación del Instrumento'!B32='Identificación del Instrumento'!F32,'Identificación del Instrumento'!B32,"")))</f>
        <v>Fecha de Aprobación de Modelo:  Receptor: 8 de abril de 2010 / Indicador: 20 de mayo de 1999</v>
      </c>
      <c r="B13" s="995"/>
      <c r="C13" s="995"/>
      <c r="D13" s="996"/>
      <c r="E13" s="997"/>
      <c r="F13" s="995"/>
      <c r="G13" s="995"/>
      <c r="H13" s="997"/>
      <c r="I13" s="15"/>
      <c r="J13" s="12"/>
      <c r="K13" s="12"/>
      <c r="L13" s="12"/>
      <c r="M13" s="12"/>
      <c r="N13" s="452"/>
      <c r="S13" s="450"/>
    </row>
    <row r="14" spans="1:44" ht="15.75" customHeight="1" thickBot="1" x14ac:dyDescent="0.3">
      <c r="A14" s="824" t="str">
        <f>CONCATENATE("Código de aprobación de modelo: ",IF(AND('Identificación del Instrumento'!B27&lt;&gt;"",'Identificación del Instrumento'!F27&lt;&gt;"",'Identificación del Instrumento'!B27&lt;&gt;'Identificación del Instrumento'!F27),CONCATENATE("Receptor "," ", 'Identificación del Instrumento'!B27," / Indicador ",'Identificación del Instrumento'!F27),IF('Identificación del Instrumento'!B27='Identificación del Instrumento'!F27,'Identificación del Instrumento'!B27,"")))</f>
        <v>Código de aprobación de modelo: Receptor  BF.80-2172 / Indicador BF.60-1624</v>
      </c>
      <c r="B14" s="995"/>
      <c r="C14" s="995"/>
      <c r="D14" s="996"/>
      <c r="E14" s="997"/>
      <c r="F14" s="995"/>
      <c r="G14" s="995"/>
      <c r="H14" s="997"/>
      <c r="I14" s="15" t="str">
        <f>IF(ISBLANK('Datos de Ensayos'!E14),"Falta identificacion","")</f>
        <v/>
      </c>
      <c r="J14" s="12"/>
      <c r="K14" s="12"/>
      <c r="L14" s="12"/>
      <c r="M14" s="12"/>
      <c r="N14" s="452"/>
      <c r="P14" s="61" t="s">
        <v>480</v>
      </c>
      <c r="S14" s="453" t="s">
        <v>481</v>
      </c>
    </row>
    <row r="15" spans="1:44" ht="53.25" customHeight="1" thickBot="1" x14ac:dyDescent="0.3">
      <c r="A15" s="824" t="str">
        <f>CONCATENATE("Precintos Nº: ",'Acta Precintos'!S49,".")</f>
        <v>Precintos Nº: Placa identificatoria del receptor (a) N03475, Placa identificatoria del indicador (a) N03474, Indicador (a) B79341, B79342 (05/11/25), Caja de ecualización (a) B739443, B79344 (05/11/25) y Verificado (a) 1104924 (05/11/25).</v>
      </c>
      <c r="B15" s="995"/>
      <c r="C15" s="995"/>
      <c r="D15" s="996"/>
      <c r="E15" s="997"/>
      <c r="F15" s="995"/>
      <c r="G15" s="995"/>
      <c r="H15" s="997"/>
      <c r="I15" s="15" t="str">
        <f>IF(ISBLANK('Datos de Ensayos'!E8),"Falta Razón social","")</f>
        <v/>
      </c>
      <c r="J15" s="12"/>
      <c r="K15" s="12"/>
      <c r="L15" s="12"/>
      <c r="M15" s="12"/>
      <c r="N15" s="1017" t="s">
        <v>482</v>
      </c>
      <c r="O15" s="847"/>
      <c r="P15" s="847"/>
      <c r="Q15" s="847"/>
      <c r="R15" s="847"/>
      <c r="S15" s="858"/>
    </row>
    <row r="16" spans="1:44" s="61" customFormat="1" ht="33" customHeight="1" x14ac:dyDescent="0.2">
      <c r="A16" s="1008" t="str">
        <f>IF((AND(ISBLANK('Identificación del Instrumento'!B19),ISBLANK('Identificación del Instrumento'!F20))),CONCATENATE("Lugar de instalacion: ",IF('Identificación del Instrumento'!F16="Ciudad Autónoma de Buenos Aires",('Identificación del Instrumento'!B15&amp;" de la "&amp;'Identificación del Instrumento'!F16&amp;"."),('Identificación del Instrumento'!B15&amp;" de la localidad de "&amp;'Identificación del Instrumento'!B16&amp;", provincia de "&amp;'Identificación del Instrumento'!F16&amp;"."))), CONCATENATE("Lugar de instalación: ",IF(ISBLANK('Identificación del Instrumento'!C18),"",'Identificación del Instrumento'!C18&amp;" - "),IF('Identificación del Instrumento'!F20="Ciudad Autónoma de Buenos Aires",('Identificación del Instrumento'!B19&amp;" de la "&amp;'Identificación del Instrumento'!F20&amp;"."),('Identificación del Instrumento'!B19&amp;" de la localidad de "&amp;'Identificación del Instrumento'!B20&amp;", provincia de "&amp;'Identificación del Instrumento'!F20&amp;"."))))</f>
        <v>Lugar de instalación: Zona de pesaje - RUTA PROVINCIAL Nº 20 S/N de la localidad de COSTA DE ARAUJO, provincia de Mendoza.</v>
      </c>
      <c r="B16" s="1009"/>
      <c r="C16" s="1009"/>
      <c r="D16" s="1009"/>
      <c r="E16" s="1009"/>
      <c r="F16" s="1009"/>
      <c r="G16" s="1009"/>
      <c r="H16" s="1009"/>
      <c r="J16" s="51"/>
      <c r="K16" s="51"/>
      <c r="L16" s="12"/>
      <c r="M16" s="12"/>
      <c r="N16" s="12"/>
    </row>
    <row r="17" spans="1:27" ht="38.25" customHeight="1" x14ac:dyDescent="0.2">
      <c r="A17" s="1014" t="s">
        <v>483</v>
      </c>
      <c r="B17" s="995"/>
      <c r="C17" s="999" t="str">
        <f>IF(COUNTA('Identificación del Instrumento'!$B$22)=1,VLOOKUP('Identificación del Instrumento'!$J$22,Informe!$I$17:$J$18,2,FALSE),"")</f>
        <v>Verificación del cumplimiento con la Reglamentación Metrológica y Técnica correspondiente a la Resolución ex S.E.C. y N.E.I. N° 2307/1980 y su modificatoria.</v>
      </c>
      <c r="D17" s="996"/>
      <c r="E17" s="997"/>
      <c r="F17" s="995"/>
      <c r="G17" s="995"/>
      <c r="H17" s="997"/>
      <c r="I17" s="667">
        <v>1</v>
      </c>
      <c r="J17" s="666" t="s">
        <v>484</v>
      </c>
      <c r="K17" s="668"/>
      <c r="L17" s="666"/>
      <c r="M17" s="669"/>
      <c r="N17" s="669"/>
      <c r="O17" s="666"/>
      <c r="P17" s="666"/>
      <c r="Q17" s="666"/>
      <c r="R17" s="666"/>
      <c r="S17" s="666"/>
      <c r="T17" s="666"/>
      <c r="U17" s="666" t="s">
        <v>485</v>
      </c>
      <c r="V17" s="666"/>
      <c r="W17" s="666"/>
      <c r="X17" s="666"/>
      <c r="Y17" s="666"/>
      <c r="Z17" s="666"/>
      <c r="AA17" s="666"/>
    </row>
    <row r="18" spans="1:27" ht="17.25" customHeight="1" x14ac:dyDescent="0.2">
      <c r="A18" s="1014" t="s">
        <v>486</v>
      </c>
      <c r="B18" s="995"/>
      <c r="C18" s="995"/>
      <c r="D18" s="996"/>
      <c r="E18" s="997"/>
      <c r="F18" s="995"/>
      <c r="G18" s="995"/>
      <c r="H18" s="997"/>
      <c r="I18" s="667">
        <v>2</v>
      </c>
      <c r="J18" s="666" t="s">
        <v>487</v>
      </c>
      <c r="K18" s="670"/>
      <c r="L18" s="666"/>
      <c r="M18" s="669"/>
      <c r="N18" s="669"/>
      <c r="O18" s="666"/>
      <c r="P18" s="666"/>
      <c r="Q18" s="666"/>
      <c r="R18" s="666"/>
      <c r="S18" s="666"/>
      <c r="T18" s="666"/>
      <c r="U18" s="666" t="s">
        <v>488</v>
      </c>
      <c r="V18" s="666"/>
      <c r="W18" s="666"/>
      <c r="X18" s="666"/>
      <c r="Y18" s="666"/>
      <c r="Z18" s="666"/>
      <c r="AA18" s="666"/>
    </row>
    <row r="19" spans="1:27" s="64" customFormat="1" ht="28.5" customHeight="1" x14ac:dyDescent="0.2">
      <c r="A19" s="994" t="str">
        <f>IF(COUNTA('Identificación del Instrumento'!$B$22)=1,VLOOKUP('Identificación del Instrumento'!$J$22,$I$17:$V$18,13,FALSE),"")</f>
        <v>Párrafos de la Reglamentación Metrológica y Técnica, Resolución 2307/80</v>
      </c>
      <c r="B19" s="773"/>
      <c r="C19" s="774"/>
      <c r="D19" s="994" t="s">
        <v>489</v>
      </c>
      <c r="E19" s="774"/>
      <c r="F19" s="713" t="s">
        <v>490</v>
      </c>
      <c r="G19" s="994" t="s">
        <v>491</v>
      </c>
      <c r="H19" s="774"/>
      <c r="I19" s="55"/>
      <c r="J19" s="54"/>
      <c r="K19" s="54"/>
      <c r="L19" s="56"/>
      <c r="M19" s="62"/>
      <c r="N19" s="62"/>
      <c r="O19" s="63"/>
    </row>
    <row r="20" spans="1:27" ht="15" customHeight="1" x14ac:dyDescent="0.25">
      <c r="A20" s="713">
        <v>9</v>
      </c>
      <c r="B20" s="994" t="s">
        <v>492</v>
      </c>
      <c r="C20" s="774"/>
      <c r="D20" s="998" t="str">
        <f>J2</f>
        <v>Ö</v>
      </c>
      <c r="E20" s="774"/>
      <c r="F20" s="69"/>
      <c r="G20" s="1020"/>
      <c r="H20" s="774"/>
      <c r="I20" s="53"/>
      <c r="J20" s="1016"/>
      <c r="K20" s="995"/>
      <c r="L20" s="56"/>
      <c r="M20" s="7"/>
      <c r="N20" s="7"/>
    </row>
    <row r="21" spans="1:27" ht="15" customHeight="1" x14ac:dyDescent="0.25">
      <c r="A21" s="713" t="s">
        <v>493</v>
      </c>
      <c r="B21" s="994" t="s">
        <v>494</v>
      </c>
      <c r="C21" s="774"/>
      <c r="D21" s="998"/>
      <c r="E21" s="774"/>
      <c r="F21" s="69"/>
      <c r="G21" s="998" t="str">
        <f>+J2</f>
        <v>Ö</v>
      </c>
      <c r="H21" s="774"/>
      <c r="I21" s="53"/>
      <c r="J21" s="1016"/>
      <c r="K21" s="995"/>
      <c r="L21" s="38"/>
      <c r="M21" s="7"/>
      <c r="N21" s="7"/>
    </row>
    <row r="22" spans="1:27" ht="15" customHeight="1" x14ac:dyDescent="0.2">
      <c r="A22" s="713" t="str">
        <f>IF('Identificación del Instrumento'!B22="Balanza tipo tolva","ESCONDER",(IF(COUNTA('Identificación del Instrumento'!$B$22)=1,VLOOKUP('Identificación del Instrumento'!$B$22,'Ensayos Efectuados'!$N$125:$R$136,5,FALSE),"")))</f>
        <v>13.4.2.1</v>
      </c>
      <c r="B22" s="994" t="str">
        <f>IF(OR(A22="ESCONDER",A22="N/A"),"ESCONDER","Excentricidad")</f>
        <v>Excentricidad</v>
      </c>
      <c r="C22" s="774"/>
      <c r="D22" s="998" t="str">
        <f>IF($B$22="ESCONDER","ESCONDER",IF(COUNT('Datos de Ensayos'!K70:K81)&gt;1,IF('Datos de Ensayos'!K82=0,J2,""),""))</f>
        <v>Ö</v>
      </c>
      <c r="E22" s="774"/>
      <c r="F22" s="69" t="str">
        <f>IF($B$22="ESCONDER","",IF('Datos de Ensayos'!K82&gt;0,J2,""))</f>
        <v/>
      </c>
      <c r="G22" s="998" t="str">
        <f>IF($B$22="ESCONDER","ESCONDER"," ")</f>
        <v xml:space="preserve"> </v>
      </c>
      <c r="H22" s="774"/>
      <c r="I22" s="1018" t="str">
        <f>IF(OR('Identificación del Instrumento'!B22="Balanza tipo tolva",'Identificación del Instrumento'!B22="Balanza de carga directamente suspendida (de gancho)"),"&lt;=== Esconder fila 'Excentricidad' "," ")</f>
        <v xml:space="preserve"> </v>
      </c>
      <c r="J22" s="995"/>
      <c r="K22" s="995"/>
      <c r="L22" s="995"/>
      <c r="M22" s="995"/>
      <c r="N22" s="995"/>
      <c r="O22" s="841"/>
      <c r="P22" s="54"/>
      <c r="Q22" s="54"/>
      <c r="R22" s="54"/>
      <c r="S22" s="54"/>
    </row>
    <row r="23" spans="1:27" ht="15" customHeight="1" x14ac:dyDescent="0.25">
      <c r="A23" s="713" t="s">
        <v>495</v>
      </c>
      <c r="B23" s="1011" t="s">
        <v>496</v>
      </c>
      <c r="C23" s="774"/>
      <c r="D23" s="998" t="str">
        <f>IF(ISNUMBER('Datos de Ensayos'!$N$135),IF(('Datos de Ensayos'!$N$135=0),J2,""),"")</f>
        <v>Ö</v>
      </c>
      <c r="E23" s="774"/>
      <c r="F23" s="69" t="str">
        <f>IF(ISNUMBER('Datos de Ensayos'!$N$135),IF(('Datos de Ensayos'!$N$135=1),J2,""),J2)</f>
        <v/>
      </c>
      <c r="G23" s="998"/>
      <c r="H23" s="774"/>
      <c r="I23" s="53"/>
      <c r="J23" s="1016"/>
      <c r="K23" s="995"/>
      <c r="L23" s="37"/>
      <c r="M23" s="7"/>
      <c r="N23" s="7"/>
    </row>
    <row r="24" spans="1:27" ht="15" customHeight="1" x14ac:dyDescent="0.25">
      <c r="A24" s="714" t="str">
        <f>IF('Identificación del Instrumento'!F23="Mecánica","14.2.1.1.","14.2.2.1.2.")</f>
        <v>14.2.2.1.2.</v>
      </c>
      <c r="B24" s="994" t="s">
        <v>497</v>
      </c>
      <c r="C24" s="774"/>
      <c r="D24" s="998" t="str">
        <f>+IF(AND(COUNTA('Datos de Ensayos'!E61:E63)=3,'Datos de Ensayos'!K61="si",'Datos de Ensayos'!K62="si",'Datos de Ensayos'!K63="si"),J2,"")</f>
        <v>Ö</v>
      </c>
      <c r="E24" s="774"/>
      <c r="F24" s="69" t="str">
        <f>+IF(OR(COUNTA('Datos de Ensayos'!E61:E63)&lt;3,'Datos de Ensayos'!K61="no",'Datos de Ensayos'!K62="no",'Datos de Ensayos'!K63="no"),J2,"")</f>
        <v/>
      </c>
      <c r="G24" s="998"/>
      <c r="H24" s="774"/>
      <c r="I24" s="53"/>
      <c r="J24" s="1016"/>
      <c r="K24" s="995"/>
      <c r="L24" s="1015"/>
      <c r="M24" s="995"/>
      <c r="N24" s="995"/>
      <c r="O24" s="841"/>
      <c r="P24" s="995"/>
      <c r="Q24" s="995"/>
      <c r="R24" s="995"/>
      <c r="S24" s="995"/>
      <c r="T24" s="995"/>
    </row>
    <row r="25" spans="1:27" ht="28.5" customHeight="1" x14ac:dyDescent="0.25">
      <c r="A25" s="713" t="s">
        <v>498</v>
      </c>
      <c r="B25" s="994" t="s">
        <v>499</v>
      </c>
      <c r="C25" s="774"/>
      <c r="D25" s="998" t="str">
        <f>+IF('Datos de Ensayos'!G56="no supera",$J$2,"")</f>
        <v>Ö</v>
      </c>
      <c r="E25" s="774"/>
      <c r="F25" s="69" t="str">
        <f>+IF('Datos de Ensayos'!G56="supera",J2,"")</f>
        <v/>
      </c>
      <c r="G25" s="998" t="str">
        <f>+IF('Datos de Ensayos'!G56="x",J2,"")</f>
        <v/>
      </c>
      <c r="H25" s="774"/>
      <c r="I25" s="53"/>
      <c r="J25" s="54"/>
      <c r="K25" s="54"/>
      <c r="L25" s="37"/>
      <c r="M25" s="1015"/>
      <c r="N25" s="995"/>
      <c r="O25" s="841"/>
      <c r="P25" s="995"/>
      <c r="Q25" s="995"/>
      <c r="R25" s="995"/>
      <c r="S25" s="995"/>
      <c r="T25" s="995"/>
    </row>
    <row r="26" spans="1:27" ht="28.5" customHeight="1" x14ac:dyDescent="0.25">
      <c r="A26" s="1004" t="s">
        <v>500</v>
      </c>
      <c r="B26" s="773"/>
      <c r="C26" s="774"/>
      <c r="D26" s="998" t="str">
        <f>$J$2</f>
        <v>Ö</v>
      </c>
      <c r="E26" s="774"/>
      <c r="F26" s="69" t="str">
        <f>+IF('Datos de Ensayos'!G57="supera",J3,"")</f>
        <v/>
      </c>
      <c r="G26" s="998" t="str">
        <f>+IF('Datos de Ensayos'!G57="x",J3,"")</f>
        <v/>
      </c>
      <c r="H26" s="774"/>
      <c r="I26" s="53"/>
      <c r="J26" s="54"/>
      <c r="K26" s="54"/>
      <c r="L26" s="37"/>
      <c r="M26" s="170"/>
      <c r="N26" s="170"/>
      <c r="O26" s="170"/>
      <c r="P26" s="170"/>
      <c r="Q26" s="170"/>
      <c r="R26" s="170"/>
      <c r="S26" s="170"/>
      <c r="T26" s="170"/>
    </row>
    <row r="27" spans="1:27" ht="21.75" customHeight="1" x14ac:dyDescent="0.25">
      <c r="A27" s="1013" t="str">
        <f>IF(COUNTBLANK(F20:F25)=6,"La balanza satisface los requisitos reglamentarios.","La balanza no satisface los requisitos reglamentarios.")</f>
        <v>La balanza satisface los requisitos reglamentarios.</v>
      </c>
      <c r="B27" s="995"/>
      <c r="C27" s="995"/>
      <c r="D27" s="996"/>
      <c r="E27" s="997"/>
      <c r="F27" s="995"/>
      <c r="G27" s="995"/>
      <c r="H27" s="997"/>
      <c r="I27" s="53"/>
      <c r="J27" s="54"/>
      <c r="K27" s="54"/>
      <c r="L27" s="37"/>
      <c r="M27" s="7"/>
      <c r="N27" s="7"/>
    </row>
    <row r="28" spans="1:27" ht="15" customHeight="1" x14ac:dyDescent="0.25">
      <c r="A28" s="1012" t="str">
        <f>CONCATENATE("Fecha de la verificación:  ")</f>
        <v xml:space="preserve">Fecha de la verificación:  </v>
      </c>
      <c r="B28" s="995"/>
      <c r="C28" s="995"/>
      <c r="D28" s="1006" t="str">
        <f>'Identificación del Instrumento'!J2</f>
        <v>1 de enero de 2025</v>
      </c>
      <c r="E28" s="997"/>
      <c r="F28" s="995"/>
      <c r="G28" s="1006"/>
      <c r="H28" s="997"/>
      <c r="M28" s="14"/>
    </row>
    <row r="29" spans="1:27" ht="15" customHeight="1" x14ac:dyDescent="0.25">
      <c r="A29" s="1012" t="str">
        <f>CONCATENATE("Fecha de emisión:  ")</f>
        <v xml:space="preserve">Fecha de emisión:  </v>
      </c>
      <c r="B29" s="995"/>
      <c r="C29" s="995"/>
      <c r="D29" s="1006">
        <f ca="1">TODAY()</f>
        <v>46009</v>
      </c>
      <c r="E29" s="997"/>
      <c r="F29" s="995"/>
      <c r="G29" s="995"/>
      <c r="H29" s="997"/>
      <c r="M29" s="14"/>
    </row>
    <row r="30" spans="1:27" ht="15.75" hidden="1" customHeight="1" x14ac:dyDescent="0.25">
      <c r="A30" s="1012" t="str">
        <f>CONCATENATE("Fecha de vencimiento:  ")</f>
        <v xml:space="preserve">Fecha de vencimiento:  </v>
      </c>
      <c r="B30" s="995"/>
      <c r="C30" s="995"/>
      <c r="D30" s="1006" t="str">
        <f>'Identificación del Instrumento'!J3</f>
        <v>1 de enero de 2027</v>
      </c>
      <c r="E30" s="997"/>
      <c r="F30" s="995"/>
      <c r="G30" s="995"/>
      <c r="H30" s="997"/>
      <c r="M30" s="14"/>
    </row>
    <row r="31" spans="1:27" ht="16.5" customHeight="1" x14ac:dyDescent="0.25">
      <c r="A31" s="68" t="s">
        <v>501</v>
      </c>
      <c r="B31" s="67"/>
      <c r="C31" s="67"/>
      <c r="D31" s="70"/>
      <c r="E31" s="70"/>
      <c r="F31" s="70"/>
      <c r="G31" s="70"/>
      <c r="H31" s="70"/>
      <c r="M31" s="14"/>
    </row>
    <row r="32" spans="1:27" ht="41.25" customHeight="1" x14ac:dyDescent="0.25">
      <c r="A32" s="1022" t="s">
        <v>502</v>
      </c>
      <c r="B32" s="995"/>
      <c r="C32" s="995"/>
      <c r="D32" s="996"/>
      <c r="E32" s="997"/>
      <c r="F32" s="995"/>
      <c r="G32" s="995"/>
      <c r="H32" s="997"/>
      <c r="M32" s="14"/>
    </row>
    <row r="33" spans="1:15" ht="20.100000000000001" customHeight="1" x14ac:dyDescent="0.25">
      <c r="A33" s="213" t="s">
        <v>503</v>
      </c>
      <c r="B33" s="1001" t="str">
        <f>IF(ISBLANK('Identificación del Instrumento'!$C$14),"",'Identificación del Instrumento'!$C$14)</f>
        <v>Marolio S.A.</v>
      </c>
      <c r="C33" s="995"/>
      <c r="D33" s="996"/>
      <c r="E33" s="997"/>
      <c r="F33" s="995"/>
      <c r="G33" s="995"/>
      <c r="H33" s="997"/>
      <c r="I33" s="6"/>
      <c r="J33" s="13"/>
      <c r="K33" s="13"/>
      <c r="L33" s="13"/>
      <c r="M33" s="13"/>
      <c r="N33" s="13"/>
    </row>
    <row r="34" spans="1:15" ht="20.100000000000001" customHeight="1" x14ac:dyDescent="0.25">
      <c r="A34" s="13"/>
      <c r="B34" s="1001" t="str">
        <f>IF(ISBLANK('Identificación del Instrumento'!$B$15),"",'Identificación del Instrumento'!$B$15)</f>
        <v>Empedrado 2531 - Ciudad Autónoma de Buenos Aires - Buenos Aires</v>
      </c>
      <c r="C34" s="995"/>
      <c r="D34" s="996"/>
      <c r="E34" s="997"/>
      <c r="F34" s="995"/>
      <c r="G34" s="995"/>
      <c r="H34" s="997"/>
      <c r="I34" s="6"/>
      <c r="J34" s="13"/>
      <c r="K34" s="13"/>
      <c r="L34" s="13"/>
      <c r="M34" s="13"/>
      <c r="N34" s="13"/>
    </row>
    <row r="35" spans="1:15" ht="20.100000000000001" customHeight="1" x14ac:dyDescent="0.25">
      <c r="A35" s="13"/>
      <c r="B35" s="1007" t="str">
        <f>CONCATENATE('Datos de Ensayos'!$E$9,IF('Identificación del Instrumento'!F16="Ciudad Autónoma de Buenos Aires",""," - Provincia de "),'Datos de Ensayos'!$I$9)</f>
        <v>Ciudad Autónoma de Buenos Aires</v>
      </c>
      <c r="C35" s="995"/>
      <c r="D35" s="996"/>
      <c r="E35" s="997"/>
      <c r="F35" s="995"/>
      <c r="G35" s="995"/>
      <c r="H35" s="997"/>
      <c r="I35" s="6"/>
      <c r="J35" s="13"/>
      <c r="K35" s="13"/>
      <c r="L35" s="13"/>
      <c r="M35" s="13"/>
      <c r="N35" s="13"/>
    </row>
    <row r="36" spans="1:15" ht="15.75" customHeight="1" x14ac:dyDescent="0.2">
      <c r="A36" s="4"/>
      <c r="B36" s="4"/>
      <c r="C36" s="4"/>
      <c r="D36" s="41"/>
      <c r="E36" s="50"/>
      <c r="F36" s="4"/>
      <c r="G36" s="4"/>
      <c r="N36" s="16"/>
      <c r="O36" s="1"/>
    </row>
    <row r="37" spans="1:15" ht="15.75" customHeight="1" x14ac:dyDescent="0.2">
      <c r="A37" s="4"/>
      <c r="B37" s="4"/>
      <c r="C37" s="4"/>
      <c r="D37" s="41"/>
      <c r="E37" s="50"/>
      <c r="F37" s="4"/>
      <c r="G37" s="4"/>
      <c r="N37" s="16"/>
      <c r="O37" s="1"/>
    </row>
    <row r="38" spans="1:15" ht="15.75" customHeight="1" x14ac:dyDescent="0.2">
      <c r="A38" s="4"/>
      <c r="B38" s="4"/>
      <c r="C38" s="4"/>
      <c r="D38" s="41"/>
      <c r="E38" s="50"/>
      <c r="F38" s="4"/>
      <c r="G38" s="4"/>
      <c r="N38" s="16"/>
      <c r="O38" s="1"/>
    </row>
    <row r="39" spans="1:15" ht="15.75" customHeight="1" x14ac:dyDescent="0.2">
      <c r="A39" s="4"/>
      <c r="B39" s="4"/>
      <c r="C39" s="4"/>
      <c r="D39" s="41"/>
      <c r="E39" s="50"/>
      <c r="F39" s="4"/>
      <c r="G39" s="4"/>
      <c r="N39" s="16"/>
      <c r="O39" s="1"/>
    </row>
    <row r="40" spans="1:15" ht="15.75" customHeight="1" x14ac:dyDescent="0.2">
      <c r="A40" s="4"/>
      <c r="B40" s="4"/>
      <c r="C40" s="4"/>
      <c r="D40" s="41"/>
      <c r="E40" s="50"/>
      <c r="F40" s="4"/>
      <c r="G40" s="4"/>
      <c r="N40" s="16"/>
      <c r="O40" s="1"/>
    </row>
    <row r="41" spans="1:15" ht="15.75" customHeight="1" x14ac:dyDescent="0.2">
      <c r="A41" s="4"/>
      <c r="B41" s="4"/>
      <c r="C41" s="4"/>
      <c r="D41" s="41"/>
      <c r="E41" s="50"/>
      <c r="F41" s="4"/>
      <c r="G41" s="4"/>
      <c r="N41" s="16"/>
      <c r="O41" s="1"/>
    </row>
    <row r="42" spans="1:15" ht="15.75" customHeight="1" x14ac:dyDescent="0.2">
      <c r="A42" s="4"/>
      <c r="B42" s="4"/>
      <c r="C42" s="4"/>
      <c r="D42" s="41"/>
      <c r="E42" s="50"/>
      <c r="F42" s="4"/>
      <c r="G42" s="4"/>
      <c r="N42" s="16"/>
      <c r="O42" s="1"/>
    </row>
    <row r="43" spans="1:15" ht="15.75" customHeight="1" x14ac:dyDescent="0.2">
      <c r="A43" s="4"/>
      <c r="B43" s="4"/>
      <c r="C43" s="4"/>
      <c r="D43" s="41"/>
      <c r="E43" s="50"/>
      <c r="F43" s="4"/>
      <c r="G43" s="4"/>
      <c r="N43" s="16"/>
      <c r="O43" s="1"/>
    </row>
    <row r="44" spans="1:15" ht="15.75" customHeight="1" x14ac:dyDescent="0.2">
      <c r="A44" s="4"/>
      <c r="B44" s="4"/>
      <c r="C44" s="4"/>
      <c r="D44" s="41"/>
      <c r="E44" s="50"/>
      <c r="F44" s="4"/>
      <c r="G44" s="4"/>
      <c r="N44" s="16"/>
      <c r="O44" s="1"/>
    </row>
    <row r="45" spans="1:15" ht="15.75" customHeight="1" x14ac:dyDescent="0.2">
      <c r="A45" s="4"/>
      <c r="B45" s="4"/>
      <c r="C45" s="4"/>
      <c r="D45" s="41"/>
      <c r="E45" s="50"/>
      <c r="F45" s="4"/>
      <c r="G45" s="4"/>
      <c r="N45" s="16"/>
      <c r="O45" s="1"/>
    </row>
    <row r="46" spans="1:15" ht="15.75" customHeight="1" x14ac:dyDescent="0.2">
      <c r="A46" s="4"/>
      <c r="B46" s="4"/>
      <c r="C46" s="4"/>
      <c r="D46" s="41"/>
      <c r="E46" s="50"/>
      <c r="F46" s="4"/>
      <c r="G46" s="4"/>
      <c r="N46" s="16"/>
      <c r="O46" s="1"/>
    </row>
    <row r="47" spans="1:15" ht="15.75" customHeight="1" x14ac:dyDescent="0.2">
      <c r="A47" s="4"/>
      <c r="B47" s="4"/>
      <c r="C47" s="4"/>
      <c r="D47" s="41"/>
      <c r="E47" s="50"/>
      <c r="F47" s="4"/>
      <c r="G47" s="4"/>
      <c r="N47" s="16"/>
      <c r="O47" s="1"/>
    </row>
    <row r="48" spans="1:15" ht="15.75" customHeight="1" x14ac:dyDescent="0.2">
      <c r="A48" s="4"/>
      <c r="B48" s="4"/>
      <c r="C48" s="4"/>
      <c r="D48" s="41"/>
      <c r="E48" s="50"/>
      <c r="F48" s="4"/>
      <c r="G48" s="4"/>
      <c r="N48" s="16"/>
      <c r="O48" s="1"/>
    </row>
    <row r="49" spans="1:15" ht="15.75" customHeight="1" x14ac:dyDescent="0.2">
      <c r="A49" s="4"/>
      <c r="B49" s="4"/>
      <c r="C49" s="4"/>
      <c r="D49" s="41"/>
      <c r="E49" s="50"/>
      <c r="F49" s="4"/>
      <c r="G49" s="4"/>
      <c r="N49" s="16"/>
      <c r="O49" s="1"/>
    </row>
    <row r="50" spans="1:15" ht="15.75" customHeight="1" x14ac:dyDescent="0.2">
      <c r="A50" s="4"/>
      <c r="B50" s="4"/>
      <c r="C50" s="4"/>
      <c r="D50" s="41"/>
      <c r="E50" s="50"/>
      <c r="F50" s="4"/>
      <c r="G50" s="4"/>
      <c r="N50" s="16"/>
      <c r="O50" s="1"/>
    </row>
    <row r="51" spans="1:15" ht="15.75" customHeight="1" x14ac:dyDescent="0.2">
      <c r="A51" s="4"/>
      <c r="B51" s="4"/>
      <c r="C51" s="4"/>
      <c r="D51" s="41"/>
      <c r="E51" s="50"/>
      <c r="F51" s="4"/>
      <c r="G51" s="4"/>
      <c r="N51" s="16"/>
      <c r="O51" s="1"/>
    </row>
    <row r="52" spans="1:15" ht="15.75" customHeight="1" x14ac:dyDescent="0.2">
      <c r="A52" s="4"/>
      <c r="B52" s="4"/>
      <c r="C52" s="4"/>
      <c r="D52" s="41"/>
      <c r="E52" s="50"/>
      <c r="F52" s="4"/>
      <c r="G52" s="4"/>
      <c r="N52" s="16"/>
      <c r="O52" s="1"/>
    </row>
    <row r="53" spans="1:15" ht="15.75" customHeight="1" x14ac:dyDescent="0.2">
      <c r="A53" s="4"/>
      <c r="B53" s="4"/>
      <c r="C53" s="4"/>
      <c r="D53" s="41"/>
      <c r="E53" s="50"/>
      <c r="F53" s="4"/>
      <c r="G53" s="4"/>
      <c r="N53" s="16"/>
      <c r="O53" s="1"/>
    </row>
    <row r="54" spans="1:15" ht="15.75" customHeight="1" x14ac:dyDescent="0.2">
      <c r="A54" s="4"/>
      <c r="B54" s="4"/>
      <c r="C54" s="4"/>
      <c r="D54" s="41"/>
      <c r="E54" s="50"/>
      <c r="F54" s="4"/>
      <c r="G54" s="4"/>
      <c r="N54" s="16"/>
      <c r="O54" s="1"/>
    </row>
    <row r="55" spans="1:15" ht="15.75" customHeight="1" x14ac:dyDescent="0.2">
      <c r="A55" s="4"/>
      <c r="B55" s="4"/>
      <c r="C55" s="4"/>
      <c r="D55" s="41"/>
      <c r="E55" s="50"/>
      <c r="F55" s="4"/>
      <c r="G55" s="4"/>
      <c r="N55" s="16"/>
      <c r="O55" s="1"/>
    </row>
    <row r="56" spans="1:15" ht="15.75" customHeight="1" x14ac:dyDescent="0.2">
      <c r="A56" s="4"/>
      <c r="B56" s="4"/>
      <c r="C56" s="4"/>
      <c r="D56" s="41"/>
      <c r="E56" s="50"/>
      <c r="F56" s="4"/>
      <c r="G56" s="4"/>
      <c r="N56" s="16"/>
      <c r="O56" s="1"/>
    </row>
    <row r="57" spans="1:15" ht="15.75" customHeight="1" x14ac:dyDescent="0.2">
      <c r="A57" s="4"/>
      <c r="B57" s="4"/>
      <c r="C57" s="4"/>
      <c r="D57" s="41"/>
      <c r="E57" s="50"/>
      <c r="F57" s="4"/>
      <c r="G57" s="4"/>
      <c r="N57" s="16"/>
      <c r="O57" s="1"/>
    </row>
    <row r="58" spans="1:15" ht="15.75" customHeight="1" x14ac:dyDescent="0.2">
      <c r="A58" s="4"/>
      <c r="B58" s="4"/>
      <c r="C58" s="4"/>
      <c r="D58" s="41"/>
      <c r="E58" s="50"/>
      <c r="F58" s="4"/>
      <c r="G58" s="4"/>
      <c r="N58" s="16"/>
      <c r="O58" s="1"/>
    </row>
    <row r="59" spans="1:15" ht="15.75" customHeight="1" x14ac:dyDescent="0.2">
      <c r="A59" s="4"/>
      <c r="B59" s="4"/>
      <c r="C59" s="4"/>
      <c r="D59" s="41"/>
      <c r="E59" s="50"/>
      <c r="F59" s="4"/>
      <c r="G59" s="4"/>
      <c r="N59" s="16"/>
      <c r="O59" s="1"/>
    </row>
    <row r="60" spans="1:15" ht="15.75" customHeight="1" x14ac:dyDescent="0.2">
      <c r="A60" s="4"/>
      <c r="B60" s="4"/>
      <c r="C60" s="4"/>
      <c r="D60" s="41"/>
      <c r="E60" s="50"/>
      <c r="F60" s="4"/>
      <c r="G60" s="4"/>
      <c r="N60" s="16"/>
      <c r="O60" s="1"/>
    </row>
    <row r="61" spans="1:15" ht="15.75" customHeight="1" x14ac:dyDescent="0.2">
      <c r="A61" s="4"/>
      <c r="B61" s="4"/>
      <c r="C61" s="4"/>
      <c r="D61" s="41"/>
      <c r="E61" s="50"/>
      <c r="F61" s="4"/>
      <c r="G61" s="4"/>
      <c r="N61" s="16"/>
      <c r="O61" s="1"/>
    </row>
    <row r="62" spans="1:15" ht="15.75" customHeight="1" x14ac:dyDescent="0.2">
      <c r="A62" s="4"/>
      <c r="B62" s="4"/>
      <c r="C62" s="4"/>
      <c r="D62" s="41"/>
      <c r="E62" s="50"/>
      <c r="F62" s="4"/>
      <c r="G62" s="4"/>
      <c r="N62" s="16"/>
      <c r="O62" s="1"/>
    </row>
    <row r="63" spans="1:15" ht="15.75" customHeight="1" x14ac:dyDescent="0.2">
      <c r="A63" s="4"/>
      <c r="B63" s="4"/>
      <c r="C63" s="4"/>
      <c r="D63" s="41"/>
      <c r="E63" s="50"/>
      <c r="F63" s="4"/>
      <c r="G63" s="4"/>
      <c r="N63" s="16"/>
      <c r="O63" s="1"/>
    </row>
    <row r="64" spans="1:15" ht="15.75" customHeight="1" x14ac:dyDescent="0.2">
      <c r="A64" s="4"/>
      <c r="B64" s="4"/>
      <c r="C64" s="4"/>
      <c r="D64" s="41"/>
      <c r="E64" s="50"/>
      <c r="F64" s="4"/>
      <c r="G64" s="4"/>
      <c r="N64" s="16"/>
      <c r="O64" s="1"/>
    </row>
    <row r="65" spans="1:15" ht="15.75" customHeight="1" x14ac:dyDescent="0.2">
      <c r="A65" s="4"/>
      <c r="B65" s="4"/>
      <c r="C65" s="4"/>
      <c r="D65" s="41"/>
      <c r="E65" s="50"/>
      <c r="F65" s="4"/>
      <c r="G65" s="4"/>
      <c r="N65" s="16"/>
      <c r="O65" s="1"/>
    </row>
    <row r="66" spans="1:15" ht="15.75" customHeight="1" x14ac:dyDescent="0.25">
      <c r="A66" s="4"/>
      <c r="B66" s="4"/>
      <c r="C66" s="4"/>
      <c r="D66" s="41"/>
      <c r="E66" s="42"/>
      <c r="F66" s="2"/>
      <c r="G66" s="2"/>
      <c r="N66" s="16"/>
      <c r="O66" s="1"/>
    </row>
    <row r="67" spans="1:15" ht="15.75" customHeight="1" x14ac:dyDescent="0.25">
      <c r="A67" s="4"/>
      <c r="B67" s="4"/>
      <c r="C67" s="4"/>
      <c r="D67" s="41"/>
      <c r="E67" s="42"/>
      <c r="F67" s="2"/>
      <c r="G67" s="2"/>
      <c r="N67" s="16"/>
      <c r="O67" s="1"/>
    </row>
    <row r="68" spans="1:15" ht="15.75" customHeight="1" x14ac:dyDescent="0.25">
      <c r="A68" s="4"/>
      <c r="B68" s="4"/>
      <c r="C68" s="4"/>
      <c r="D68" s="41"/>
      <c r="E68" s="42"/>
      <c r="F68" s="2"/>
      <c r="G68" s="2"/>
      <c r="N68" s="16"/>
      <c r="O68" s="1"/>
    </row>
    <row r="69" spans="1:15" ht="15.75" customHeight="1" x14ac:dyDescent="0.25">
      <c r="A69" s="4"/>
      <c r="B69" s="4"/>
      <c r="C69" s="4"/>
      <c r="D69" s="41"/>
      <c r="E69" s="42"/>
      <c r="F69" s="2"/>
      <c r="G69" s="2"/>
      <c r="N69" s="16"/>
      <c r="O69" s="1"/>
    </row>
    <row r="70" spans="1:15" ht="15.75" customHeight="1" x14ac:dyDescent="0.25">
      <c r="A70" s="4"/>
      <c r="B70" s="4"/>
      <c r="C70" s="4"/>
      <c r="D70" s="41"/>
      <c r="E70" s="42"/>
      <c r="F70" s="2"/>
      <c r="G70" s="2"/>
      <c r="N70" s="16"/>
      <c r="O70" s="1"/>
    </row>
    <row r="71" spans="1:15" ht="15.75" customHeight="1" x14ac:dyDescent="0.25">
      <c r="A71" s="4"/>
      <c r="B71" s="4"/>
      <c r="C71" s="4"/>
      <c r="D71" s="41"/>
      <c r="E71" s="42"/>
      <c r="F71" s="2"/>
      <c r="G71" s="2"/>
      <c r="N71" s="16"/>
      <c r="O71" s="1"/>
    </row>
    <row r="72" spans="1:15" ht="15.75" customHeight="1" x14ac:dyDescent="0.25">
      <c r="A72" s="4"/>
      <c r="B72" s="4"/>
      <c r="C72" s="4"/>
      <c r="D72" s="41"/>
      <c r="E72" s="42"/>
      <c r="F72" s="2"/>
      <c r="G72" s="2"/>
      <c r="N72" s="16"/>
      <c r="O72" s="1"/>
    </row>
    <row r="73" spans="1:15" ht="15.75" customHeight="1" x14ac:dyDescent="0.25">
      <c r="A73" s="4"/>
      <c r="B73" s="4"/>
      <c r="C73" s="4"/>
      <c r="D73" s="41"/>
      <c r="E73" s="42"/>
      <c r="F73" s="2"/>
      <c r="G73" s="2"/>
      <c r="N73" s="16"/>
      <c r="O73" s="1"/>
    </row>
    <row r="74" spans="1:15" ht="15.75" customHeight="1" x14ac:dyDescent="0.25">
      <c r="A74" s="4"/>
      <c r="B74" s="4"/>
      <c r="C74" s="4"/>
      <c r="D74" s="41"/>
      <c r="E74" s="42"/>
      <c r="F74" s="2"/>
      <c r="G74" s="2"/>
      <c r="N74" s="16"/>
      <c r="O74" s="1"/>
    </row>
    <row r="75" spans="1:15" ht="15.75" customHeight="1" x14ac:dyDescent="0.25">
      <c r="A75" s="4"/>
      <c r="B75" s="4"/>
      <c r="C75" s="4"/>
      <c r="D75" s="41"/>
      <c r="E75" s="42"/>
      <c r="F75" s="2"/>
      <c r="G75" s="2"/>
      <c r="N75" s="16"/>
      <c r="O75" s="1"/>
    </row>
    <row r="76" spans="1:15" ht="15.75" customHeight="1" x14ac:dyDescent="0.2">
      <c r="A76" s="4"/>
      <c r="B76" s="4"/>
      <c r="C76" s="4"/>
      <c r="D76" s="41"/>
      <c r="N76" s="16"/>
      <c r="O76" s="1"/>
    </row>
    <row r="77" spans="1:15" x14ac:dyDescent="0.2">
      <c r="N77" s="16"/>
    </row>
    <row r="78" spans="1:15" x14ac:dyDescent="0.2">
      <c r="N78" s="16"/>
    </row>
    <row r="79" spans="1:15" x14ac:dyDescent="0.2">
      <c r="A79" s="1" t="s">
        <v>504</v>
      </c>
      <c r="H79" s="39" t="s">
        <v>30</v>
      </c>
      <c r="N79" s="16"/>
      <c r="O79" s="1"/>
    </row>
    <row r="80" spans="1:15" x14ac:dyDescent="0.2">
      <c r="B80" s="1">
        <f>'Datos de Ensayos'!F82</f>
        <v>0</v>
      </c>
      <c r="C80" s="1" t="str">
        <f>'Datos de Ensayos'!F68</f>
        <v>kg</v>
      </c>
      <c r="E80" s="3" t="e">
        <f>'Datos de Ensayos'!#REF!</f>
        <v>#REF!</v>
      </c>
      <c r="H80" s="43">
        <v>2</v>
      </c>
      <c r="N80" s="16"/>
      <c r="O80" s="1"/>
    </row>
    <row r="81" spans="1:15" x14ac:dyDescent="0.2">
      <c r="A81" s="1" t="s">
        <v>505</v>
      </c>
      <c r="N81" s="16"/>
      <c r="O81" s="1"/>
    </row>
    <row r="82" spans="1:15" x14ac:dyDescent="0.2">
      <c r="B82" s="5" t="str">
        <f>TEXT('Datos de Ensayos'!E68,"0")</f>
        <v>10000</v>
      </c>
      <c r="C82" s="1" t="str">
        <f>'Datos de Ensayos'!F68</f>
        <v>kg</v>
      </c>
      <c r="E82" s="3" t="str">
        <f>+'Datos de Ensayos'!H112</f>
        <v>kg</v>
      </c>
      <c r="N82" s="16"/>
      <c r="O82" s="1"/>
    </row>
    <row r="83" spans="1:15" x14ac:dyDescent="0.2">
      <c r="N83" s="16"/>
    </row>
    <row r="84" spans="1:15" x14ac:dyDescent="0.2">
      <c r="N84" s="16"/>
    </row>
    <row r="85" spans="1:15" x14ac:dyDescent="0.2">
      <c r="A85" s="1" t="e">
        <f>IF(#REF!=0,"El instrumento cumple con las tolerancias establecidas en el punto 9.1.1. de la Resolución 2307 de la Secretaría de Comercio ","El instrumento no cumple con las tolerancias establecidas en el punto 9.1.1. de la Resolución 2307 de la Secretaría de Comercio")</f>
        <v>#REF!</v>
      </c>
      <c r="N85" s="16"/>
      <c r="O85" s="1"/>
    </row>
    <row r="86" spans="1:15" x14ac:dyDescent="0.2">
      <c r="N86" s="16"/>
    </row>
    <row r="87" spans="1:15" x14ac:dyDescent="0.2">
      <c r="N87" s="16"/>
    </row>
    <row r="88" spans="1:15" x14ac:dyDescent="0.2">
      <c r="N88" s="16"/>
      <c r="O88" s="1"/>
    </row>
    <row r="89" spans="1:15" ht="15" customHeight="1" x14ac:dyDescent="0.2">
      <c r="A89" s="1003" t="s">
        <v>506</v>
      </c>
      <c r="B89" s="995"/>
      <c r="C89" s="995"/>
      <c r="D89" s="996"/>
      <c r="E89" s="997"/>
      <c r="F89" s="995"/>
      <c r="G89" s="995"/>
      <c r="H89" s="997"/>
      <c r="N89" s="16"/>
      <c r="O89" s="1"/>
    </row>
    <row r="90" spans="1:15" x14ac:dyDescent="0.2">
      <c r="A90" s="995"/>
      <c r="B90" s="995"/>
      <c r="C90" s="995"/>
      <c r="D90" s="996"/>
      <c r="E90" s="997"/>
      <c r="F90" s="995"/>
      <c r="G90" s="995"/>
      <c r="H90" s="997"/>
      <c r="N90" s="16"/>
      <c r="O90" s="1"/>
    </row>
    <row r="91" spans="1:15" x14ac:dyDescent="0.2">
      <c r="A91" s="995"/>
      <c r="B91" s="995"/>
      <c r="C91" s="995"/>
      <c r="D91" s="996"/>
      <c r="E91" s="997"/>
      <c r="F91" s="995"/>
      <c r="G91" s="995"/>
      <c r="H91" s="997"/>
      <c r="N91" s="16"/>
      <c r="O91" s="1"/>
    </row>
    <row r="92" spans="1:15" x14ac:dyDescent="0.2">
      <c r="A92" s="995"/>
      <c r="B92" s="995"/>
      <c r="C92" s="995"/>
      <c r="D92" s="996"/>
      <c r="E92" s="997"/>
      <c r="F92" s="995"/>
      <c r="G92" s="995"/>
      <c r="H92" s="997"/>
      <c r="N92" s="16"/>
      <c r="O92" s="1"/>
    </row>
    <row r="93" spans="1:15" x14ac:dyDescent="0.2">
      <c r="A93" s="995"/>
      <c r="B93" s="995"/>
      <c r="C93" s="995"/>
      <c r="D93" s="996"/>
      <c r="E93" s="997"/>
      <c r="F93" s="995"/>
      <c r="G93" s="995"/>
      <c r="H93" s="997"/>
      <c r="N93" s="16"/>
      <c r="O93" s="1"/>
    </row>
    <row r="94" spans="1:15" x14ac:dyDescent="0.2">
      <c r="A94" s="995"/>
      <c r="B94" s="995"/>
      <c r="C94" s="995"/>
      <c r="D94" s="996"/>
      <c r="E94" s="997"/>
      <c r="F94" s="995"/>
      <c r="G94" s="995"/>
      <c r="H94" s="997"/>
      <c r="N94" s="16"/>
      <c r="O94" s="1"/>
    </row>
    <row r="95" spans="1:15" x14ac:dyDescent="0.2">
      <c r="A95" s="1003" t="s">
        <v>507</v>
      </c>
      <c r="B95" s="995"/>
      <c r="C95" s="995"/>
      <c r="D95" s="996"/>
      <c r="E95" s="997"/>
      <c r="F95" s="995"/>
      <c r="G95" s="995"/>
      <c r="H95" s="997"/>
      <c r="N95" s="16"/>
      <c r="O95" s="1"/>
    </row>
    <row r="96" spans="1:15" x14ac:dyDescent="0.2">
      <c r="A96" s="995"/>
      <c r="B96" s="995"/>
      <c r="C96" s="995"/>
      <c r="D96" s="996"/>
      <c r="E96" s="997"/>
      <c r="F96" s="995"/>
      <c r="G96" s="995"/>
      <c r="H96" s="997"/>
      <c r="N96" s="16"/>
      <c r="O96" s="1"/>
    </row>
    <row r="97" spans="1:15" x14ac:dyDescent="0.2">
      <c r="A97" s="995"/>
      <c r="B97" s="995"/>
      <c r="C97" s="995"/>
      <c r="D97" s="996"/>
      <c r="E97" s="997"/>
      <c r="F97" s="995"/>
      <c r="G97" s="995"/>
      <c r="H97" s="997"/>
      <c r="N97" s="16"/>
      <c r="O97" s="1"/>
    </row>
    <row r="98" spans="1:15" x14ac:dyDescent="0.2">
      <c r="A98" s="995"/>
      <c r="B98" s="995"/>
      <c r="C98" s="995"/>
      <c r="D98" s="996"/>
      <c r="E98" s="997"/>
      <c r="F98" s="995"/>
      <c r="G98" s="995"/>
      <c r="H98" s="997"/>
      <c r="N98" s="16"/>
      <c r="O98" s="1"/>
    </row>
    <row r="99" spans="1:15" x14ac:dyDescent="0.2">
      <c r="A99" s="995"/>
      <c r="B99" s="995"/>
      <c r="C99" s="995"/>
      <c r="D99" s="996"/>
      <c r="E99" s="997"/>
      <c r="F99" s="995"/>
      <c r="G99" s="995"/>
      <c r="H99" s="997"/>
      <c r="N99" s="16"/>
      <c r="O99" s="1"/>
    </row>
    <row r="100" spans="1:15" x14ac:dyDescent="0.2">
      <c r="N100" s="16"/>
      <c r="O100" s="1"/>
    </row>
    <row r="101" spans="1:15" x14ac:dyDescent="0.2">
      <c r="N101" s="16"/>
      <c r="O101" s="1"/>
    </row>
    <row r="102" spans="1:15" x14ac:dyDescent="0.2">
      <c r="N102" s="16"/>
    </row>
    <row r="103" spans="1:15" x14ac:dyDescent="0.2">
      <c r="N103" s="16"/>
    </row>
    <row r="104" spans="1:15" x14ac:dyDescent="0.2">
      <c r="N104" s="16"/>
    </row>
    <row r="105" spans="1:15" x14ac:dyDescent="0.2">
      <c r="N105" s="16"/>
    </row>
    <row r="106" spans="1:15" x14ac:dyDescent="0.2">
      <c r="N106" s="16"/>
    </row>
    <row r="107" spans="1:15" x14ac:dyDescent="0.2">
      <c r="N107" s="16"/>
    </row>
    <row r="108" spans="1:15" x14ac:dyDescent="0.2">
      <c r="N108" s="16"/>
    </row>
    <row r="109" spans="1:15" x14ac:dyDescent="0.2">
      <c r="N109" s="16"/>
    </row>
    <row r="110" spans="1:15" x14ac:dyDescent="0.2">
      <c r="N110" s="16"/>
    </row>
    <row r="111" spans="1:15" x14ac:dyDescent="0.2">
      <c r="N111" s="16"/>
    </row>
    <row r="112" spans="1:15" x14ac:dyDescent="0.2">
      <c r="N112" s="16"/>
    </row>
    <row r="113" spans="14:14" x14ac:dyDescent="0.2">
      <c r="N113" s="16"/>
    </row>
    <row r="114" spans="14:14" x14ac:dyDescent="0.2">
      <c r="N114" s="16"/>
    </row>
    <row r="115" spans="14:14" x14ac:dyDescent="0.2">
      <c r="N115" s="16"/>
    </row>
    <row r="116" spans="14:14" x14ac:dyDescent="0.2">
      <c r="N116" s="16"/>
    </row>
    <row r="117" spans="14:14" x14ac:dyDescent="0.2">
      <c r="N117" s="16"/>
    </row>
    <row r="118" spans="14:14" x14ac:dyDescent="0.2">
      <c r="N118" s="16"/>
    </row>
    <row r="119" spans="14:14" x14ac:dyDescent="0.2">
      <c r="N119" s="16"/>
    </row>
    <row r="120" spans="14:14" x14ac:dyDescent="0.2">
      <c r="N120" s="16"/>
    </row>
    <row r="121" spans="14:14" x14ac:dyDescent="0.2">
      <c r="N121" s="16"/>
    </row>
  </sheetData>
  <mergeCells count="67">
    <mergeCell ref="C1:H1"/>
    <mergeCell ref="A95:H99"/>
    <mergeCell ref="D30:H30"/>
    <mergeCell ref="B24:C24"/>
    <mergeCell ref="B20:C20"/>
    <mergeCell ref="G25:H25"/>
    <mergeCell ref="D23:E23"/>
    <mergeCell ref="D29:H29"/>
    <mergeCell ref="D26:E26"/>
    <mergeCell ref="B34:H34"/>
    <mergeCell ref="A30:C30"/>
    <mergeCell ref="A17:B17"/>
    <mergeCell ref="A32:H32"/>
    <mergeCell ref="D3:E3"/>
    <mergeCell ref="A8:H8"/>
    <mergeCell ref="G26:H26"/>
    <mergeCell ref="A4:H4"/>
    <mergeCell ref="G20:H20"/>
    <mergeCell ref="D24:E24"/>
    <mergeCell ref="A10:H10"/>
    <mergeCell ref="A13:H13"/>
    <mergeCell ref="M25:T25"/>
    <mergeCell ref="A19:C19"/>
    <mergeCell ref="J20:K20"/>
    <mergeCell ref="N15:S15"/>
    <mergeCell ref="G24:H24"/>
    <mergeCell ref="J21:K21"/>
    <mergeCell ref="I22:O22"/>
    <mergeCell ref="J23:K23"/>
    <mergeCell ref="L24:T24"/>
    <mergeCell ref="J24:K24"/>
    <mergeCell ref="D25:E25"/>
    <mergeCell ref="A29:C29"/>
    <mergeCell ref="A27:H27"/>
    <mergeCell ref="A18:H18"/>
    <mergeCell ref="A28:C28"/>
    <mergeCell ref="A12:H12"/>
    <mergeCell ref="A14:H14"/>
    <mergeCell ref="D19:E19"/>
    <mergeCell ref="B25:C25"/>
    <mergeCell ref="B33:H33"/>
    <mergeCell ref="A1:B1"/>
    <mergeCell ref="A89:H94"/>
    <mergeCell ref="A26:C26"/>
    <mergeCell ref="A6:H6"/>
    <mergeCell ref="D21:E21"/>
    <mergeCell ref="B21:C21"/>
    <mergeCell ref="D28:F28"/>
    <mergeCell ref="G22:H22"/>
    <mergeCell ref="A7:H7"/>
    <mergeCell ref="B35:H35"/>
    <mergeCell ref="A16:H16"/>
    <mergeCell ref="A5:F5"/>
    <mergeCell ref="G19:H19"/>
    <mergeCell ref="B23:C23"/>
    <mergeCell ref="G28:H28"/>
    <mergeCell ref="N5:S5"/>
    <mergeCell ref="B22:C22"/>
    <mergeCell ref="A11:H11"/>
    <mergeCell ref="D22:E22"/>
    <mergeCell ref="G23:H23"/>
    <mergeCell ref="C17:H17"/>
    <mergeCell ref="G5:H5"/>
    <mergeCell ref="A9:H9"/>
    <mergeCell ref="D20:E20"/>
    <mergeCell ref="G21:H21"/>
    <mergeCell ref="A15:H15"/>
  </mergeCells>
  <conditionalFormatting sqref="J19">
    <cfRule type="expression" dxfId="21" priority="21" stopIfTrue="1">
      <formula>$L$19&gt;0</formula>
    </cfRule>
  </conditionalFormatting>
  <conditionalFormatting sqref="J20">
    <cfRule type="expression" dxfId="20" priority="20" stopIfTrue="1">
      <formula>$L$20&gt;0</formula>
    </cfRule>
  </conditionalFormatting>
  <conditionalFormatting sqref="J21 J25:K27">
    <cfRule type="expression" dxfId="19" priority="19" stopIfTrue="1">
      <formula>$L$21&gt;0</formula>
    </cfRule>
  </conditionalFormatting>
  <conditionalFormatting sqref="J23">
    <cfRule type="expression" dxfId="18" priority="23" stopIfTrue="1">
      <formula>$L$23&gt;0</formula>
    </cfRule>
  </conditionalFormatting>
  <conditionalFormatting sqref="J24:K24">
    <cfRule type="expression" dxfId="17" priority="24" stopIfTrue="1">
      <formula>$L$24&gt;0</formula>
    </cfRule>
  </conditionalFormatting>
  <printOptions horizontalCentered="1" verticalCentered="1"/>
  <pageMargins left="0.39370078740157483" right="0.39370078740157483" top="0.59055118110236227" bottom="1.5748031496062993" header="0.59055118110236227" footer="1.1811023622047245"/>
  <pageSetup paperSize="9" scale="80" orientation="portrait" r:id="rId1"/>
  <headerFooter alignWithMargins="0"/>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Hoja9"/>
  <dimension ref="A1:L2"/>
  <sheetViews>
    <sheetView zoomScaleNormal="100" workbookViewId="0">
      <selection activeCell="E1" sqref="E1"/>
    </sheetView>
  </sheetViews>
  <sheetFormatPr baseColWidth="10" defaultColWidth="10.7109375" defaultRowHeight="12.75" x14ac:dyDescent="0.2"/>
  <cols>
    <col min="1" max="9" width="17" style="715" customWidth="1"/>
    <col min="10" max="10" width="18.28515625" style="715" customWidth="1"/>
    <col min="11" max="12" width="17" style="715" customWidth="1"/>
  </cols>
  <sheetData>
    <row r="1" spans="1:12" s="26" customFormat="1" ht="75" customHeight="1" x14ac:dyDescent="0.25">
      <c r="A1" s="721" t="s">
        <v>508</v>
      </c>
      <c r="B1" s="721" t="s">
        <v>509</v>
      </c>
      <c r="C1" s="721" t="s">
        <v>510</v>
      </c>
      <c r="D1" s="721" t="s">
        <v>511</v>
      </c>
      <c r="E1" s="721" t="s">
        <v>512</v>
      </c>
      <c r="F1" s="721" t="s">
        <v>513</v>
      </c>
      <c r="G1" s="721" t="s">
        <v>514</v>
      </c>
      <c r="H1" s="721" t="s">
        <v>515</v>
      </c>
      <c r="I1" s="721" t="s">
        <v>516</v>
      </c>
      <c r="J1" s="721" t="s">
        <v>517</v>
      </c>
      <c r="K1" s="721" t="s">
        <v>518</v>
      </c>
      <c r="L1" s="720" t="s">
        <v>519</v>
      </c>
    </row>
    <row r="2" spans="1:12" s="26" customFormat="1" ht="138" customHeight="1" x14ac:dyDescent="0.2">
      <c r="A2" s="722" t="str">
        <f>'Identificación del Instrumento'!B33</f>
        <v>Acarayé S.A.</v>
      </c>
      <c r="B2" s="722" t="str">
        <f>'Identificación del Instrumento'!B34</f>
        <v>30-70790202-3</v>
      </c>
      <c r="C2" s="723" t="s">
        <v>520</v>
      </c>
      <c r="D2" s="724" t="str">
        <f>+Informe!A6</f>
        <v>Instrumento:  Balanza para pesar camiones, de capacidad máxima 80000 kg, mínima división 20 kg, clase III, de tipo electrónica.</v>
      </c>
      <c r="E2" s="724" t="str">
        <f>Informe!A8</f>
        <v>Marca: BIANCHETTI</v>
      </c>
      <c r="F2" s="724" t="str">
        <f>Informe!A9</f>
        <v>Modelo:  Receptor: TruckTRONIX 8020 / Indicador: PB 10.000</v>
      </c>
      <c r="G2" s="724" t="str">
        <f>Informe!A11</f>
        <v>Origen: Argentina</v>
      </c>
      <c r="H2" s="724" t="str">
        <f>Informe!A10</f>
        <v>Número de serie:  Receptor: 28082017214 / Indicador: 28082017215</v>
      </c>
      <c r="I2" s="724" t="str">
        <f>Informe!A16</f>
        <v>Lugar de instalación: Zona de pesaje - RUTA PROVINCIAL Nº 20 S/N de la localidad de COSTA DE ARAUJO, provincia de Mendoza.</v>
      </c>
      <c r="J2" s="725" t="s">
        <v>520</v>
      </c>
      <c r="K2" s="724" t="s">
        <v>521</v>
      </c>
      <c r="L2" s="724" t="str">
        <f>+Informe!A5</f>
        <v>N° O.T.: 307-64088</v>
      </c>
    </row>
  </sheetData>
  <pageMargins left="0.7" right="0.7" top="0.75" bottom="0.75" header="0.3" footer="0.3"/>
  <pageSetup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Hoja10">
    <pageSetUpPr fitToPage="1"/>
  </sheetPr>
  <dimension ref="A1:T50"/>
  <sheetViews>
    <sheetView topLeftCell="A18" zoomScale="115" zoomScaleNormal="115" workbookViewId="0">
      <selection activeCell="F26" sqref="F26"/>
    </sheetView>
  </sheetViews>
  <sheetFormatPr baseColWidth="10" defaultColWidth="10.7109375" defaultRowHeight="12.75" x14ac:dyDescent="0.2"/>
  <cols>
    <col min="1" max="1" width="40.85546875" customWidth="1"/>
    <col min="9" max="9" width="9.85546875" customWidth="1"/>
  </cols>
  <sheetData>
    <row r="1" spans="1:20" x14ac:dyDescent="0.2">
      <c r="F1" s="1023" t="s">
        <v>522</v>
      </c>
      <c r="G1" s="841"/>
      <c r="H1" s="1025">
        <f ca="1">TODAY()</f>
        <v>46009</v>
      </c>
      <c r="I1" s="841"/>
    </row>
    <row r="2" spans="1:20" x14ac:dyDescent="0.2">
      <c r="F2" s="1023" t="s">
        <v>523</v>
      </c>
      <c r="G2" s="841"/>
      <c r="H2" s="1024" t="str">
        <f>+Informe!D30</f>
        <v>1 de enero de 2027</v>
      </c>
      <c r="I2" s="841"/>
    </row>
    <row r="4" spans="1:20" x14ac:dyDescent="0.2">
      <c r="M4" s="1005"/>
      <c r="N4" s="841"/>
      <c r="O4" s="841"/>
      <c r="P4" s="841"/>
      <c r="Q4" s="841"/>
      <c r="R4" s="841"/>
      <c r="S4" s="841"/>
      <c r="T4" s="841"/>
    </row>
    <row r="8" spans="1:20" ht="39" customHeight="1" x14ac:dyDescent="0.2">
      <c r="A8" s="1028" t="s">
        <v>524</v>
      </c>
      <c r="B8" s="841"/>
      <c r="C8" s="841"/>
      <c r="D8" s="841"/>
      <c r="E8" s="841"/>
      <c r="F8" s="841"/>
      <c r="G8" s="841"/>
      <c r="H8" s="841"/>
      <c r="I8" s="841"/>
    </row>
    <row r="9" spans="1:20" hidden="1" x14ac:dyDescent="0.2"/>
    <row r="10" spans="1:20" hidden="1" x14ac:dyDescent="0.2"/>
    <row r="11" spans="1:20" hidden="1" x14ac:dyDescent="0.2"/>
    <row r="12" spans="1:20" ht="105.75" customHeight="1" x14ac:dyDescent="0.2">
      <c r="A12" s="794" t="str">
        <f>CONCATENATE(
  "En virtud de la presentación realizada por la firma ",
  'Identificación del Instrumento'!B33,
  ", C.U.I.T. Nº ", 'Identificación del Instrumento'!B34,
  " habiéndose analizado los antecedentes y considerando que se han cumplido con los requisitos establecidos, se certifica que el instrumento presentado a la Verificación periódica, reúne los requisitos establecidos en la Resolución ex - S. C. I. Nº 611/2019",
  " y sus modificatorias y cumple con las especificaciones y tolerancias establecidas en el Reglamento Técnico y Metrológico Aplicable, según los “Informes de Ensayos” correspondiente a los Números:",
  'Identificación del Instrumento'!B4, ", emitido por el laboratorio INTI -DT Metrología Legal "
)</f>
        <v xml:space="preserve">En virtud de la presentación realizada por la firma Acarayé S.A., C.U.I.T. Nº 30-70790202-3 habiéndose analizado los antecedentes y considerando que se han cumplido con los requisitos establecidos, se certifica que el instrumento presentado a la Verificación periódica, reúne los requisitos establecidos en la Resolución ex - S. C. I. Nº 611/2019 y sus modificatorias y cumple con las especificaciones y tolerancias establecidas en el Reglamento Técnico y Metrológico Aplicable, según los “Informes de Ensayos” correspondiente a los Números:307-64088, emitido por el laboratorio INTI -DT Metrología Legal </v>
      </c>
      <c r="B12" s="841"/>
      <c r="C12" s="841"/>
      <c r="D12" s="841"/>
      <c r="E12" s="841"/>
      <c r="F12" s="841"/>
      <c r="G12" s="841"/>
      <c r="H12" s="841"/>
      <c r="I12" s="841"/>
    </row>
    <row r="14" spans="1:20" ht="15" customHeight="1" x14ac:dyDescent="0.2">
      <c r="A14" s="416" t="str">
        <f>+Informe!A7</f>
        <v>Fabricante / importador:  Receptor: INDUSTRIAL SYSTEMS S.A. / Indicador: INDUSTRIAL SYSTEMS S.A.</v>
      </c>
    </row>
    <row r="15" spans="1:20" ht="15" customHeight="1" x14ac:dyDescent="0.2">
      <c r="A15" s="416" t="str">
        <f>+Informe!A6</f>
        <v>Instrumento:  Balanza para pesar camiones, de capacidad máxima 80000 kg, mínima división 20 kg, clase III, de tipo electrónica.</v>
      </c>
    </row>
    <row r="16" spans="1:20" s="416" customFormat="1" ht="15" customHeight="1" x14ac:dyDescent="0.2">
      <c r="A16" s="416" t="str">
        <f>Informe!A8</f>
        <v>Marca: BIANCHETTI</v>
      </c>
    </row>
    <row r="17" spans="1:3" s="416" customFormat="1" ht="15" customHeight="1" x14ac:dyDescent="0.2">
      <c r="A17" s="416" t="str">
        <f>+Informe!A9</f>
        <v>Modelo:  Receptor: TruckTRONIX 8020 / Indicador: PB 10.000</v>
      </c>
    </row>
    <row r="18" spans="1:3" s="416" customFormat="1" ht="15" customHeight="1" x14ac:dyDescent="0.2">
      <c r="A18" s="416" t="str">
        <f>+Informe!A10</f>
        <v>Número de serie:  Receptor: 28082017214 / Indicador: 28082017215</v>
      </c>
    </row>
    <row r="19" spans="1:3" s="416" customFormat="1" ht="15" customHeight="1" x14ac:dyDescent="0.2">
      <c r="A19" s="416" t="str">
        <f>Informe!A11</f>
        <v>Origen: Argentina</v>
      </c>
    </row>
    <row r="20" spans="1:3" ht="15" customHeight="1" x14ac:dyDescent="0.2">
      <c r="A20" s="416" t="s">
        <v>525</v>
      </c>
    </row>
    <row r="21" spans="1:3" ht="15" customHeight="1" x14ac:dyDescent="0.2">
      <c r="A21" s="416" t="s">
        <v>526</v>
      </c>
      <c r="B21" s="416"/>
    </row>
    <row r="22" spans="1:3" ht="15" customHeight="1" x14ac:dyDescent="0.2">
      <c r="A22" s="416"/>
      <c r="B22" s="416" t="s">
        <v>527</v>
      </c>
      <c r="C22" s="36">
        <f>'Identificación del Instrumento'!D29</f>
        <v>80000</v>
      </c>
    </row>
    <row r="23" spans="1:3" ht="15" customHeight="1" x14ac:dyDescent="0.2">
      <c r="A23" s="416"/>
      <c r="B23" s="416" t="s">
        <v>528</v>
      </c>
      <c r="C23" s="36">
        <f>'Identificación del Instrumento'!F29</f>
        <v>1000</v>
      </c>
    </row>
    <row r="24" spans="1:3" ht="15" customHeight="1" x14ac:dyDescent="0.2">
      <c r="A24" s="416"/>
      <c r="B24" s="416" t="s">
        <v>529</v>
      </c>
      <c r="C24" s="36">
        <f>'Identificación del Instrumento'!B30</f>
        <v>20</v>
      </c>
    </row>
    <row r="25" spans="1:3" ht="15" customHeight="1" x14ac:dyDescent="0.2">
      <c r="A25" s="416"/>
      <c r="B25" s="416" t="s">
        <v>362</v>
      </c>
      <c r="C25" s="716" t="str">
        <f>'Identificación del Instrumento'!F30</f>
        <v>III</v>
      </c>
    </row>
    <row r="26" spans="1:3" ht="15" customHeight="1" x14ac:dyDescent="0.2">
      <c r="A26" s="416" t="str">
        <f>Informe!A16</f>
        <v>Lugar de instalación: Zona de pesaje - RUTA PROVINCIAL Nº 20 S/N de la localidad de COSTA DE ARAUJO, provincia de Mendoza.</v>
      </c>
    </row>
    <row r="27" spans="1:3" ht="15" customHeight="1" x14ac:dyDescent="0.2">
      <c r="A27" s="416" t="s">
        <v>530</v>
      </c>
      <c r="B27" s="36" t="str">
        <f>+Informe!B33</f>
        <v>Marolio S.A.</v>
      </c>
    </row>
    <row r="28" spans="1:3" ht="15" customHeight="1" x14ac:dyDescent="0.2">
      <c r="A28" s="416" t="s">
        <v>531</v>
      </c>
      <c r="B28" s="416" t="s">
        <v>532</v>
      </c>
    </row>
    <row r="29" spans="1:3" ht="15" customHeight="1" x14ac:dyDescent="0.2">
      <c r="A29" s="416" t="s">
        <v>533</v>
      </c>
      <c r="B29" t="str">
        <f>Informe!D28</f>
        <v>1 de enero de 2025</v>
      </c>
    </row>
    <row r="30" spans="1:3" ht="15" customHeight="1" x14ac:dyDescent="0.2">
      <c r="A30" s="416" t="str">
        <f>Informe!A14</f>
        <v>Código de aprobación de modelo: Receptor  BF.80-2172 / Indicador BF.60-1624</v>
      </c>
    </row>
    <row r="31" spans="1:3" ht="15" customHeight="1" x14ac:dyDescent="0.2">
      <c r="A31" s="416" t="str">
        <f>Informe!A12</f>
        <v>N° de Aprobación de Modelo:  Receptor: 237/2010 / Indicador: 607/1999</v>
      </c>
      <c r="B31" s="416"/>
    </row>
    <row r="32" spans="1:3" ht="15" customHeight="1" x14ac:dyDescent="0.2">
      <c r="A32" s="416" t="str">
        <f>Informe!A13</f>
        <v>Fecha de Aprobación de Modelo:  Receptor: 8 de abril de 2010 / Indicador: 20 de mayo de 1999</v>
      </c>
    </row>
    <row r="33" spans="1:9" ht="15" customHeight="1" x14ac:dyDescent="0.2">
      <c r="A33" s="416" t="s">
        <v>534</v>
      </c>
      <c r="B33" s="416" t="s">
        <v>535</v>
      </c>
    </row>
    <row r="34" spans="1:9" ht="15" customHeight="1" x14ac:dyDescent="0.2">
      <c r="A34" s="416" t="s">
        <v>536</v>
      </c>
      <c r="B34" s="416" t="s">
        <v>535</v>
      </c>
    </row>
    <row r="35" spans="1:9" ht="15" customHeight="1" x14ac:dyDescent="0.2">
      <c r="A35" s="416" t="s">
        <v>537</v>
      </c>
      <c r="B35" s="416" t="s">
        <v>535</v>
      </c>
    </row>
    <row r="36" spans="1:9" ht="31.5" customHeight="1" x14ac:dyDescent="0.2">
      <c r="A36" s="416" t="s">
        <v>538</v>
      </c>
      <c r="B36" s="1026" t="str">
        <f>+Informe!A15</f>
        <v>Precintos Nº: Placa identificatoria del receptor (a) N03475, Placa identificatoria del indicador (a) N03474, Indicador (a) B79341, B79342 (05/11/25), Caja de ecualización (a) B739443, B79344 (05/11/25) y Verificado (a) 1104924 (05/11/25).</v>
      </c>
      <c r="C36" s="841"/>
      <c r="D36" s="841"/>
      <c r="E36" s="841"/>
      <c r="F36" s="841"/>
      <c r="G36" s="841"/>
      <c r="H36" s="841"/>
      <c r="I36" s="841"/>
    </row>
    <row r="37" spans="1:9" ht="15" customHeight="1" x14ac:dyDescent="0.2">
      <c r="A37" s="416" t="s">
        <v>539</v>
      </c>
      <c r="B37" s="1027" t="s">
        <v>540</v>
      </c>
      <c r="C37" s="841"/>
      <c r="D37" s="841"/>
      <c r="E37" s="841"/>
      <c r="F37" s="841"/>
      <c r="G37" s="841"/>
      <c r="H37" s="841"/>
      <c r="I37" s="841"/>
    </row>
    <row r="38" spans="1:9" ht="15" customHeight="1" x14ac:dyDescent="0.2">
      <c r="A38" s="416" t="s">
        <v>541</v>
      </c>
      <c r="B38" s="717"/>
    </row>
    <row r="41" spans="1:9" x14ac:dyDescent="0.2">
      <c r="H41" s="416" t="s">
        <v>542</v>
      </c>
    </row>
    <row r="50" spans="1:8" x14ac:dyDescent="0.2">
      <c r="A50" s="1005" t="str">
        <f>IF(OR(ISBLANK('Identificación del Instrumento'!B22),ISBLANK('Identificación del Instrumento'!D29),ISBLANK('Identificación del Instrumento'!D30),ISBLANK('Identificación del Instrumento'!F30)),"",CONCATENATE("Características metrológicas:    Máx.: ",'Datos de Ensayos'!I18," kg,","   e:dd: ",'Datos de Ensayos'!E18," kg,   clase: ",'Datos de Ensayos'!J17,""))</f>
        <v>Características metrológicas:    Máx.: 80000 kg,   e:dd: 20 kg,   clase: III</v>
      </c>
      <c r="B50" s="841"/>
      <c r="C50" s="841"/>
      <c r="D50" s="841"/>
      <c r="E50" s="841"/>
      <c r="F50" s="841"/>
      <c r="G50" s="841"/>
      <c r="H50" s="841"/>
    </row>
  </sheetData>
  <mergeCells count="10">
    <mergeCell ref="M4:T4"/>
    <mergeCell ref="A50:H50"/>
    <mergeCell ref="F2:G2"/>
    <mergeCell ref="H2:I2"/>
    <mergeCell ref="H1:I1"/>
    <mergeCell ref="B36:I36"/>
    <mergeCell ref="B37:I37"/>
    <mergeCell ref="A8:I8"/>
    <mergeCell ref="A12:I12"/>
    <mergeCell ref="F1:G1"/>
  </mergeCells>
  <pageMargins left="0.70866141732283472" right="0.70866141732283472" top="0.74803149606299213" bottom="0.74803149606299213" header="0.31496062992125978" footer="0.31496062992125978"/>
  <pageSetup paperSize="9" scale="68" orientation="portrait"/>
  <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Hoja7">
    <pageSetUpPr fitToPage="1"/>
  </sheetPr>
  <dimension ref="A1:AE67"/>
  <sheetViews>
    <sheetView view="pageBreakPreview" topLeftCell="A5" zoomScaleNormal="100" zoomScaleSheetLayoutView="100" workbookViewId="0">
      <selection activeCell="L10" sqref="L10:Q10"/>
    </sheetView>
  </sheetViews>
  <sheetFormatPr baseColWidth="10" defaultColWidth="10.7109375" defaultRowHeight="12.75" x14ac:dyDescent="0.2"/>
  <cols>
    <col min="1" max="8" width="12.7109375" customWidth="1"/>
    <col min="9" max="10" width="11.42578125" customWidth="1"/>
    <col min="11" max="11" width="15.140625" customWidth="1"/>
    <col min="12" max="12" width="17.140625" customWidth="1"/>
    <col min="13" max="13" width="11.42578125" customWidth="1"/>
    <col min="14" max="14" width="12.28515625" bestFit="1" customWidth="1"/>
    <col min="15" max="18" width="11.42578125" customWidth="1"/>
    <col min="19" max="19" width="16" customWidth="1"/>
    <col min="20" max="20" width="34.85546875" customWidth="1"/>
    <col min="22" max="22" width="35.140625" customWidth="1"/>
  </cols>
  <sheetData>
    <row r="1" spans="1:31" ht="15" hidden="1" customHeight="1" x14ac:dyDescent="0.2">
      <c r="A1" s="573"/>
      <c r="B1" s="573"/>
      <c r="C1" s="573"/>
      <c r="D1" s="573"/>
      <c r="E1" s="573"/>
      <c r="F1" s="573"/>
      <c r="G1" s="573"/>
      <c r="H1" s="573"/>
    </row>
    <row r="2" spans="1:31" ht="15" hidden="1" customHeight="1" x14ac:dyDescent="0.2">
      <c r="A2" s="573"/>
      <c r="B2" s="573"/>
      <c r="C2" s="573"/>
      <c r="D2" s="573"/>
      <c r="E2" s="573"/>
      <c r="F2" s="573"/>
      <c r="G2" s="573"/>
      <c r="H2" s="573"/>
    </row>
    <row r="3" spans="1:31" ht="15" customHeight="1" x14ac:dyDescent="0.2">
      <c r="A3" s="573"/>
      <c r="B3" s="573"/>
      <c r="C3" s="573"/>
      <c r="D3" s="573"/>
      <c r="E3" s="573"/>
      <c r="F3" s="573"/>
      <c r="G3" s="573"/>
      <c r="H3" s="573"/>
      <c r="N3" t="str">
        <f>CONCATENATE("En la localidad de ",'Identificación del Instrumento'!$D$4,", provincia de ",'Identificación del Instrumento'!$D$5,", siendo las ",$J$18," horas del día ",TEXT('Identificación del Instrumento'!J2,"d/mm/yyyy"),", en virtud de la solicitud y declaración jurada presentada por la firma ",'Identificación del Instrumento'!$C$14,", conforme el punto ",$J$27,"  de la Resolución Nº 611/2019 de la SECRETARÍA DE COMERCIO INTERIOR, el ",$T$18,", ",$T$19,", habilitado por el INSTITUTO NACIONAL DE TECNOLOGÍA INDUSTRIAL (I.N.T.I.), con credencial acreditante N° ",$T$20,", que en este acto se exhibe")</f>
        <v>En la localidad de COSTA DE ARAUJO, provincia de Mendoza, siendo las 15:00 horas del día 1 de enero de 2025, en virtud de la solicitud y declaración jurada presentada por la firma Marolio S.A., conforme el punto 1 del Cap. III del Anexo I  de la Resolución Nº 611/2019 de la SECRETARÍA DE COMERCIO INTERIOR, el Tco. Pablo Javier Siklosi A., D.N.I. N° 24.705.518, habilitado por el INSTITUTO NACIONAL DE TECNOLOGÍA INDUSTRIAL (I.N.T.I.), con credencial acreditante N° 96, que en este acto se exhibe</v>
      </c>
    </row>
    <row r="4" spans="1:31" ht="15" customHeight="1" x14ac:dyDescent="0.25">
      <c r="A4" s="573"/>
      <c r="B4" s="573"/>
      <c r="C4" s="573"/>
      <c r="D4" s="573"/>
      <c r="E4" s="573"/>
      <c r="F4" s="573"/>
      <c r="G4" s="573"/>
      <c r="H4" s="573"/>
      <c r="I4" s="480"/>
      <c r="N4" t="str">
        <f>CONCATENATE(", en ejecución y en ejercicio de las facultades conferidas por la ley Nº 19.511, "&amp;" el inciso l) del Artículo 2 del Decreto Reglamentario N° 960/2017, el inciso ",L28, " del Artículo 1 de la Resolución E 8/2018 del 10 de enero del 2018 de la Secretaría de Comercio y los puntos ",$J$26,"  ambos del Anexo I la citada Resolución Nº 611/2019, procede a hacerse presente en ",$J$23,"la firma citada, ubicada en ",$J$22,", siendo recibido por quien acredita ser ",$K$19,", ",$J$20," Nº ",$K$20,", quien se desempeña en la firma como ",$J$21," y suscribe este instrumento en prueba de conformidad.")</f>
        <v>, en ejecución y en ejercicio de las facultades conferidas por la ley Nº 19.511,  el inciso l) del Artículo 2 del Decreto Reglamentario N° 960/2017, el inciso a) del Artículo 1 de la Resolución E 8/2018 del 10 de enero del 2018 de la Secretaría de Comercio y los puntos 1 del Cap. I y 1 del Cap. III  ambos del Anexo I la citada Resolución Nº 611/2019, procede a hacerse presente en Zona de pesaje de la firma citada, ubicada en RUTA PROVINCIAL Nº 20 S/N, de la localidad de COSTA DE ARAUJO, provincia de Mendoza, siendo recibido por quien acredita ser Sr. Nievas Aldo Dario, D.N.I. Nº 21.038.713, quien se desempeña en la firma como Jefe de mantenimiento  y suscribe este instrumento en prueba de conformidad.</v>
      </c>
    </row>
    <row r="5" spans="1:31" ht="15" customHeight="1" x14ac:dyDescent="0.2">
      <c r="A5" s="573"/>
      <c r="B5" s="573"/>
      <c r="C5" s="573"/>
      <c r="D5" s="573"/>
      <c r="E5" s="573"/>
      <c r="F5" s="573"/>
      <c r="G5" s="573"/>
      <c r="H5" s="573"/>
      <c r="N5" t="str">
        <f>CONCATENATE("A continuación se deja constancia que la ",'Identificación del Instrumento'!B17," respecto de los siguientes elementos: ",'Identificación del Instrumento'!$B$22," de tipo ",'Identificación del Instrumento'!$F$23,", compuesta por una plataforma receptora de cargas ",$N$29,"marca ",'Identificación del Instrumento'!$B$24,", modelo ",'Identificación del Instrumento'!$B$25,", N° de serie ",'Identificación del Instrumento'!$B$26,", código de aprobación de modelo ",'Identificación del Instrumento'!$B$27,", e indicador ",$P$29," de cargas marca ",'Identificación del Instrumento'!$F$24,", modelo ",'Identificación del Instrumento'!$F$25,", N° de serie ",'Identificación del Instrumento'!$F$26,", código de aprobación de modelo ",'Identificación del Instrumento'!$F$27,";")</f>
        <v>A continuación se deja constancia que la VERIFICACIÓN PERIÓDICA respecto de los siguientes elementos: Balanza para pesar camiones de tipo electrónica, compuesta por una plataforma receptora de cargas marca BIANCHETTI, modelo TruckTRONIX 8020, N° de serie 28082017214, código de aprobación de modelo BF.80-2172, e indicador electrónico de cargas marca BIANCHETTI, modelo PB 10.000, N° de serie 28082017215, código de aprobación de modelo BF.60-1624;</v>
      </c>
    </row>
    <row r="6" spans="1:31" ht="15" customHeight="1" x14ac:dyDescent="0.25">
      <c r="A6" s="573"/>
      <c r="B6" s="573"/>
      <c r="C6" s="573"/>
      <c r="D6" s="573"/>
      <c r="E6" s="573"/>
      <c r="F6" s="573"/>
      <c r="G6" s="573"/>
      <c r="H6" s="573"/>
      <c r="J6" s="419"/>
      <c r="K6" s="419"/>
      <c r="L6" s="419"/>
      <c r="N6" t="str">
        <f>CONCATENATE(" características metrológicas: capacidad máxima Máx.= ",'Identificación del Instrumento'!$D$29," kg; capacidad mínima Mín. = ",'Identificación del Instrumento'!$F$29," kg; e=dd=dt=",'Identificación del Instrumento'!$D$30," kg; clase ",'Identificación del Instrumento'!$F$30,", prevista para el día de la fecha, se suspende por el siguiente motivo: ",'Informe Suspensión'!J16,".")</f>
        <v xml:space="preserve"> características metrológicas: capacidad máxima Máx.= 80000 kg; capacidad mínima Mín. = 1000 kg; e=dd=dt=20 kg; clase III, prevista para el día de la fecha, se suspende por el siguiente motivo: NO CUMPLE con el punto 9.1.1 de la Resolución S.C. y N.E.I. Nº 2307/80 (Errores de indicación).</v>
      </c>
    </row>
    <row r="7" spans="1:31" ht="15" customHeight="1" x14ac:dyDescent="0.2">
      <c r="A7" s="573"/>
      <c r="B7" s="573"/>
      <c r="C7" s="573"/>
      <c r="D7" s="573"/>
      <c r="E7" s="573"/>
      <c r="F7" s="573"/>
      <c r="G7" s="573"/>
      <c r="H7" s="573"/>
      <c r="N7" t="str">
        <f>CONCATENATE("Sin más,  se cierra el acto firmando como constancia el agente verificador y  ",$K$19," por la firma ",'Identificación del Instrumento'!$C$14,".")</f>
        <v>Sin más,  se cierra el acto firmando como constancia el agente verificador y  Sr. Nievas Aldo Dario por la firma Marolio S.A..</v>
      </c>
    </row>
    <row r="8" spans="1:31" ht="15" customHeight="1" thickBot="1" x14ac:dyDescent="0.25">
      <c r="A8" s="573"/>
      <c r="B8" s="573"/>
      <c r="C8" s="573"/>
      <c r="D8" s="573"/>
      <c r="E8" s="573"/>
      <c r="F8" s="573"/>
      <c r="G8" s="573"/>
      <c r="H8" s="573"/>
      <c r="N8" t="str">
        <f>CONCATENATE("Del presente se suscriben dos ejemplares de igual tenor, quedando uno en poder de ",$K$19," por la firma visitada.")</f>
        <v>Del presente se suscriben dos ejemplares de igual tenor, quedando uno en poder de Sr. Nievas Aldo Dario por la firma visitada.</v>
      </c>
    </row>
    <row r="9" spans="1:31" ht="15" hidden="1" customHeight="1" thickBot="1" x14ac:dyDescent="0.25">
      <c r="A9" s="573"/>
      <c r="B9" s="573"/>
      <c r="C9" s="573"/>
      <c r="D9" s="573"/>
      <c r="E9" s="573"/>
      <c r="F9" s="573"/>
      <c r="G9" s="573"/>
      <c r="H9" s="573"/>
    </row>
    <row r="10" spans="1:31" ht="15" customHeight="1" thickBot="1" x14ac:dyDescent="0.3">
      <c r="A10" s="573"/>
      <c r="B10" s="573"/>
      <c r="C10" s="573"/>
      <c r="D10" s="573"/>
      <c r="E10" s="573"/>
      <c r="F10" s="573"/>
      <c r="G10" s="573"/>
      <c r="H10" s="573"/>
      <c r="J10" s="1031" t="s">
        <v>543</v>
      </c>
      <c r="K10" s="836"/>
      <c r="L10" s="1034" t="s">
        <v>492</v>
      </c>
      <c r="M10" s="847"/>
      <c r="N10" s="847"/>
      <c r="O10" s="847"/>
      <c r="P10" s="847"/>
      <c r="Q10" s="858"/>
      <c r="R10" s="560"/>
      <c r="S10" s="560"/>
      <c r="T10" s="560"/>
      <c r="U10" s="560"/>
    </row>
    <row r="11" spans="1:31" ht="15" hidden="1" customHeight="1" x14ac:dyDescent="0.2">
      <c r="A11" s="573"/>
      <c r="B11" s="573"/>
      <c r="C11" s="573"/>
      <c r="D11" s="573"/>
      <c r="E11" s="573"/>
      <c r="F11" s="573"/>
      <c r="G11" s="573"/>
      <c r="H11" s="573"/>
      <c r="J11" s="828"/>
      <c r="K11" s="850"/>
    </row>
    <row r="12" spans="1:31" ht="15" hidden="1" customHeight="1" x14ac:dyDescent="0.2">
      <c r="A12" s="573"/>
      <c r="B12" s="573"/>
      <c r="C12" s="573"/>
      <c r="D12" s="573"/>
      <c r="E12" s="573"/>
      <c r="F12" s="573"/>
      <c r="G12" s="573"/>
      <c r="H12" s="573"/>
      <c r="J12" s="828"/>
      <c r="K12" s="850"/>
    </row>
    <row r="13" spans="1:31" ht="15" hidden="1" customHeight="1" x14ac:dyDescent="0.2">
      <c r="A13" s="573"/>
      <c r="B13" s="573"/>
      <c r="C13" s="573"/>
      <c r="D13" s="573"/>
      <c r="E13" s="573"/>
      <c r="F13" s="573"/>
      <c r="G13" s="573"/>
      <c r="H13" s="573"/>
      <c r="J13" s="828"/>
      <c r="K13" s="850"/>
      <c r="L13" s="67"/>
      <c r="M13" s="67"/>
      <c r="N13" s="67"/>
    </row>
    <row r="14" spans="1:31" ht="24" customHeight="1" thickBot="1" x14ac:dyDescent="0.3">
      <c r="A14" s="1038" t="str">
        <f>IF('Acta Verificación '!A31="¡LA BALANZA NO CUMPLE!"," ACTA ","NO IMPRIMIR")</f>
        <v>NO IMPRIMIR</v>
      </c>
      <c r="B14" s="841"/>
      <c r="C14" s="841"/>
      <c r="D14" s="841"/>
      <c r="E14" s="841"/>
      <c r="F14" s="841"/>
      <c r="G14" s="841"/>
      <c r="H14" s="841"/>
      <c r="J14" s="871"/>
      <c r="K14" s="843"/>
      <c r="L14" s="1030"/>
      <c r="M14" s="847"/>
      <c r="N14" s="847"/>
      <c r="O14" s="847"/>
      <c r="P14" s="847"/>
      <c r="Q14" s="858"/>
    </row>
    <row r="15" spans="1:31" ht="15" customHeight="1" thickBot="1" x14ac:dyDescent="0.25">
      <c r="A15" s="574"/>
      <c r="B15" s="574"/>
      <c r="C15" s="574"/>
      <c r="D15" s="574"/>
      <c r="E15" s="574"/>
      <c r="F15" s="574"/>
      <c r="G15" s="574"/>
      <c r="H15" s="574"/>
      <c r="AB15" s="663" t="s">
        <v>499</v>
      </c>
      <c r="AC15" s="663" t="str">
        <f t="shared" ref="AC15:AC28" si="0">CONCATENATE("NO CUMPLE con el ",AD15, " ",AE15)</f>
        <v>NO CUMPLE con el punto A.3.2.2  de la Resolución S.C. y N.E.I. Nº 2307/80 (Efecto máximo del dispositivo de puesta a cero).</v>
      </c>
      <c r="AD15" s="663" t="s">
        <v>544</v>
      </c>
      <c r="AE15" s="663" t="s">
        <v>545</v>
      </c>
    </row>
    <row r="16" spans="1:31" ht="15" customHeight="1" thickBot="1" x14ac:dyDescent="0.3">
      <c r="A16" s="964" t="str">
        <f>CONCATENATE("O.T. Nº: ",'Identificación del Instrumento'!B4,"           ",'Identificación del Instrumento'!A5,"  ",'Identificación del Instrumento'!B5)</f>
        <v>O.T. Nº: 307-64088           VPE Nº:  93084</v>
      </c>
      <c r="B16" s="841"/>
      <c r="C16" s="841"/>
      <c r="D16" s="841"/>
      <c r="E16" s="841"/>
      <c r="F16" s="841"/>
      <c r="G16" s="574"/>
      <c r="H16" s="574"/>
      <c r="J16" s="543" t="s">
        <v>410</v>
      </c>
      <c r="S16" s="1036" t="s">
        <v>546</v>
      </c>
      <c r="T16" s="836"/>
      <c r="V16" s="515" t="s">
        <v>412</v>
      </c>
      <c r="W16" s="515"/>
      <c r="X16" s="442"/>
      <c r="Y16" s="443"/>
      <c r="AB16" s="663" t="s">
        <v>492</v>
      </c>
      <c r="AC16" s="663" t="str">
        <f t="shared" si="0"/>
        <v>NO CUMPLE con el punto 9.1.1 de la Resolución S.C. y N.E.I. Nº 2307/80 (Errores de indicación)</v>
      </c>
      <c r="AD16" s="663" t="s">
        <v>547</v>
      </c>
      <c r="AE16" s="663" t="s">
        <v>548</v>
      </c>
    </row>
    <row r="17" spans="1:31" ht="15" customHeight="1" thickBot="1" x14ac:dyDescent="0.25">
      <c r="A17" s="574"/>
      <c r="B17" s="574"/>
      <c r="C17" s="574"/>
      <c r="D17" s="574"/>
      <c r="E17" s="574"/>
      <c r="F17" s="574"/>
      <c r="G17" s="574"/>
      <c r="H17" s="574"/>
      <c r="S17" s="871"/>
      <c r="T17" s="843"/>
      <c r="V17" s="514"/>
      <c r="W17" s="514"/>
      <c r="X17" s="335"/>
      <c r="Y17" s="444"/>
      <c r="AB17" s="663" t="s">
        <v>496</v>
      </c>
      <c r="AC17" s="663" t="str">
        <f t="shared" si="0"/>
        <v>NO CUMPLE con el punto 14.1.2 de la Resolución S.C. y N.E.I. Nº 2307/80 (Fidelidad).</v>
      </c>
      <c r="AD17" s="663" t="s">
        <v>549</v>
      </c>
      <c r="AE17" s="663" t="s">
        <v>550</v>
      </c>
    </row>
    <row r="18" spans="1:31" ht="15" customHeight="1" thickBot="1" x14ac:dyDescent="0.25">
      <c r="A18" s="960" t="str">
        <f>IF($J$28=6,CONCATENATE($N$3,$N$4),"¡Completar datos del acta!")</f>
        <v>En la localidad de COSTA DE ARAUJO, provincia de Mendoza, siendo las 15:00 horas del día 1 de enero de 2025, en virtud de la solicitud y declaración jurada presentada por la firma Marolio S.A., conforme el punto 1 del Cap. III del Anexo I  de la Resolución Nº 611/2019 de la SECRETARÍA DE COMERCIO INTERIOR, el Tco. Pablo Javier Siklosi A., D.N.I. N° 24.705.518, habilitado por el INSTITUTO NACIONAL DE TECNOLOGÍA INDUSTRIAL (I.N.T.I.), con credencial acreditante N° 96, que en este acto se exhibe, en ejecución y en ejercicio de las facultades conferidas por la ley Nº 19.511,  el inciso l) del Artículo 2 del Decreto Reglamentario N° 960/2017, el inciso a) del Artículo 1 de la Resolución E 8/2018 del 10 de enero del 2018 de la Secretaría de Comercio y los puntos 1 del Cap. I y 1 del Cap. III  ambos del Anexo I la citada Resolución Nº 611/2019, procede a hacerse presente en Zona de pesaje de la firma citada, ubicada en RUTA PROVINCIAL Nº 20 S/N, de la localidad de COSTA DE ARAUJO, provincia de Mendoza, siendo recibido por quien acredita ser Sr. Nievas Aldo Dario, D.N.I. Nº 21.038.713, quien se desempeña en la firma como Jefe de mantenimiento  y suscribe este instrumento en prueba de conformidad.</v>
      </c>
      <c r="B18" s="786"/>
      <c r="C18" s="786"/>
      <c r="D18" s="786"/>
      <c r="E18" s="786"/>
      <c r="F18" s="786"/>
      <c r="G18" s="786"/>
      <c r="H18" s="786"/>
      <c r="J18" s="1037" t="s">
        <v>551</v>
      </c>
      <c r="K18" s="948"/>
      <c r="L18" s="949"/>
      <c r="M18" s="564" t="s">
        <v>414</v>
      </c>
      <c r="N18" s="565"/>
      <c r="O18" s="565"/>
      <c r="P18" s="565"/>
      <c r="Q18" s="565"/>
      <c r="S18" s="544" t="s">
        <v>415</v>
      </c>
      <c r="T18" s="545" t="str">
        <f>IF(COUNTA('Datos de Ensayos'!$E$4)=1,'Datos de Ensayos'!$E$4,"")</f>
        <v>Tco. Pablo Javier Siklosi A.</v>
      </c>
      <c r="V18" s="512" t="s">
        <v>416</v>
      </c>
      <c r="W18" s="516" t="s">
        <v>552</v>
      </c>
      <c r="X18" s="335"/>
      <c r="Y18" s="444"/>
      <c r="AB18" s="663" t="s">
        <v>553</v>
      </c>
      <c r="AC18" s="663" t="str">
        <f t="shared" si="0"/>
        <v>NO CUMPLE con el punto 14.2.1.1 de la Resolución S.C. y N.E.I. Nº 2307/80 (Movilidad).</v>
      </c>
      <c r="AD18" s="663" t="s">
        <v>554</v>
      </c>
      <c r="AE18" s="663" t="s">
        <v>555</v>
      </c>
    </row>
    <row r="19" spans="1:31" ht="15" customHeight="1" thickBot="1" x14ac:dyDescent="0.25">
      <c r="A19" s="786"/>
      <c r="B19" s="786"/>
      <c r="C19" s="786"/>
      <c r="D19" s="786"/>
      <c r="E19" s="786"/>
      <c r="F19" s="786"/>
      <c r="G19" s="786"/>
      <c r="H19" s="786"/>
      <c r="J19" s="626"/>
      <c r="K19" s="1032" t="str">
        <f>'Acta Verificación '!K19:L19</f>
        <v>Sr. Nievas Aldo Dario</v>
      </c>
      <c r="L19" s="949"/>
      <c r="M19" s="564" t="s">
        <v>417</v>
      </c>
      <c r="N19" s="565"/>
      <c r="O19" s="565"/>
      <c r="P19" s="565"/>
      <c r="Q19" s="565"/>
      <c r="S19" s="546" t="s">
        <v>418</v>
      </c>
      <c r="T19" s="547" t="str">
        <f>IF($T$18&lt;&gt;"",VLOOKUP($T$18,'Datos de Ensayos'!$AC$3:$AF$34,2,FALSE),"")</f>
        <v>D.N.I. N° 24.705.518</v>
      </c>
      <c r="V19" s="512" t="s">
        <v>419</v>
      </c>
      <c r="W19" s="516" t="s">
        <v>556</v>
      </c>
      <c r="X19" s="335"/>
      <c r="Y19" s="444"/>
      <c r="AB19" s="663" t="s">
        <v>557</v>
      </c>
      <c r="AC19" s="663" t="str">
        <f t="shared" si="0"/>
        <v>NO CUMPLE con el punto 14.2.2.1.1 de la Resolución S.C. y N.E.I. Nº 2307/80 (Movilidad).</v>
      </c>
      <c r="AD19" s="663" t="s">
        <v>558</v>
      </c>
      <c r="AE19" s="663" t="s">
        <v>555</v>
      </c>
    </row>
    <row r="20" spans="1:31" ht="15" customHeight="1" thickBot="1" x14ac:dyDescent="0.25">
      <c r="A20" s="786"/>
      <c r="B20" s="786"/>
      <c r="C20" s="786"/>
      <c r="D20" s="786"/>
      <c r="E20" s="786"/>
      <c r="F20" s="786"/>
      <c r="G20" s="786"/>
      <c r="H20" s="786"/>
      <c r="J20" s="561" t="s">
        <v>416</v>
      </c>
      <c r="K20" s="1032" t="str">
        <f>'Acta Verificación '!K20:L20</f>
        <v>21.038.713</v>
      </c>
      <c r="L20" s="949"/>
      <c r="M20" s="564" t="s">
        <v>420</v>
      </c>
      <c r="N20" s="565"/>
      <c r="O20" s="565"/>
      <c r="P20" s="565"/>
      <c r="Q20" s="565"/>
      <c r="S20" s="546" t="s">
        <v>421</v>
      </c>
      <c r="T20" s="547" t="str">
        <f>IF($T$18&lt;&gt;"",VLOOKUP($T$18,'Datos de Ensayos'!$AC$3:$AF$34,3,FALSE),"")</f>
        <v>96</v>
      </c>
      <c r="V20" s="512" t="s">
        <v>422</v>
      </c>
      <c r="W20" s="516" t="s">
        <v>559</v>
      </c>
      <c r="X20" s="335"/>
      <c r="Y20" s="444"/>
      <c r="AB20" s="663" t="s">
        <v>560</v>
      </c>
      <c r="AC20" s="663" t="str">
        <f t="shared" si="0"/>
        <v>NO CUMPLE con el punto 14.2.2.1.2 de la Resolución S.C. y N.E.I. Nº 2307/80 (Movilidad).</v>
      </c>
      <c r="AD20" s="663" t="s">
        <v>561</v>
      </c>
      <c r="AE20" s="663" t="s">
        <v>555</v>
      </c>
    </row>
    <row r="21" spans="1:31" ht="15" customHeight="1" thickBot="1" x14ac:dyDescent="0.25">
      <c r="A21" s="786"/>
      <c r="B21" s="786"/>
      <c r="C21" s="786"/>
      <c r="D21" s="786"/>
      <c r="E21" s="786"/>
      <c r="F21" s="786"/>
      <c r="G21" s="786"/>
      <c r="H21" s="786"/>
      <c r="J21" s="1032" t="str">
        <f>'Acta Verificación '!J22:L22</f>
        <v xml:space="preserve">Jefe de mantenimiento </v>
      </c>
      <c r="K21" s="948"/>
      <c r="L21" s="949"/>
      <c r="M21" s="564" t="s">
        <v>426</v>
      </c>
      <c r="N21" s="565"/>
      <c r="O21" s="565"/>
      <c r="P21" s="565"/>
      <c r="Q21" s="565"/>
      <c r="S21" s="548" t="s">
        <v>562</v>
      </c>
      <c r="T21" s="549" t="str">
        <f>IF($T$18&lt;&gt;"",VLOOKUP($T$18,'Datos de Ensayos'!$AC$3:$AF$34,4,FALSE),"")</f>
        <v>519/05</v>
      </c>
      <c r="V21" s="512" t="s">
        <v>425</v>
      </c>
      <c r="W21" s="512"/>
      <c r="X21" s="335"/>
      <c r="Y21" s="444"/>
      <c r="AB21" s="663" t="s">
        <v>563</v>
      </c>
      <c r="AC21" s="663" t="str">
        <f t="shared" si="0"/>
        <v>NO CUMPLE con el punto 9.1.1 para el ensayo previsto en el punto 13.3, ambos de la Resolución S.C. y N.E.I. Nº 2307/80 (Excentricidad).</v>
      </c>
      <c r="AD21" s="663" t="s">
        <v>564</v>
      </c>
      <c r="AE21" s="663" t="s">
        <v>565</v>
      </c>
    </row>
    <row r="22" spans="1:31" ht="15" customHeight="1" thickBot="1" x14ac:dyDescent="0.25">
      <c r="A22" s="786"/>
      <c r="B22" s="786"/>
      <c r="C22" s="786"/>
      <c r="D22" s="786"/>
      <c r="E22" s="786"/>
      <c r="F22" s="786"/>
      <c r="G22" s="786"/>
      <c r="H22" s="786"/>
      <c r="J22" s="940" t="str">
        <f>CONCATENATE('Identificación del Instrumento'!$B$19,", de la localidad de ",'Identificación del Instrumento'!$B$20,", provincia de ",'Identificación del Instrumento'!$F$20)</f>
        <v>RUTA PROVINCIAL Nº 20 S/N, de la localidad de COSTA DE ARAUJO, provincia de Mendoza</v>
      </c>
      <c r="K22" s="847"/>
      <c r="L22" s="858"/>
      <c r="M22" s="566" t="s">
        <v>429</v>
      </c>
      <c r="N22" s="565"/>
      <c r="O22" s="565"/>
      <c r="P22" s="565"/>
      <c r="Q22" s="565"/>
      <c r="V22" s="513" t="s">
        <v>428</v>
      </c>
      <c r="W22" s="513"/>
      <c r="X22" s="344"/>
      <c r="Y22" s="345"/>
      <c r="AB22" s="663" t="s">
        <v>566</v>
      </c>
      <c r="AC22" s="663" t="str">
        <f t="shared" si="0"/>
        <v>NO CUMPLE con el punto 9.1.1. para el ensayo previsto en el punto 13.4.1 ambos de la Resolución S.C. y N.E.I. Nº 2307/80 (Excentricidad).</v>
      </c>
      <c r="AD22" s="663" t="s">
        <v>567</v>
      </c>
      <c r="AE22" s="663" t="s">
        <v>565</v>
      </c>
    </row>
    <row r="23" spans="1:31" ht="15" customHeight="1" thickBot="1" x14ac:dyDescent="0.25">
      <c r="A23" s="786"/>
      <c r="B23" s="786"/>
      <c r="C23" s="786"/>
      <c r="D23" s="786"/>
      <c r="E23" s="786"/>
      <c r="F23" s="786"/>
      <c r="G23" s="786"/>
      <c r="H23" s="786"/>
      <c r="J23" s="940" t="str">
        <f>IF(ISBLANK('Identificación del Instrumento'!$C$18),"",CONCATENATE('Identificación del Instrumento'!$C$18," de "))</f>
        <v xml:space="preserve">Zona de pesaje de </v>
      </c>
      <c r="K23" s="847"/>
      <c r="L23" s="858"/>
      <c r="M23" s="566" t="s">
        <v>430</v>
      </c>
      <c r="N23" s="565"/>
      <c r="O23" s="565"/>
      <c r="P23" s="565"/>
      <c r="Q23" s="565"/>
      <c r="AB23" s="663" t="s">
        <v>568</v>
      </c>
      <c r="AC23" s="663" t="str">
        <f t="shared" si="0"/>
        <v>NO CUMPLE con el punto 9.1.1.  para el ensayo previsto en el punto 13.4.2.1 ambos de la Resolución S.C. y N.E.I. Nº 2307/80 (Excentricidad).</v>
      </c>
      <c r="AD23" s="663" t="s">
        <v>569</v>
      </c>
      <c r="AE23" s="663" t="s">
        <v>565</v>
      </c>
    </row>
    <row r="24" spans="1:31" ht="15" customHeight="1" thickBot="1" x14ac:dyDescent="0.25">
      <c r="A24" s="786"/>
      <c r="B24" s="786"/>
      <c r="C24" s="786"/>
      <c r="D24" s="786"/>
      <c r="E24" s="786"/>
      <c r="F24" s="786"/>
      <c r="G24" s="786"/>
      <c r="H24" s="786"/>
      <c r="J24" s="940" t="str">
        <f>'Acta Verificación '!J25</f>
        <v>informe</v>
      </c>
      <c r="K24" s="847"/>
      <c r="L24" s="858"/>
      <c r="M24" s="1"/>
      <c r="AB24" s="663" t="s">
        <v>570</v>
      </c>
      <c r="AC24" s="663" t="str">
        <f t="shared" si="0"/>
        <v>NO CUMPLE con el punto 9.1.1  para el ensayo previsto en el punto 13.4.3 ambos de la Resolución S.C. y N.E.I. Nº 2307/80 (Excentricidad).</v>
      </c>
      <c r="AD24" s="663" t="s">
        <v>571</v>
      </c>
      <c r="AE24" s="663" t="s">
        <v>565</v>
      </c>
    </row>
    <row r="25" spans="1:31" ht="15" customHeight="1" thickBot="1" x14ac:dyDescent="0.25">
      <c r="A25" s="786"/>
      <c r="B25" s="786"/>
      <c r="C25" s="786"/>
      <c r="D25" s="786"/>
      <c r="E25" s="786"/>
      <c r="F25" s="786"/>
      <c r="G25" s="786"/>
      <c r="H25" s="786"/>
      <c r="J25" s="940" t="str">
        <f>'Acta Verificación '!J26</f>
        <v xml:space="preserve"> previsto en la Resolución Nº 611/2019 de la SECRETARÍA DE COMERCIO INTERIOR y sus modificatorias</v>
      </c>
      <c r="K25" s="847"/>
      <c r="L25" s="858"/>
      <c r="AB25" s="663" t="s">
        <v>572</v>
      </c>
      <c r="AC25" s="663" t="str">
        <f t="shared" si="0"/>
        <v>NO CUMPLE con el punto 9.1.1 de la Resolución S.C. y N.E.I. Nº 2307/80 para el ensayo previsto en el punto D.2.3.2.1 de la Resolución S.C.D. y D.C. Nº 119/2001 (Excentricidad).</v>
      </c>
      <c r="AD25" s="663" t="s">
        <v>573</v>
      </c>
      <c r="AE25" s="663" t="s">
        <v>565</v>
      </c>
    </row>
    <row r="26" spans="1:31" ht="15" customHeight="1" thickBot="1" x14ac:dyDescent="0.25">
      <c r="A26" s="786"/>
      <c r="B26" s="786"/>
      <c r="C26" s="786"/>
      <c r="D26" s="786"/>
      <c r="E26" s="786"/>
      <c r="F26" s="786"/>
      <c r="G26" s="786"/>
      <c r="H26" s="786"/>
      <c r="J26" s="1029" t="str">
        <f>'Acta Verificación '!J27</f>
        <v>1 del Cap. I y 1 del Cap. III</v>
      </c>
      <c r="K26" s="847"/>
      <c r="L26" s="858"/>
      <c r="N26" s="1035" t="s">
        <v>431</v>
      </c>
      <c r="O26" s="835"/>
      <c r="P26" s="836"/>
      <c r="AB26" s="663" t="s">
        <v>574</v>
      </c>
      <c r="AC26" s="663" t="str">
        <f t="shared" si="0"/>
        <v>NO CUMPLE con el punto 9.1.1 de la Resolución S.C. y N.E.I. Nº 2307/80 para el ensayo previsto en el punto D.2.3.2.2  de la Resolución S.C.D. y D.C. Nº 119/2001 (Excentricidad).</v>
      </c>
      <c r="AD26" s="663" t="s">
        <v>575</v>
      </c>
      <c r="AE26" s="663" t="s">
        <v>565</v>
      </c>
    </row>
    <row r="27" spans="1:31" ht="15" customHeight="1" thickBot="1" x14ac:dyDescent="0.25">
      <c r="A27" s="786"/>
      <c r="B27" s="786"/>
      <c r="C27" s="786"/>
      <c r="D27" s="786"/>
      <c r="E27" s="786"/>
      <c r="F27" s="786"/>
      <c r="G27" s="786"/>
      <c r="H27" s="786"/>
      <c r="J27" s="1029" t="str">
        <f>'Acta Verificación '!J28</f>
        <v>1 del Cap. III del Anexo I</v>
      </c>
      <c r="K27" s="847"/>
      <c r="L27" s="858"/>
      <c r="N27" s="828"/>
      <c r="O27" s="841"/>
      <c r="P27" s="850"/>
      <c r="AB27" s="663" t="s">
        <v>576</v>
      </c>
      <c r="AC27" s="663" t="str">
        <f t="shared" si="0"/>
        <v>NO CUMPLE con el punto 9.1.1 de la Resolución S.C. y N.E.I. Nº 2307/80 para el ensayo previsto en el punto D.2.3.1.1 de la Resolución S.C.D. y D.C. Nº 119/2001 (Excentricidad).</v>
      </c>
      <c r="AD27" s="663" t="s">
        <v>577</v>
      </c>
      <c r="AE27" s="663" t="s">
        <v>565</v>
      </c>
    </row>
    <row r="28" spans="1:31" ht="15" customHeight="1" thickBot="1" x14ac:dyDescent="0.25">
      <c r="A28" s="786"/>
      <c r="B28" s="786"/>
      <c r="C28" s="786"/>
      <c r="D28" s="786"/>
      <c r="E28" s="786"/>
      <c r="F28" s="786"/>
      <c r="G28" s="786"/>
      <c r="H28" s="786"/>
      <c r="J28" s="550">
        <f>COUNTIF(K28:K33,"=FALSO")</f>
        <v>6</v>
      </c>
      <c r="K28" s="551" t="b">
        <f>ISBLANK(J18)</f>
        <v>0</v>
      </c>
      <c r="L28" t="str">
        <f>IF('Identificación del Instrumento'!$B$17="periódica","b)","a)")</f>
        <v>a)</v>
      </c>
      <c r="N28" s="552" t="s">
        <v>432</v>
      </c>
      <c r="O28" s="553"/>
      <c r="P28" s="554" t="s">
        <v>433</v>
      </c>
      <c r="AB28" s="663" t="s">
        <v>578</v>
      </c>
      <c r="AC28" s="663" t="str">
        <f t="shared" si="0"/>
        <v>NO CUMPLE con el punto 9.1.1 de la Resolución S.C. y N.E.I. Nº 2307/80 para el ensayo previsto en el punto D.2.3.1.2 de la Resolución S.C.D. y D.C. Nº 119/2001 (Excentricidad).</v>
      </c>
      <c r="AD28" s="663" t="s">
        <v>579</v>
      </c>
      <c r="AE28" s="663" t="s">
        <v>565</v>
      </c>
    </row>
    <row r="29" spans="1:31" ht="15" customHeight="1" thickBot="1" x14ac:dyDescent="0.25">
      <c r="A29" s="786"/>
      <c r="B29" s="786"/>
      <c r="C29" s="786"/>
      <c r="D29" s="786"/>
      <c r="E29" s="786"/>
      <c r="F29" s="786"/>
      <c r="G29" s="786"/>
      <c r="H29" s="786"/>
      <c r="K29" s="555" t="b">
        <f>ISBLANK(K19)</f>
        <v>0</v>
      </c>
      <c r="N29" s="556" t="str">
        <f>IF('Identificación del Instrumento'!$F$23="electrónica","","tipo mecánica ")</f>
        <v/>
      </c>
      <c r="O29" s="557"/>
      <c r="P29" s="558" t="str">
        <f>IF(ISBLANK('Identificación del Instrumento'!$F$23),"",IF('Identificación del Instrumento'!$F$23="mecánica","mecánico","electrónico"))</f>
        <v>electrónico</v>
      </c>
      <c r="Q29" s="25"/>
      <c r="R29" s="25"/>
      <c r="S29" s="25"/>
      <c r="T29" s="25"/>
      <c r="U29" s="25"/>
      <c r="V29" s="25"/>
      <c r="W29" s="25"/>
      <c r="X29" s="25"/>
      <c r="AB29" s="663" t="s">
        <v>580</v>
      </c>
      <c r="AC29" s="663" t="s">
        <v>581</v>
      </c>
      <c r="AD29" s="663"/>
      <c r="AE29" s="663"/>
    </row>
    <row r="30" spans="1:31" ht="19.5" customHeight="1" x14ac:dyDescent="0.2">
      <c r="A30" s="786"/>
      <c r="B30" s="786"/>
      <c r="C30" s="786"/>
      <c r="D30" s="786"/>
      <c r="E30" s="786"/>
      <c r="F30" s="786"/>
      <c r="G30" s="786"/>
      <c r="H30" s="786"/>
      <c r="J30" t="s">
        <v>30</v>
      </c>
      <c r="K30" s="555" t="b">
        <f>ISBLANK(K20)</f>
        <v>0</v>
      </c>
      <c r="Q30" s="25"/>
      <c r="R30" s="25"/>
      <c r="S30" s="25"/>
      <c r="T30" s="25"/>
      <c r="U30" s="25"/>
      <c r="V30" s="25"/>
      <c r="W30" s="25"/>
      <c r="X30" s="25"/>
    </row>
    <row r="31" spans="1:31" ht="15" hidden="1" customHeight="1" x14ac:dyDescent="0.2">
      <c r="A31" s="786"/>
      <c r="B31" s="786"/>
      <c r="C31" s="786"/>
      <c r="D31" s="786"/>
      <c r="E31" s="786"/>
      <c r="F31" s="786"/>
      <c r="G31" s="786"/>
      <c r="H31" s="786"/>
      <c r="K31" s="555" t="b">
        <f>ISBLANK(J21)</f>
        <v>0</v>
      </c>
      <c r="Q31" s="25"/>
      <c r="R31" s="25"/>
      <c r="S31" s="25"/>
      <c r="T31" s="25"/>
      <c r="U31" s="25"/>
      <c r="V31" s="25"/>
      <c r="W31" s="25"/>
      <c r="X31" s="25"/>
    </row>
    <row r="32" spans="1:31" ht="15" hidden="1" customHeight="1" thickBot="1" x14ac:dyDescent="0.25">
      <c r="A32" s="786"/>
      <c r="B32" s="786"/>
      <c r="C32" s="786"/>
      <c r="D32" s="786"/>
      <c r="E32" s="786"/>
      <c r="F32" s="786"/>
      <c r="G32" s="786"/>
      <c r="H32" s="786"/>
      <c r="K32" s="559" t="b">
        <f>AND(ISBLANK('Identificación del Instrumento'!$B$19),ISBLANK('Identificación del Instrumento'!$B$15),ISBLANK('Identificación del Instrumento'!$B$16),ISBLANK('Identificación del Instrumento'!$F$16))</f>
        <v>0</v>
      </c>
      <c r="N32" s="1040"/>
      <c r="O32" s="841"/>
      <c r="P32" s="841"/>
      <c r="Q32" s="25"/>
      <c r="R32" s="25"/>
      <c r="S32" s="25"/>
      <c r="T32" s="25"/>
      <c r="U32" s="25"/>
      <c r="V32" s="25"/>
      <c r="W32" s="25"/>
      <c r="X32" s="25"/>
    </row>
    <row r="33" spans="1:24" ht="15" customHeight="1" thickBot="1" x14ac:dyDescent="0.25">
      <c r="A33" s="960" t="str">
        <f>CONCATENATE(N5,N6)</f>
        <v>A continuación se deja constancia que la VERIFICACIÓN PERIÓDICA respecto de los siguientes elementos: Balanza para pesar camiones de tipo electrónica, compuesta por una plataforma receptora de cargas marca BIANCHETTI, modelo TruckTRONIX 8020, N° de serie 28082017214, código de aprobación de modelo BF.80-2172, e indicador electrónico de cargas marca BIANCHETTI, modelo PB 10.000, N° de serie 28082017215, código de aprobación de modelo BF.60-1624; características metrológicas: capacidad máxima Máx.= 80000 kg; capacidad mínima Mín. = 1000 kg; e=dd=dt=20 kg; clase III, prevista para el día de la fecha, se suspende por el siguiente motivo: NO CUMPLE con el punto 9.1.1 de la Resolución S.C. y N.E.I. Nº 2307/80 (Errores de indicación).</v>
      </c>
      <c r="B33" s="786"/>
      <c r="C33" s="786"/>
      <c r="D33" s="786"/>
      <c r="E33" s="786"/>
      <c r="F33" s="786"/>
      <c r="G33" s="786"/>
      <c r="H33" s="786"/>
      <c r="J33" s="233"/>
      <c r="K33" s="427" t="b">
        <f>ISBLANK(J23)</f>
        <v>0</v>
      </c>
      <c r="L33" s="233"/>
      <c r="M33" s="233"/>
      <c r="N33" s="428"/>
      <c r="O33" s="428"/>
      <c r="P33" s="428"/>
      <c r="Q33" s="428"/>
      <c r="R33" s="25"/>
      <c r="S33" s="25"/>
      <c r="T33" s="25"/>
      <c r="U33" s="25"/>
      <c r="V33" s="25"/>
      <c r="W33" s="25"/>
      <c r="X33" s="25"/>
    </row>
    <row r="34" spans="1:24" ht="15" customHeight="1" x14ac:dyDescent="0.2">
      <c r="A34" s="786"/>
      <c r="B34" s="786"/>
      <c r="C34" s="786"/>
      <c r="D34" s="786"/>
      <c r="E34" s="786"/>
      <c r="F34" s="786"/>
      <c r="G34" s="786"/>
      <c r="H34" s="786"/>
      <c r="N34" s="25"/>
      <c r="O34" s="25"/>
      <c r="P34" s="25"/>
      <c r="Q34" s="25"/>
      <c r="R34" s="25"/>
      <c r="S34" s="25"/>
      <c r="T34" s="25"/>
      <c r="U34" s="25"/>
      <c r="V34" s="25"/>
      <c r="W34" s="25"/>
      <c r="X34" s="25"/>
    </row>
    <row r="35" spans="1:24" ht="15" customHeight="1" x14ac:dyDescent="0.2">
      <c r="A35" s="786"/>
      <c r="B35" s="786"/>
      <c r="C35" s="786"/>
      <c r="D35" s="786"/>
      <c r="E35" s="786"/>
      <c r="F35" s="786"/>
      <c r="G35" s="786"/>
      <c r="H35" s="786"/>
      <c r="N35" s="25"/>
      <c r="O35" s="25"/>
      <c r="P35" s="25"/>
      <c r="Q35" s="25"/>
      <c r="R35" s="25"/>
      <c r="S35" s="25"/>
      <c r="T35" s="25"/>
      <c r="U35" s="25"/>
      <c r="V35" s="25"/>
      <c r="W35" s="25"/>
      <c r="X35" s="25"/>
    </row>
    <row r="36" spans="1:24" ht="15" customHeight="1" x14ac:dyDescent="0.2">
      <c r="A36" s="786"/>
      <c r="B36" s="786"/>
      <c r="C36" s="786"/>
      <c r="D36" s="786"/>
      <c r="E36" s="786"/>
      <c r="F36" s="786"/>
      <c r="G36" s="786"/>
      <c r="H36" s="786"/>
      <c r="N36" s="25"/>
      <c r="O36" s="25"/>
      <c r="P36" s="25"/>
      <c r="Q36" s="25"/>
      <c r="R36" s="25"/>
      <c r="S36" s="25"/>
      <c r="T36" s="25"/>
      <c r="U36" s="25"/>
      <c r="V36" s="25"/>
      <c r="W36" s="25"/>
      <c r="X36" s="25"/>
    </row>
    <row r="37" spans="1:24" ht="15" customHeight="1" x14ac:dyDescent="0.2">
      <c r="A37" s="786"/>
      <c r="B37" s="786"/>
      <c r="C37" s="786"/>
      <c r="D37" s="786"/>
      <c r="E37" s="786"/>
      <c r="F37" s="786"/>
      <c r="G37" s="786"/>
      <c r="H37" s="786"/>
      <c r="N37" s="25"/>
      <c r="O37" s="25"/>
      <c r="P37" s="25"/>
      <c r="Q37" s="25"/>
      <c r="R37" s="25"/>
      <c r="S37" s="25"/>
      <c r="T37" s="25"/>
      <c r="U37" s="25"/>
      <c r="V37" s="25"/>
      <c r="W37" s="25"/>
      <c r="X37" s="25"/>
    </row>
    <row r="38" spans="1:24" ht="15" customHeight="1" x14ac:dyDescent="0.2">
      <c r="A38" s="786"/>
      <c r="B38" s="786"/>
      <c r="C38" s="786"/>
      <c r="D38" s="786"/>
      <c r="E38" s="786"/>
      <c r="F38" s="786"/>
      <c r="G38" s="786"/>
      <c r="H38" s="786"/>
      <c r="N38" s="25"/>
      <c r="O38" s="25"/>
      <c r="P38" s="25"/>
      <c r="Q38" s="25"/>
      <c r="R38" s="25"/>
      <c r="S38" s="25"/>
      <c r="T38" s="25"/>
      <c r="U38" s="25"/>
      <c r="V38" s="25"/>
      <c r="W38" s="25"/>
    </row>
    <row r="39" spans="1:24" ht="15" customHeight="1" x14ac:dyDescent="0.2">
      <c r="A39" s="786"/>
      <c r="B39" s="786"/>
      <c r="C39" s="786"/>
      <c r="D39" s="786"/>
      <c r="E39" s="786"/>
      <c r="F39" s="786"/>
      <c r="G39" s="786"/>
      <c r="H39" s="786"/>
      <c r="N39" s="25"/>
      <c r="O39" s="25"/>
      <c r="P39" s="25"/>
      <c r="Q39" s="25"/>
      <c r="R39" s="25"/>
      <c r="S39" s="25"/>
      <c r="T39" s="25"/>
      <c r="U39" s="25"/>
      <c r="V39" s="25"/>
      <c r="W39" s="25"/>
    </row>
    <row r="40" spans="1:24" ht="15" customHeight="1" x14ac:dyDescent="0.2">
      <c r="A40" s="786"/>
      <c r="B40" s="786"/>
      <c r="C40" s="786"/>
      <c r="D40" s="786"/>
      <c r="E40" s="786"/>
      <c r="F40" s="786"/>
      <c r="G40" s="786"/>
      <c r="H40" s="786"/>
      <c r="N40" s="25"/>
      <c r="O40" s="25"/>
      <c r="P40" s="25"/>
      <c r="Q40" s="25"/>
      <c r="R40" s="25"/>
      <c r="S40" s="25"/>
      <c r="T40" s="25"/>
      <c r="U40" s="25"/>
      <c r="V40" s="25"/>
      <c r="W40" s="25"/>
    </row>
    <row r="41" spans="1:24" ht="15" customHeight="1" x14ac:dyDescent="0.2">
      <c r="A41" s="960" t="str">
        <f>IF($J$28=6,N7,"¡Completar datos del acta!")</f>
        <v>Sin más,  se cierra el acto firmando como constancia el agente verificador y  Sr. Nievas Aldo Dario por la firma Marolio S.A..</v>
      </c>
      <c r="B41" s="786"/>
      <c r="C41" s="786"/>
      <c r="D41" s="786"/>
      <c r="E41" s="786"/>
      <c r="F41" s="786"/>
      <c r="G41" s="786"/>
      <c r="H41" s="786"/>
      <c r="N41" s="25"/>
      <c r="O41" s="25"/>
      <c r="P41" s="25"/>
      <c r="Q41" s="25"/>
      <c r="R41" s="25"/>
      <c r="S41" s="25"/>
      <c r="T41" s="25"/>
      <c r="U41" s="25"/>
      <c r="V41" s="25"/>
      <c r="W41" s="25"/>
    </row>
    <row r="42" spans="1:24" ht="15" customHeight="1" x14ac:dyDescent="0.2">
      <c r="A42" s="786"/>
      <c r="B42" s="786"/>
      <c r="C42" s="786"/>
      <c r="D42" s="786"/>
      <c r="E42" s="786"/>
      <c r="F42" s="786"/>
      <c r="G42" s="786"/>
      <c r="H42" s="786"/>
      <c r="N42" s="25"/>
      <c r="O42" s="25"/>
      <c r="P42" s="25"/>
      <c r="Q42" s="25"/>
      <c r="R42" s="25"/>
      <c r="S42" s="25"/>
      <c r="T42" s="25"/>
      <c r="U42" s="25"/>
      <c r="V42" s="25"/>
      <c r="W42" s="25"/>
    </row>
    <row r="43" spans="1:24" ht="15" customHeight="1" x14ac:dyDescent="0.2">
      <c r="A43" s="786"/>
      <c r="B43" s="786"/>
      <c r="C43" s="786"/>
      <c r="D43" s="786"/>
      <c r="E43" s="786"/>
      <c r="F43" s="786"/>
      <c r="G43" s="786"/>
      <c r="H43" s="786"/>
      <c r="N43" s="25"/>
      <c r="O43" s="25"/>
      <c r="P43" s="25"/>
      <c r="Q43" s="25"/>
      <c r="R43" s="25"/>
      <c r="S43" s="25"/>
      <c r="T43" s="25"/>
      <c r="U43" s="25"/>
      <c r="V43" s="25"/>
      <c r="W43" s="25"/>
    </row>
    <row r="44" spans="1:24" ht="15" customHeight="1" x14ac:dyDescent="0.2">
      <c r="A44" s="960" t="str">
        <f>IF($J$28=6,N8,"¡Completar datos del acta!")</f>
        <v>Del presente se suscriben dos ejemplares de igual tenor, quedando uno en poder de Sr. Nievas Aldo Dario por la firma visitada.</v>
      </c>
      <c r="B44" s="786"/>
      <c r="C44" s="786"/>
      <c r="D44" s="786"/>
      <c r="E44" s="786"/>
      <c r="F44" s="786"/>
      <c r="G44" s="786"/>
      <c r="H44" s="786"/>
      <c r="N44" s="25"/>
      <c r="O44" s="25"/>
      <c r="P44" s="25"/>
      <c r="Q44" s="25"/>
      <c r="R44" s="25"/>
      <c r="S44" s="25"/>
      <c r="T44" s="25"/>
      <c r="U44" s="25"/>
      <c r="V44" s="25"/>
      <c r="W44" s="25"/>
    </row>
    <row r="45" spans="1:24" ht="15" customHeight="1" x14ac:dyDescent="0.2">
      <c r="A45" s="786"/>
      <c r="B45" s="786"/>
      <c r="C45" s="786"/>
      <c r="D45" s="786"/>
      <c r="E45" s="786"/>
      <c r="F45" s="786"/>
      <c r="G45" s="786"/>
      <c r="H45" s="786"/>
      <c r="N45" s="25"/>
      <c r="O45" s="25"/>
      <c r="P45" s="25"/>
      <c r="Q45" s="25"/>
      <c r="R45" s="25"/>
      <c r="S45" s="25"/>
      <c r="T45" s="25"/>
      <c r="U45" s="25"/>
      <c r="V45" s="25"/>
      <c r="W45" s="25"/>
    </row>
    <row r="46" spans="1:24" ht="15" customHeight="1" x14ac:dyDescent="0.2">
      <c r="A46" s="786"/>
      <c r="B46" s="786"/>
      <c r="C46" s="786"/>
      <c r="D46" s="786"/>
      <c r="E46" s="786"/>
      <c r="F46" s="786"/>
      <c r="G46" s="786"/>
      <c r="H46" s="786"/>
    </row>
    <row r="47" spans="1:24" ht="15" customHeight="1" x14ac:dyDescent="0.2">
      <c r="A47" s="1033"/>
      <c r="B47" s="841"/>
      <c r="C47" s="841"/>
      <c r="D47" s="574"/>
      <c r="E47" s="1033"/>
      <c r="F47" s="841"/>
      <c r="G47" s="841"/>
      <c r="H47" s="574"/>
    </row>
    <row r="48" spans="1:24" ht="15" customHeight="1" x14ac:dyDescent="0.2">
      <c r="A48" s="574"/>
      <c r="B48" s="574"/>
      <c r="C48" s="574"/>
      <c r="D48" s="574"/>
      <c r="E48" s="574"/>
      <c r="F48" s="574"/>
      <c r="G48" s="574"/>
      <c r="H48" s="574"/>
    </row>
    <row r="49" spans="1:8" ht="15" customHeight="1" x14ac:dyDescent="0.2">
      <c r="A49" s="574"/>
      <c r="B49" s="574"/>
      <c r="C49" s="574"/>
      <c r="D49" s="574"/>
      <c r="E49" s="574"/>
      <c r="F49" s="574"/>
      <c r="G49" s="574"/>
      <c r="H49" s="574"/>
    </row>
    <row r="50" spans="1:8" ht="15" customHeight="1" x14ac:dyDescent="0.2">
      <c r="A50" s="574"/>
      <c r="B50" s="574"/>
      <c r="C50" s="574"/>
      <c r="D50" s="574"/>
      <c r="E50" s="574"/>
      <c r="F50" s="574"/>
      <c r="G50" s="574"/>
      <c r="H50" s="574"/>
    </row>
    <row r="51" spans="1:8" ht="15" customHeight="1" x14ac:dyDescent="0.2">
      <c r="A51" s="950"/>
      <c r="B51" s="841"/>
      <c r="C51" s="841"/>
      <c r="D51" s="627"/>
      <c r="E51" s="627"/>
      <c r="F51" s="950"/>
      <c r="G51" s="841"/>
      <c r="H51" s="841"/>
    </row>
    <row r="52" spans="1:8" ht="15" customHeight="1" x14ac:dyDescent="0.2">
      <c r="A52" s="574"/>
      <c r="B52" s="574"/>
      <c r="C52" s="574"/>
      <c r="D52" s="574"/>
      <c r="E52" s="574"/>
      <c r="F52" s="574"/>
      <c r="G52" s="574"/>
      <c r="H52" s="574"/>
    </row>
    <row r="53" spans="1:8" ht="15" customHeight="1" x14ac:dyDescent="0.2">
      <c r="A53" s="574"/>
      <c r="B53" s="574"/>
      <c r="C53" s="574"/>
      <c r="D53" s="574"/>
      <c r="E53" s="574"/>
      <c r="F53" s="574"/>
      <c r="G53" s="574"/>
      <c r="H53" s="574"/>
    </row>
    <row r="54" spans="1:8" ht="15" customHeight="1" x14ac:dyDescent="0.2">
      <c r="A54" s="574"/>
      <c r="B54" s="574"/>
      <c r="C54" s="574"/>
      <c r="D54" s="574"/>
      <c r="E54" s="574"/>
      <c r="F54" s="574"/>
      <c r="G54" s="574"/>
      <c r="H54" s="574"/>
    </row>
    <row r="55" spans="1:8" ht="15" customHeight="1" x14ac:dyDescent="0.2">
      <c r="A55" s="574"/>
      <c r="B55" s="574"/>
      <c r="C55" s="574"/>
      <c r="D55" s="574"/>
      <c r="E55" s="574"/>
      <c r="F55" s="574"/>
      <c r="G55" s="574"/>
      <c r="H55" s="574"/>
    </row>
    <row r="56" spans="1:8" ht="15" customHeight="1" x14ac:dyDescent="0.2">
      <c r="A56" s="574"/>
      <c r="B56" s="574"/>
      <c r="C56" s="574"/>
      <c r="D56" s="574"/>
      <c r="E56" s="574"/>
      <c r="F56" s="574"/>
      <c r="G56" s="574"/>
      <c r="H56" s="574"/>
    </row>
    <row r="57" spans="1:8" ht="15" customHeight="1" x14ac:dyDescent="0.2">
      <c r="A57" s="574"/>
      <c r="B57" s="574"/>
      <c r="C57" s="574"/>
      <c r="D57" s="574"/>
      <c r="E57" s="574"/>
      <c r="F57" s="574"/>
      <c r="G57" s="574"/>
      <c r="H57" s="574"/>
    </row>
    <row r="58" spans="1:8" ht="15" customHeight="1" x14ac:dyDescent="0.2">
      <c r="A58" s="574"/>
      <c r="B58" s="574"/>
      <c r="C58" s="574"/>
      <c r="D58" s="574"/>
      <c r="E58" s="574"/>
      <c r="F58" s="574"/>
      <c r="G58" s="574"/>
      <c r="H58" s="574"/>
    </row>
    <row r="59" spans="1:8" ht="15" customHeight="1" x14ac:dyDescent="0.2">
      <c r="A59" s="1039" t="str">
        <f>+K19</f>
        <v>Sr. Nievas Aldo Dario</v>
      </c>
      <c r="B59" s="767"/>
      <c r="C59" s="767"/>
      <c r="D59" s="627"/>
      <c r="E59" s="627"/>
      <c r="F59" s="955" t="str">
        <f>'Datos de Ensayos'!E4</f>
        <v>Tco. Pablo Javier Siklosi A.</v>
      </c>
      <c r="G59" s="767"/>
      <c r="H59" s="767"/>
    </row>
    <row r="60" spans="1:8" ht="15" customHeight="1" x14ac:dyDescent="0.2">
      <c r="A60" s="950" t="str">
        <f>+'Identificación del Instrumento'!C14</f>
        <v>Marolio S.A.</v>
      </c>
      <c r="B60" s="841"/>
      <c r="C60" s="841"/>
      <c r="D60" s="627"/>
      <c r="E60" s="627"/>
      <c r="F60" s="950" t="str">
        <f>+'Identificación del Instrumento'!E61</f>
        <v>Programa de Metrología Legal - INTI</v>
      </c>
      <c r="G60" s="841"/>
      <c r="H60" s="841"/>
    </row>
    <row r="61" spans="1:8" ht="15" customHeight="1" x14ac:dyDescent="0.2">
      <c r="A61" s="574"/>
      <c r="B61" s="574"/>
      <c r="C61" s="574"/>
      <c r="D61" s="574"/>
      <c r="E61" s="574"/>
      <c r="F61" s="574"/>
      <c r="G61" s="574"/>
      <c r="H61" s="574"/>
    </row>
    <row r="62" spans="1:8" ht="15" customHeight="1" x14ac:dyDescent="0.2">
      <c r="A62" s="574"/>
      <c r="B62" s="574"/>
      <c r="C62" s="574"/>
      <c r="D62" s="574"/>
      <c r="E62" s="574"/>
      <c r="F62" s="574"/>
      <c r="G62" s="574"/>
      <c r="H62" s="574"/>
    </row>
    <row r="63" spans="1:8" ht="15" customHeight="1" x14ac:dyDescent="0.2">
      <c r="A63" s="574"/>
      <c r="B63" s="574"/>
      <c r="C63" s="574"/>
      <c r="D63" s="574"/>
      <c r="E63" s="574"/>
      <c r="F63" s="574"/>
      <c r="G63" s="574"/>
      <c r="H63" s="574"/>
    </row>
    <row r="64" spans="1:8" ht="15" customHeight="1" x14ac:dyDescent="0.2">
      <c r="A64" s="574"/>
      <c r="B64" s="574"/>
      <c r="C64" s="574"/>
      <c r="D64" s="574"/>
      <c r="E64" s="574"/>
      <c r="F64" s="574"/>
      <c r="G64" s="574"/>
      <c r="H64" s="574"/>
    </row>
    <row r="65" spans="1:8" ht="15" customHeight="1" x14ac:dyDescent="0.2">
      <c r="A65" s="953"/>
      <c r="B65" s="841"/>
      <c r="C65" s="841"/>
      <c r="D65" s="841"/>
      <c r="E65" s="841"/>
      <c r="F65" s="841"/>
      <c r="G65" s="841"/>
      <c r="H65" s="841"/>
    </row>
    <row r="66" spans="1:8" x14ac:dyDescent="0.2">
      <c r="A66" s="946"/>
      <c r="B66" s="841"/>
      <c r="C66" s="841"/>
      <c r="D66" s="841"/>
      <c r="E66" s="841"/>
      <c r="F66" s="841"/>
      <c r="G66" s="841"/>
      <c r="H66" s="841"/>
    </row>
    <row r="67" spans="1:8" x14ac:dyDescent="0.2">
      <c r="A67" s="946"/>
      <c r="B67" s="841"/>
      <c r="C67" s="841"/>
      <c r="D67" s="841"/>
      <c r="E67" s="841"/>
      <c r="F67" s="841"/>
      <c r="G67" s="841"/>
      <c r="H67" s="841"/>
    </row>
  </sheetData>
  <mergeCells count="33">
    <mergeCell ref="A14:H14"/>
    <mergeCell ref="A59:C59"/>
    <mergeCell ref="A51:C51"/>
    <mergeCell ref="A60:C60"/>
    <mergeCell ref="N32:P32"/>
    <mergeCell ref="K19:L19"/>
    <mergeCell ref="F59:H59"/>
    <mergeCell ref="A44:H46"/>
    <mergeCell ref="F51:H51"/>
    <mergeCell ref="A33:H40"/>
    <mergeCell ref="A66:H66"/>
    <mergeCell ref="S16:T17"/>
    <mergeCell ref="J21:L21"/>
    <mergeCell ref="F60:H60"/>
    <mergeCell ref="J18:L18"/>
    <mergeCell ref="E47:G47"/>
    <mergeCell ref="J23:L23"/>
    <mergeCell ref="A67:H67"/>
    <mergeCell ref="A16:F16"/>
    <mergeCell ref="J24:L24"/>
    <mergeCell ref="J27:L27"/>
    <mergeCell ref="L14:Q14"/>
    <mergeCell ref="J26:L26"/>
    <mergeCell ref="J10:K14"/>
    <mergeCell ref="A18:H32"/>
    <mergeCell ref="J25:L25"/>
    <mergeCell ref="K20:L20"/>
    <mergeCell ref="A47:C47"/>
    <mergeCell ref="A65:H65"/>
    <mergeCell ref="L10:Q10"/>
    <mergeCell ref="J22:L22"/>
    <mergeCell ref="N26:P27"/>
    <mergeCell ref="A41:H43"/>
  </mergeCells>
  <conditionalFormatting sqref="A18 A41 A44">
    <cfRule type="cellIs" dxfId="16" priority="1" stopIfTrue="1" operator="equal">
      <formula>"¡Completar datos del acta!"</formula>
    </cfRule>
  </conditionalFormatting>
  <conditionalFormatting sqref="A33">
    <cfRule type="cellIs" dxfId="15" priority="2" stopIfTrue="1" operator="equal">
      <formula>"¡LA BALANZA NO CUMPLE!"</formula>
    </cfRule>
  </conditionalFormatting>
  <dataValidations count="2">
    <dataValidation type="list" allowBlank="1" showInputMessage="1" showErrorMessage="1" errorTitle="Tipo de documento" error="Valor incorrecto. Respete las opciones de la lista" promptTitle="Tipo de documento" prompt="Seleccione una opción de la lista" sqref="J20" xr:uid="{00000000-0002-0000-0800-000000000000}">
      <formula1>$V$18:$V$22</formula1>
    </dataValidation>
    <dataValidation type="list" showInputMessage="1" showErrorMessage="1" sqref="L10:Q10" xr:uid="{00000000-0002-0000-0800-000001000000}">
      <formula1>$AB$15:$AB$29</formula1>
    </dataValidation>
  </dataValidations>
  <hyperlinks>
    <hyperlink ref="K20" r:id="rId1" display="=@'Acta Verificación '!K19:L19" xr:uid="{00000000-0004-0000-0800-000000000000}"/>
  </hyperlinks>
  <pageMargins left="0.98425196850393704" right="0.39370078740157483" top="0.39370078740157483" bottom="0.39370078740157483" header="0" footer="0"/>
  <pageSetup paperSize="9" scale="88" orientation="portrait" r:id="rId2"/>
  <drawing r:id="rId3"/>
  <legacyDrawing r:id="rId4"/>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Hoja8"/>
  <dimension ref="A1:AW135"/>
  <sheetViews>
    <sheetView view="pageBreakPreview" zoomScaleNormal="100" zoomScaleSheetLayoutView="100" workbookViewId="0">
      <selection activeCell="G7" sqref="G7:H7"/>
    </sheetView>
  </sheetViews>
  <sheetFormatPr baseColWidth="10" defaultColWidth="11.42578125" defaultRowHeight="15" x14ac:dyDescent="0.2"/>
  <cols>
    <col min="1" max="1" width="11.42578125" style="61" customWidth="1"/>
    <col min="2" max="2" width="12.85546875" style="61" customWidth="1"/>
    <col min="3" max="3" width="20" style="61" customWidth="1"/>
    <col min="4" max="4" width="7.5703125" style="414" customWidth="1"/>
    <col min="5" max="5" width="7.5703125" style="415" customWidth="1"/>
    <col min="6" max="6" width="15.140625" style="61" customWidth="1"/>
    <col min="7" max="7" width="7.5703125" style="61" customWidth="1"/>
    <col min="8" max="8" width="7.5703125" style="415" customWidth="1"/>
    <col min="9" max="9" width="19.7109375" style="61" customWidth="1"/>
    <col min="10" max="10" width="18.140625" style="61" customWidth="1"/>
    <col min="11" max="11" width="35.5703125" style="61" customWidth="1"/>
    <col min="12" max="12" width="11.7109375" style="61" bestFit="1" customWidth="1"/>
    <col min="13" max="14" width="11.42578125" style="61" customWidth="1"/>
    <col min="15" max="15" width="11.42578125" style="416" customWidth="1"/>
    <col min="16" max="16" width="11.42578125" style="61" customWidth="1"/>
    <col min="17" max="16384" width="11.42578125" style="61"/>
  </cols>
  <sheetData>
    <row r="1" spans="1:44" s="26" customFormat="1" ht="36" customHeight="1" thickBot="1" x14ac:dyDescent="0.3">
      <c r="A1" s="1061" t="s">
        <v>582</v>
      </c>
      <c r="B1" s="858"/>
      <c r="C1" s="1059" t="str">
        <f>CONCATENATE('Datos de Ensayos'!E3," - ",'Datos de Ensayos'!E4)</f>
        <v>Tco. Pablo Javier Siklosi A. - Tco. Pablo Javier Siklosi A.</v>
      </c>
      <c r="D1" s="847"/>
      <c r="E1" s="847"/>
      <c r="F1" s="847"/>
      <c r="G1" s="847"/>
      <c r="H1" s="858"/>
      <c r="I1" s="30"/>
      <c r="J1" s="30"/>
      <c r="K1" s="30" t="s">
        <v>583</v>
      </c>
      <c r="L1" s="26" t="s">
        <v>584</v>
      </c>
      <c r="M1" s="26" t="s">
        <v>585</v>
      </c>
      <c r="O1" s="413"/>
      <c r="P1" s="27"/>
      <c r="Q1" s="29"/>
      <c r="R1" s="27"/>
      <c r="S1" s="28"/>
      <c r="T1" s="28"/>
      <c r="V1" s="27"/>
      <c r="AJ1" s="28"/>
      <c r="AK1" s="28"/>
      <c r="AL1" s="32"/>
      <c r="AM1" s="28"/>
      <c r="AN1" s="28"/>
      <c r="AO1" s="33"/>
      <c r="AP1" s="34"/>
      <c r="AQ1" s="35"/>
      <c r="AR1" s="28"/>
    </row>
    <row r="2" spans="1:44" ht="26.25" customHeight="1" thickBot="1" x14ac:dyDescent="0.3">
      <c r="J2" s="57" t="s">
        <v>474</v>
      </c>
      <c r="K2" s="61" t="s">
        <v>586</v>
      </c>
      <c r="L2" s="61" t="s">
        <v>587</v>
      </c>
      <c r="M2" s="61" t="s">
        <v>588</v>
      </c>
    </row>
    <row r="3" spans="1:44" ht="21" customHeight="1" thickBot="1" x14ac:dyDescent="0.35">
      <c r="A3" s="1047"/>
      <c r="B3" s="847"/>
      <c r="C3" s="847"/>
      <c r="D3" s="847"/>
      <c r="E3" s="847"/>
      <c r="F3" s="847"/>
      <c r="G3" s="847"/>
      <c r="H3" s="858"/>
      <c r="K3" s="61" t="s">
        <v>589</v>
      </c>
      <c r="L3" s="61" t="s">
        <v>590</v>
      </c>
      <c r="M3" s="61" t="s">
        <v>591</v>
      </c>
    </row>
    <row r="4" spans="1:44" ht="6.75" hidden="1" customHeight="1" x14ac:dyDescent="0.2">
      <c r="D4" s="1009"/>
      <c r="E4" s="1043"/>
      <c r="I4" s="417"/>
    </row>
    <row r="5" spans="1:44" ht="18" customHeight="1" x14ac:dyDescent="0.25">
      <c r="A5" s="1051" t="s">
        <v>592</v>
      </c>
      <c r="B5" s="1009"/>
      <c r="C5" s="1009"/>
      <c r="D5" s="1042"/>
      <c r="E5" s="1043"/>
      <c r="F5" s="1009"/>
      <c r="G5" s="1009"/>
      <c r="H5" s="1043"/>
      <c r="I5" s="417"/>
    </row>
    <row r="6" spans="1:44" ht="3.75" customHeight="1" thickBot="1" x14ac:dyDescent="0.25">
      <c r="A6" s="26"/>
      <c r="B6" s="26"/>
      <c r="C6" s="26"/>
      <c r="D6" s="26"/>
      <c r="E6" s="26"/>
      <c r="F6" s="26"/>
      <c r="G6" s="26"/>
      <c r="H6" s="418"/>
      <c r="I6" s="417"/>
    </row>
    <row r="7" spans="1:44" ht="22.5" customHeight="1" thickBot="1" x14ac:dyDescent="0.3">
      <c r="A7" s="1050" t="str">
        <f>CONCATENATE("N° O.T.: ",'Identificación del Instrumento'!B4)</f>
        <v>N° O.T.: 307-64088</v>
      </c>
      <c r="B7" s="1009"/>
      <c r="C7" s="1009"/>
      <c r="D7" s="1042"/>
      <c r="E7" s="1043"/>
      <c r="F7" s="1009"/>
      <c r="G7" s="1056"/>
      <c r="H7" s="1043"/>
      <c r="I7" s="419"/>
      <c r="J7" s="12"/>
      <c r="K7" s="12"/>
      <c r="L7" s="12"/>
      <c r="M7" s="12"/>
      <c r="N7" s="12"/>
      <c r="O7" s="993" t="s">
        <v>593</v>
      </c>
      <c r="P7" s="847"/>
      <c r="Q7" s="847"/>
      <c r="R7" s="847"/>
      <c r="S7" s="847"/>
      <c r="T7" s="858"/>
    </row>
    <row r="8" spans="1:44" ht="24.75" customHeight="1" x14ac:dyDescent="0.2">
      <c r="A8" s="1046" t="str">
        <f>IF(OR(ISBLANK('Identificación del Instrumento'!B22),ISBLANK('Identificación del Instrumento'!D29),ISBLANK('Identificación del Instrumento'!D30),ISBLANK('Identificación del Instrumento'!F30)),"",CONCATENATE("Objeto:  ",'Identificación del Instrumento'!B22,", de capacidad máxima ",'Datos de Ensayos'!I18," kg,"," mínima división ",'Datos de Ensayos'!E18," kg, clase ",'Datos de Ensayos'!J17,", de tipo ",'Datos de Ensayos'!E17,"."))</f>
        <v>Objeto:  Balanza para pesar camiones, de capacidad máxima 80000 kg, mínima división 20 kg, clase III, de tipo electrónica.</v>
      </c>
      <c r="B8" s="1009"/>
      <c r="C8" s="1009"/>
      <c r="D8" s="1042"/>
      <c r="E8" s="1043"/>
      <c r="F8" s="1009"/>
      <c r="G8" s="1009"/>
      <c r="H8" s="1043"/>
      <c r="J8" s="12"/>
      <c r="K8" s="12"/>
      <c r="L8" s="12"/>
      <c r="M8" s="12"/>
      <c r="N8" s="12"/>
      <c r="O8" s="445"/>
      <c r="P8" s="203"/>
      <c r="Q8" s="446" t="s">
        <v>594</v>
      </c>
      <c r="R8" s="447"/>
      <c r="S8" s="447"/>
      <c r="T8" s="448" t="s">
        <v>595</v>
      </c>
    </row>
    <row r="9" spans="1:44" ht="9.75" customHeight="1" x14ac:dyDescent="0.2">
      <c r="A9" s="1009"/>
      <c r="B9" s="1009"/>
      <c r="C9" s="1009"/>
      <c r="D9" s="1042"/>
      <c r="E9" s="1043"/>
      <c r="F9" s="1009"/>
      <c r="G9" s="1009"/>
      <c r="H9" s="1043"/>
      <c r="O9" s="449"/>
      <c r="Q9" s="1"/>
      <c r="R9" s="1"/>
      <c r="S9" s="1"/>
      <c r="T9" s="450"/>
    </row>
    <row r="10" spans="1:44" ht="15.75" customHeight="1" x14ac:dyDescent="0.2">
      <c r="A10" s="1046" t="str">
        <f>Informe!A7</f>
        <v>Fabricante / importador:  Receptor: INDUSTRIAL SYSTEMS S.A. / Indicador: INDUSTRIAL SYSTEMS S.A.</v>
      </c>
      <c r="B10" s="1009"/>
      <c r="C10" s="1009"/>
      <c r="D10" s="1042"/>
      <c r="E10" s="1043"/>
      <c r="F10" s="1009"/>
      <c r="G10" s="1009"/>
      <c r="H10" s="1043"/>
      <c r="O10" s="451" t="s">
        <v>596</v>
      </c>
      <c r="Q10" s="1"/>
      <c r="R10" s="1"/>
      <c r="S10" s="61" t="s">
        <v>597</v>
      </c>
      <c r="T10" s="450"/>
    </row>
    <row r="11" spans="1:44" ht="15.95" customHeight="1" x14ac:dyDescent="0.2">
      <c r="A11" s="1046" t="str">
        <f>Informe!A9</f>
        <v>Modelo:  Receptor: TruckTRONIX 8020 / Indicador: PB 10.000</v>
      </c>
      <c r="B11" s="1009"/>
      <c r="C11" s="1009"/>
      <c r="D11" s="1042"/>
      <c r="E11" s="1043"/>
      <c r="F11" s="1009"/>
      <c r="G11" s="1009"/>
      <c r="H11" s="1043"/>
      <c r="O11" s="449"/>
      <c r="Q11" s="1"/>
      <c r="R11" s="1"/>
      <c r="S11" s="1"/>
      <c r="T11" s="450"/>
    </row>
    <row r="12" spans="1:44" ht="15.95" customHeight="1" x14ac:dyDescent="0.25">
      <c r="A12" s="1046" t="str">
        <f>Informe!A10</f>
        <v>Número de serie:  Receptor: 28082017214 / Indicador: 28082017215</v>
      </c>
      <c r="B12" s="1009"/>
      <c r="C12" s="1009"/>
      <c r="D12" s="1042"/>
      <c r="E12" s="1043"/>
      <c r="F12" s="1009"/>
      <c r="G12" s="1009"/>
      <c r="H12" s="1043"/>
      <c r="I12" s="419"/>
      <c r="J12" s="12"/>
      <c r="K12" s="12"/>
      <c r="L12" s="12"/>
      <c r="M12" s="12"/>
      <c r="N12" s="12"/>
      <c r="O12" s="452"/>
      <c r="Q12" s="1"/>
      <c r="R12" s="1"/>
      <c r="S12" s="1"/>
      <c r="T12" s="450"/>
    </row>
    <row r="13" spans="1:44" ht="15.95" customHeight="1" x14ac:dyDescent="0.25">
      <c r="A13" s="1046" t="str">
        <f>Informe!A14</f>
        <v>Código de aprobación de modelo: Receptor  BF.80-2172 / Indicador BF.60-1624</v>
      </c>
      <c r="B13" s="1009"/>
      <c r="C13" s="1009"/>
      <c r="D13" s="1042"/>
      <c r="E13" s="1043"/>
      <c r="F13" s="1009"/>
      <c r="G13" s="1009"/>
      <c r="H13" s="1043"/>
      <c r="I13" s="419"/>
      <c r="J13" s="12"/>
      <c r="K13" s="12"/>
      <c r="L13" s="12"/>
      <c r="M13" s="12"/>
      <c r="N13" s="12"/>
      <c r="O13" s="452"/>
      <c r="Q13" s="61" t="s">
        <v>598</v>
      </c>
      <c r="R13" s="1"/>
      <c r="S13" s="1"/>
      <c r="T13" s="453" t="s">
        <v>599</v>
      </c>
    </row>
    <row r="14" spans="1:44" ht="15.95" hidden="1" customHeight="1" x14ac:dyDescent="0.25">
      <c r="A14" s="1046"/>
      <c r="B14" s="1009"/>
      <c r="C14" s="1009"/>
      <c r="D14" s="1042"/>
      <c r="E14" s="1043"/>
      <c r="F14" s="1009"/>
      <c r="G14" s="1009"/>
      <c r="H14" s="1043"/>
      <c r="I14" s="419"/>
      <c r="J14" s="12"/>
      <c r="K14" s="12"/>
      <c r="L14" s="12"/>
      <c r="M14" s="12"/>
      <c r="N14" s="12"/>
      <c r="O14" s="452"/>
      <c r="Q14" s="1"/>
      <c r="R14" s="1"/>
      <c r="S14" s="1"/>
      <c r="T14" s="450"/>
    </row>
    <row r="15" spans="1:44" ht="15.95" customHeight="1" thickBot="1" x14ac:dyDescent="0.3">
      <c r="A15" s="1046" t="str">
        <f>Informe!A15</f>
        <v>Precintos Nº: Placa identificatoria del receptor (a) N03475, Placa identificatoria del indicador (a) N03474, Indicador (a) B79341, B79342 (05/11/25), Caja de ecualización (a) B739443, B79344 (05/11/25) y Verificado (a) 1104924 (05/11/25).</v>
      </c>
      <c r="B15" s="1009"/>
      <c r="C15" s="1009"/>
      <c r="D15" s="1042"/>
      <c r="E15" s="1043"/>
      <c r="F15" s="1009"/>
      <c r="G15" s="1009"/>
      <c r="H15" s="1043"/>
      <c r="I15" s="419"/>
      <c r="J15" s="12"/>
      <c r="K15" s="12"/>
      <c r="L15" s="12"/>
      <c r="M15" s="12"/>
      <c r="N15" s="12"/>
      <c r="O15" s="452"/>
      <c r="Q15" s="1"/>
      <c r="R15" s="1"/>
      <c r="S15" s="1"/>
      <c r="T15" s="450"/>
    </row>
    <row r="16" spans="1:44" ht="21.6" customHeight="1" thickBot="1" x14ac:dyDescent="0.3">
      <c r="A16" s="1009"/>
      <c r="B16" s="1009"/>
      <c r="C16" s="1009"/>
      <c r="D16" s="1042"/>
      <c r="E16" s="1043"/>
      <c r="F16" s="1009"/>
      <c r="G16" s="1009"/>
      <c r="H16" s="1043"/>
      <c r="I16" s="419"/>
      <c r="J16" s="1055" t="str">
        <f>IF('Acta Suspensión'!L10='Acta Suspensión'!AB29,'Acta Suspensión'!L14,(VLOOKUP('Acta Suspensión'!L10,'Acta Suspensión'!AB15:AC28,2)))</f>
        <v>NO CUMPLE con el punto 9.1.1 de la Resolución S.C. y N.E.I. Nº 2307/80 (Errores de indicación)</v>
      </c>
      <c r="K16" s="1009"/>
      <c r="L16" s="1009"/>
      <c r="M16" s="1009"/>
      <c r="N16" s="1009"/>
      <c r="O16" s="993" t="s">
        <v>600</v>
      </c>
      <c r="P16" s="847"/>
      <c r="Q16" s="847"/>
      <c r="R16" s="847"/>
      <c r="S16" s="847"/>
      <c r="T16" s="858"/>
    </row>
    <row r="17" spans="1:49" ht="30.75" customHeight="1" x14ac:dyDescent="0.2">
      <c r="A17" s="1008" t="str">
        <f>Informe!A16</f>
        <v>Lugar de instalación: Zona de pesaje - RUTA PROVINCIAL Nº 20 S/N de la localidad de COSTA DE ARAUJO, provincia de Mendoza.</v>
      </c>
      <c r="B17" s="1009"/>
      <c r="C17" s="1009"/>
      <c r="D17" s="1042"/>
      <c r="E17" s="1043"/>
      <c r="F17" s="1009"/>
      <c r="G17" s="1009"/>
      <c r="H17" s="1043"/>
      <c r="J17" s="1009"/>
      <c r="K17" s="1009"/>
      <c r="L17" s="1009"/>
      <c r="M17" s="1009"/>
      <c r="N17" s="1009"/>
      <c r="O17" s="61"/>
    </row>
    <row r="18" spans="1:49" ht="15" customHeight="1" x14ac:dyDescent="0.25">
      <c r="A18" s="1008" t="s">
        <v>483</v>
      </c>
      <c r="B18" s="1009"/>
      <c r="C18" s="1046" t="str">
        <f>IF(COUNTA('Identificación del Instrumento'!$B$22)=1,VLOOKUP('Identificación del Instrumento'!$J$22,Informe!$I$17:$J$18,2,FALSE),"")</f>
        <v>Verificación del cumplimiento con la Reglamentación Metrológica y Técnica correspondiente a la Resolución ex S.E.C. y N.E.I. N° 2307/1980 y su modificatoria.</v>
      </c>
      <c r="D18" s="1042"/>
      <c r="E18" s="1043"/>
      <c r="F18" s="1009"/>
      <c r="G18" s="1009"/>
      <c r="H18" s="1043"/>
      <c r="I18" s="419"/>
      <c r="L18" s="12"/>
      <c r="M18" s="12"/>
      <c r="N18" s="12"/>
    </row>
    <row r="19" spans="1:49" ht="15" customHeight="1" x14ac:dyDescent="0.2">
      <c r="A19" s="591"/>
      <c r="B19" s="591"/>
      <c r="C19" s="1009"/>
      <c r="D19" s="1042"/>
      <c r="E19" s="1043"/>
      <c r="F19" s="1009"/>
      <c r="G19" s="1009"/>
      <c r="H19" s="1043"/>
      <c r="L19" s="7"/>
      <c r="M19" s="7"/>
    </row>
    <row r="20" spans="1:49" ht="16.5" customHeight="1" x14ac:dyDescent="0.2">
      <c r="A20" s="591"/>
      <c r="B20" s="591"/>
      <c r="C20" s="1009"/>
      <c r="D20" s="1042"/>
      <c r="E20" s="1043"/>
      <c r="F20" s="1009"/>
      <c r="G20" s="1009"/>
      <c r="H20" s="1043"/>
      <c r="L20" s="7"/>
      <c r="M20" s="7"/>
    </row>
    <row r="21" spans="1:49" ht="4.5" hidden="1" customHeight="1" x14ac:dyDescent="0.2">
      <c r="A21" s="591"/>
      <c r="B21" s="591"/>
      <c r="C21" s="591"/>
      <c r="D21" s="1046"/>
      <c r="E21" s="1043"/>
      <c r="F21" s="591"/>
      <c r="G21" s="1046"/>
      <c r="H21" s="1043"/>
      <c r="I21" s="420"/>
      <c r="J21" s="420"/>
      <c r="K21" s="420"/>
      <c r="M21" s="12"/>
      <c r="N21" s="12"/>
    </row>
    <row r="22" spans="1:49" ht="17.25" customHeight="1" x14ac:dyDescent="0.2">
      <c r="A22" s="1054" t="s">
        <v>601</v>
      </c>
      <c r="B22" s="1009"/>
      <c r="C22" s="1009"/>
      <c r="D22" s="1042"/>
      <c r="E22" s="1043"/>
      <c r="F22" s="1009"/>
      <c r="G22" s="1009"/>
      <c r="H22" s="1043"/>
      <c r="I22" s="421">
        <v>1</v>
      </c>
      <c r="J22" s="422" t="s">
        <v>602</v>
      </c>
      <c r="K22" s="423"/>
      <c r="M22" s="12"/>
      <c r="N22" s="12"/>
      <c r="U22" s="61" t="s">
        <v>603</v>
      </c>
    </row>
    <row r="23" spans="1:49" ht="54" customHeight="1" x14ac:dyDescent="0.2">
      <c r="A23" s="1008" t="str">
        <f>CONCATENATE("La verificación programada para el día de la fecha se suspende por el siguinete motivo: ",J16, ".")</f>
        <v>La verificación programada para el día de la fecha se suspende por el siguinete motivo: NO CUMPLE con el punto 9.1.1 de la Resolución S.C. y N.E.I. Nº 2307/80 (Errores de indicación).</v>
      </c>
      <c r="B23" s="1009"/>
      <c r="C23" s="1009"/>
      <c r="D23" s="1042"/>
      <c r="E23" s="1043"/>
      <c r="F23" s="1009"/>
      <c r="G23" s="1009"/>
      <c r="H23" s="1043"/>
      <c r="I23" s="421">
        <v>2</v>
      </c>
      <c r="J23" s="422" t="s">
        <v>604</v>
      </c>
      <c r="K23" s="423"/>
      <c r="M23" s="12"/>
      <c r="N23" s="12"/>
      <c r="U23" s="61" t="s">
        <v>488</v>
      </c>
    </row>
    <row r="24" spans="1:49" s="416" customFormat="1" ht="16.5" customHeight="1" x14ac:dyDescent="0.25">
      <c r="A24" s="1053" t="str">
        <f>CONCATENATE("Fecha de la verificación:  ")</f>
        <v xml:space="preserve">Fecha de la verificación:  </v>
      </c>
      <c r="B24" s="1045"/>
      <c r="C24" s="1045"/>
      <c r="D24" s="1044" t="str">
        <f>Informe!D28</f>
        <v>1 de enero de 2025</v>
      </c>
      <c r="E24" s="1045"/>
      <c r="F24" s="1045"/>
      <c r="G24" s="1044"/>
      <c r="H24" s="1045"/>
      <c r="I24" s="61"/>
      <c r="J24" s="61"/>
      <c r="K24" s="61"/>
      <c r="L24" s="61"/>
      <c r="M24" s="14"/>
      <c r="N24" s="61"/>
      <c r="P24" s="61"/>
      <c r="Q24" s="61"/>
      <c r="R24" s="61"/>
      <c r="S24" s="61"/>
      <c r="T24" s="61"/>
      <c r="U24" s="61"/>
      <c r="V24" s="61"/>
      <c r="W24" s="61"/>
      <c r="X24" s="61"/>
      <c r="Y24" s="61"/>
      <c r="Z24" s="61"/>
      <c r="AA24" s="61"/>
      <c r="AB24" s="61"/>
      <c r="AC24" s="61"/>
      <c r="AD24" s="61"/>
      <c r="AE24" s="61"/>
      <c r="AF24" s="61"/>
      <c r="AG24" s="61"/>
      <c r="AH24" s="61"/>
      <c r="AI24" s="61"/>
      <c r="AJ24" s="61"/>
      <c r="AK24" s="61"/>
      <c r="AL24" s="61"/>
      <c r="AM24" s="61"/>
      <c r="AN24" s="61"/>
      <c r="AO24" s="61"/>
      <c r="AP24" s="61"/>
      <c r="AQ24" s="61"/>
      <c r="AR24" s="61"/>
      <c r="AS24" s="61"/>
      <c r="AT24" s="61"/>
      <c r="AU24" s="61"/>
      <c r="AV24" s="61"/>
      <c r="AW24" s="61"/>
    </row>
    <row r="25" spans="1:49" s="416" customFormat="1" ht="16.5" customHeight="1" x14ac:dyDescent="0.25">
      <c r="A25" s="1053" t="str">
        <f>CONCATENATE("Fecha de emisión:  ")</f>
        <v xml:space="preserve">Fecha de emisión:  </v>
      </c>
      <c r="B25" s="1045"/>
      <c r="C25" s="1045"/>
      <c r="D25" s="1044">
        <f ca="1">TODAY()</f>
        <v>46009</v>
      </c>
      <c r="E25" s="1045"/>
      <c r="F25" s="1045"/>
      <c r="G25" s="1045"/>
      <c r="H25" s="1045"/>
      <c r="I25" s="61"/>
      <c r="J25" s="61"/>
      <c r="K25" s="61"/>
      <c r="L25" s="61"/>
      <c r="M25" s="14"/>
      <c r="N25" s="61"/>
      <c r="P25" s="61"/>
      <c r="Q25" s="61"/>
      <c r="R25" s="61"/>
      <c r="S25" s="61"/>
      <c r="T25" s="61"/>
      <c r="U25" s="61"/>
      <c r="V25" s="61"/>
      <c r="W25" s="61"/>
      <c r="X25" s="61"/>
      <c r="Y25" s="61"/>
      <c r="Z25" s="61"/>
      <c r="AA25" s="61"/>
      <c r="AB25" s="61"/>
      <c r="AC25" s="61"/>
      <c r="AD25" s="61"/>
      <c r="AE25" s="61"/>
      <c r="AF25" s="61"/>
      <c r="AG25" s="61"/>
      <c r="AH25" s="61"/>
      <c r="AI25" s="61"/>
      <c r="AJ25" s="61"/>
      <c r="AK25" s="61"/>
      <c r="AL25" s="61"/>
      <c r="AM25" s="61"/>
      <c r="AN25" s="61"/>
      <c r="AO25" s="61"/>
      <c r="AP25" s="61"/>
      <c r="AQ25" s="61"/>
      <c r="AR25" s="61"/>
      <c r="AS25" s="61"/>
      <c r="AT25" s="61"/>
      <c r="AU25" s="61"/>
      <c r="AV25" s="61"/>
      <c r="AW25" s="61"/>
    </row>
    <row r="26" spans="1:49" s="416" customFormat="1" ht="16.5" customHeight="1" x14ac:dyDescent="0.25">
      <c r="A26" s="1048" t="s">
        <v>501</v>
      </c>
      <c r="B26" s="1045"/>
      <c r="C26" s="1045"/>
      <c r="D26" s="1045"/>
      <c r="E26" s="1045"/>
      <c r="F26" s="1045"/>
      <c r="G26" s="1045"/>
      <c r="H26" s="1045"/>
      <c r="I26" s="61"/>
      <c r="J26" s="61"/>
      <c r="K26" s="61"/>
      <c r="L26" s="61"/>
      <c r="M26" s="14"/>
      <c r="N26" s="61"/>
      <c r="P26" s="61"/>
      <c r="Q26" s="61"/>
      <c r="R26" s="61"/>
      <c r="S26" s="61"/>
      <c r="T26" s="61"/>
      <c r="U26" s="61"/>
      <c r="V26" s="61"/>
      <c r="W26" s="61"/>
      <c r="X26" s="61"/>
      <c r="Y26" s="61"/>
      <c r="Z26" s="61"/>
      <c r="AA26" s="61"/>
      <c r="AB26" s="61"/>
      <c r="AC26" s="61"/>
      <c r="AD26" s="61"/>
      <c r="AE26" s="61"/>
      <c r="AF26" s="61"/>
      <c r="AG26" s="61"/>
      <c r="AH26" s="61"/>
      <c r="AI26" s="61"/>
      <c r="AJ26" s="61"/>
      <c r="AK26" s="61"/>
      <c r="AL26" s="61"/>
      <c r="AM26" s="61"/>
      <c r="AN26" s="61"/>
      <c r="AO26" s="61"/>
      <c r="AP26" s="61"/>
      <c r="AQ26" s="61"/>
      <c r="AR26" s="61"/>
      <c r="AS26" s="61"/>
      <c r="AT26" s="61"/>
      <c r="AU26" s="61"/>
      <c r="AV26" s="61"/>
      <c r="AW26" s="61"/>
    </row>
    <row r="27" spans="1:49" s="416" customFormat="1" ht="6" hidden="1" customHeight="1" x14ac:dyDescent="0.25">
      <c r="A27" s="560"/>
      <c r="B27" s="560"/>
      <c r="C27" s="560"/>
      <c r="D27" s="664"/>
      <c r="E27" s="664"/>
      <c r="F27" s="664"/>
      <c r="G27" s="664"/>
      <c r="H27" s="664"/>
      <c r="I27" s="61"/>
      <c r="J27" s="61"/>
      <c r="K27" s="61"/>
      <c r="L27" s="61"/>
      <c r="M27" s="14"/>
      <c r="N27" s="61"/>
      <c r="P27" s="61"/>
      <c r="Q27" s="61"/>
      <c r="R27" s="61"/>
      <c r="S27" s="61"/>
      <c r="T27" s="61"/>
      <c r="U27" s="61"/>
      <c r="V27" s="61"/>
      <c r="W27" s="61"/>
      <c r="X27" s="61"/>
      <c r="Y27" s="61"/>
      <c r="Z27" s="61"/>
      <c r="AA27" s="61"/>
      <c r="AB27" s="61"/>
      <c r="AC27" s="61"/>
      <c r="AD27" s="61"/>
      <c r="AE27" s="61"/>
      <c r="AF27" s="61"/>
      <c r="AG27" s="61"/>
      <c r="AH27" s="61"/>
      <c r="AI27" s="61"/>
      <c r="AJ27" s="61"/>
      <c r="AK27" s="61"/>
      <c r="AL27" s="61"/>
      <c r="AM27" s="61"/>
      <c r="AN27" s="61"/>
      <c r="AO27" s="61"/>
      <c r="AP27" s="61"/>
      <c r="AQ27" s="61"/>
      <c r="AR27" s="61"/>
      <c r="AS27" s="61"/>
      <c r="AT27" s="61"/>
      <c r="AU27" s="61"/>
      <c r="AV27" s="61"/>
      <c r="AW27" s="61"/>
    </row>
    <row r="28" spans="1:49" s="416" customFormat="1" ht="5.25" customHeight="1" x14ac:dyDescent="0.25">
      <c r="A28" s="1049" t="s">
        <v>605</v>
      </c>
      <c r="B28" s="1045"/>
      <c r="C28" s="1045"/>
      <c r="D28" s="1045"/>
      <c r="E28" s="1045"/>
      <c r="F28" s="1045"/>
      <c r="G28" s="1045"/>
      <c r="H28" s="1045"/>
      <c r="I28" s="61"/>
      <c r="J28" s="61"/>
      <c r="K28" s="61"/>
      <c r="L28" s="61"/>
      <c r="M28" s="14"/>
      <c r="N28" s="61"/>
      <c r="P28" s="61"/>
      <c r="Q28" s="61"/>
      <c r="R28" s="61"/>
      <c r="S28" s="61"/>
      <c r="T28" s="61"/>
      <c r="U28" s="61"/>
      <c r="V28" s="61"/>
      <c r="W28" s="61"/>
      <c r="X28" s="61"/>
      <c r="Y28" s="61"/>
      <c r="Z28" s="61"/>
      <c r="AA28" s="61"/>
      <c r="AB28" s="61"/>
      <c r="AC28" s="61"/>
      <c r="AD28" s="61"/>
      <c r="AE28" s="61"/>
      <c r="AF28" s="61"/>
      <c r="AG28" s="61"/>
      <c r="AH28" s="61"/>
      <c r="AI28" s="61"/>
      <c r="AJ28" s="61"/>
      <c r="AK28" s="61"/>
      <c r="AL28" s="61"/>
      <c r="AM28" s="61"/>
      <c r="AN28" s="61"/>
      <c r="AO28" s="61"/>
      <c r="AP28" s="61"/>
      <c r="AQ28" s="61"/>
      <c r="AR28" s="61"/>
      <c r="AS28" s="61"/>
      <c r="AT28" s="61"/>
      <c r="AU28" s="61"/>
      <c r="AV28" s="61"/>
      <c r="AW28" s="61"/>
    </row>
    <row r="29" spans="1:49" s="416" customFormat="1" ht="55.5" customHeight="1" x14ac:dyDescent="0.25">
      <c r="A29" s="1045"/>
      <c r="B29" s="1045"/>
      <c r="C29" s="1045"/>
      <c r="D29" s="1045"/>
      <c r="E29" s="1045"/>
      <c r="F29" s="1045"/>
      <c r="G29" s="1045"/>
      <c r="H29" s="1045"/>
      <c r="I29" s="61"/>
      <c r="J29" s="61"/>
      <c r="K29" s="61"/>
      <c r="L29" s="61"/>
      <c r="M29" s="14"/>
      <c r="N29" s="61"/>
      <c r="P29" s="61"/>
      <c r="Q29" s="61"/>
      <c r="R29" s="61"/>
      <c r="S29" s="61"/>
      <c r="T29" s="61"/>
      <c r="U29" s="61"/>
      <c r="V29" s="61"/>
      <c r="W29" s="61"/>
      <c r="X29" s="61"/>
      <c r="Y29" s="61"/>
      <c r="Z29" s="61"/>
      <c r="AA29" s="61"/>
      <c r="AB29" s="61"/>
      <c r="AC29" s="61"/>
      <c r="AD29" s="61"/>
      <c r="AE29" s="61"/>
      <c r="AF29" s="61"/>
      <c r="AG29" s="61"/>
      <c r="AH29" s="61"/>
      <c r="AI29" s="61"/>
      <c r="AJ29" s="61"/>
      <c r="AK29" s="61"/>
      <c r="AL29" s="61"/>
      <c r="AM29" s="61"/>
      <c r="AN29" s="61"/>
      <c r="AO29" s="61"/>
      <c r="AP29" s="61"/>
      <c r="AQ29" s="61"/>
      <c r="AR29" s="61"/>
      <c r="AS29" s="61"/>
      <c r="AT29" s="61"/>
      <c r="AU29" s="61"/>
      <c r="AV29" s="61"/>
      <c r="AW29" s="61"/>
    </row>
    <row r="30" spans="1:49" s="416" customFormat="1" ht="0.75" customHeight="1" x14ac:dyDescent="0.25">
      <c r="A30" s="26"/>
      <c r="B30" s="26"/>
      <c r="C30" s="26"/>
      <c r="D30" s="1052"/>
      <c r="E30" s="1045"/>
      <c r="F30" s="664"/>
      <c r="G30" s="1044"/>
      <c r="H30" s="1045"/>
      <c r="I30" s="61"/>
      <c r="J30" s="61"/>
      <c r="K30" s="61"/>
      <c r="L30" s="61"/>
      <c r="M30" s="14"/>
      <c r="N30" s="61"/>
      <c r="P30" s="61"/>
      <c r="Q30" s="61"/>
      <c r="R30" s="61"/>
      <c r="S30" s="61"/>
      <c r="T30" s="61"/>
      <c r="U30" s="61"/>
      <c r="V30" s="61"/>
      <c r="W30" s="61"/>
      <c r="X30" s="61"/>
      <c r="Y30" s="61"/>
      <c r="Z30" s="61"/>
      <c r="AA30" s="61"/>
      <c r="AB30" s="61"/>
      <c r="AC30" s="61"/>
      <c r="AD30" s="61"/>
      <c r="AE30" s="61"/>
      <c r="AF30" s="61"/>
      <c r="AG30" s="61"/>
      <c r="AH30" s="61"/>
      <c r="AI30" s="61"/>
      <c r="AJ30" s="61"/>
      <c r="AK30" s="61"/>
      <c r="AL30" s="61"/>
      <c r="AM30" s="61"/>
      <c r="AN30" s="61"/>
      <c r="AO30" s="61"/>
      <c r="AP30" s="61"/>
      <c r="AQ30" s="61"/>
      <c r="AR30" s="61"/>
      <c r="AS30" s="61"/>
      <c r="AT30" s="61"/>
      <c r="AU30" s="61"/>
      <c r="AV30" s="61"/>
      <c r="AW30" s="61"/>
    </row>
    <row r="31" spans="1:49" s="416" customFormat="1" ht="24" hidden="1" customHeight="1" x14ac:dyDescent="0.25">
      <c r="A31" s="1058"/>
      <c r="B31" s="1045"/>
      <c r="C31" s="1045"/>
      <c r="D31" s="1045"/>
      <c r="E31" s="1045"/>
      <c r="F31" s="1045"/>
      <c r="G31" s="1045"/>
      <c r="H31" s="1045"/>
      <c r="I31" s="61"/>
      <c r="J31" s="61"/>
      <c r="K31" s="61"/>
      <c r="L31" s="61"/>
      <c r="M31" s="14"/>
      <c r="N31" s="61"/>
      <c r="P31" s="61"/>
      <c r="Q31" s="61"/>
      <c r="R31" s="61"/>
      <c r="S31" s="61"/>
      <c r="T31" s="61"/>
      <c r="U31" s="61"/>
      <c r="V31" s="61"/>
      <c r="W31" s="61"/>
      <c r="X31" s="61"/>
      <c r="Y31" s="61"/>
      <c r="Z31" s="61"/>
      <c r="AA31" s="61"/>
      <c r="AB31" s="61"/>
      <c r="AC31" s="61"/>
      <c r="AD31" s="61"/>
      <c r="AE31" s="61"/>
      <c r="AF31" s="61"/>
      <c r="AG31" s="61"/>
      <c r="AH31" s="61"/>
      <c r="AI31" s="61"/>
      <c r="AJ31" s="61"/>
      <c r="AK31" s="61"/>
      <c r="AL31" s="61"/>
      <c r="AM31" s="61"/>
      <c r="AN31" s="61"/>
      <c r="AO31" s="61"/>
      <c r="AP31" s="61"/>
      <c r="AQ31" s="61"/>
      <c r="AR31" s="61"/>
      <c r="AS31" s="61"/>
      <c r="AT31" s="61"/>
      <c r="AU31" s="61"/>
      <c r="AV31" s="61"/>
      <c r="AW31" s="61"/>
    </row>
    <row r="32" spans="1:49" s="416" customFormat="1" ht="15.75" customHeight="1" x14ac:dyDescent="0.25">
      <c r="A32" s="103" t="s">
        <v>503</v>
      </c>
      <c r="B32" s="1060" t="str">
        <f>Informe!B33</f>
        <v>Marolio S.A.</v>
      </c>
      <c r="C32" s="1045"/>
      <c r="D32" s="1045"/>
      <c r="E32" s="1045"/>
      <c r="F32" s="1045"/>
      <c r="G32" s="1045"/>
      <c r="H32" s="1045"/>
      <c r="I32" s="417"/>
      <c r="J32" s="13"/>
      <c r="K32" s="13"/>
      <c r="L32" s="13"/>
      <c r="M32" s="13"/>
      <c r="N32" s="13"/>
      <c r="P32" s="61"/>
      <c r="Q32" s="61"/>
      <c r="R32" s="61"/>
      <c r="S32" s="61"/>
      <c r="T32" s="61"/>
      <c r="U32" s="61"/>
      <c r="V32" s="61"/>
      <c r="W32" s="61"/>
      <c r="X32" s="61"/>
      <c r="Y32" s="61"/>
      <c r="Z32" s="61"/>
      <c r="AA32" s="61"/>
      <c r="AB32" s="61"/>
      <c r="AC32" s="61"/>
      <c r="AD32" s="61"/>
      <c r="AE32" s="61"/>
      <c r="AF32" s="61"/>
      <c r="AG32" s="61"/>
      <c r="AH32" s="61"/>
      <c r="AI32" s="61"/>
      <c r="AJ32" s="61"/>
      <c r="AK32" s="61"/>
      <c r="AL32" s="61"/>
      <c r="AM32" s="61"/>
      <c r="AN32" s="61"/>
      <c r="AO32" s="61"/>
      <c r="AP32" s="61"/>
      <c r="AQ32" s="61"/>
      <c r="AR32" s="61"/>
      <c r="AS32" s="61"/>
      <c r="AT32" s="61"/>
      <c r="AU32" s="61"/>
      <c r="AV32" s="61"/>
      <c r="AW32" s="61"/>
    </row>
    <row r="33" spans="1:49" s="416" customFormat="1" ht="15" customHeight="1" x14ac:dyDescent="0.25">
      <c r="A33" s="665"/>
      <c r="B33" s="1060" t="str">
        <f>Informe!B34</f>
        <v>Empedrado 2531 - Ciudad Autónoma de Buenos Aires - Buenos Aires</v>
      </c>
      <c r="C33" s="1045"/>
      <c r="D33" s="1045"/>
      <c r="E33" s="1045"/>
      <c r="F33" s="1045"/>
      <c r="G33" s="1045"/>
      <c r="H33" s="1045"/>
      <c r="I33" s="417"/>
      <c r="J33" s="13"/>
      <c r="K33" s="13"/>
      <c r="L33" s="13"/>
      <c r="M33" s="13"/>
      <c r="N33" s="13"/>
      <c r="P33" s="61"/>
      <c r="Q33" s="61"/>
      <c r="R33" s="61"/>
      <c r="S33" s="61"/>
      <c r="T33" s="61"/>
      <c r="U33" s="61"/>
      <c r="V33" s="61"/>
      <c r="W33" s="61"/>
      <c r="X33" s="61"/>
      <c r="Y33" s="61"/>
      <c r="Z33" s="61"/>
      <c r="AA33" s="61"/>
      <c r="AB33" s="61"/>
      <c r="AC33" s="61"/>
      <c r="AD33" s="61"/>
      <c r="AE33" s="61"/>
      <c r="AF33" s="61"/>
      <c r="AG33" s="61"/>
      <c r="AH33" s="61"/>
      <c r="AI33" s="61"/>
      <c r="AJ33" s="61"/>
      <c r="AK33" s="61"/>
      <c r="AL33" s="61"/>
      <c r="AM33" s="61"/>
      <c r="AN33" s="61"/>
      <c r="AO33" s="61"/>
      <c r="AP33" s="61"/>
      <c r="AQ33" s="61"/>
      <c r="AR33" s="61"/>
      <c r="AS33" s="61"/>
      <c r="AT33" s="61"/>
      <c r="AU33" s="61"/>
      <c r="AV33" s="61"/>
      <c r="AW33" s="61"/>
    </row>
    <row r="34" spans="1:49" ht="15.75" customHeight="1" x14ac:dyDescent="0.25">
      <c r="A34" s="665"/>
      <c r="B34" s="1057" t="str">
        <f>Informe!B35</f>
        <v>Ciudad Autónoma de Buenos Aires</v>
      </c>
      <c r="C34" s="1009"/>
      <c r="D34" s="1042"/>
      <c r="E34" s="1043"/>
      <c r="F34" s="1009"/>
      <c r="G34" s="1009"/>
      <c r="H34" s="1043"/>
      <c r="I34" s="417"/>
      <c r="J34" s="13"/>
      <c r="K34" s="13"/>
      <c r="L34" s="13"/>
      <c r="M34" s="13"/>
      <c r="N34" s="13"/>
    </row>
    <row r="35" spans="1:49" ht="15.75" customHeight="1" x14ac:dyDescent="0.2">
      <c r="A35" s="4"/>
      <c r="B35" s="4"/>
      <c r="C35" s="4"/>
      <c r="D35" s="41"/>
      <c r="E35" s="50"/>
      <c r="F35" s="4"/>
      <c r="G35" s="4"/>
      <c r="N35" s="424"/>
      <c r="O35" s="61"/>
    </row>
    <row r="36" spans="1:49" ht="15.75" customHeight="1" x14ac:dyDescent="0.2">
      <c r="A36" s="4"/>
      <c r="B36" s="4"/>
      <c r="C36" s="4"/>
      <c r="D36" s="41"/>
      <c r="E36" s="50"/>
      <c r="F36" s="4"/>
      <c r="G36" s="4"/>
      <c r="N36" s="424"/>
      <c r="O36" s="61"/>
    </row>
    <row r="37" spans="1:49" ht="15.75" customHeight="1" x14ac:dyDescent="0.2">
      <c r="A37" s="4"/>
      <c r="B37" s="4"/>
      <c r="C37" s="4"/>
      <c r="D37" s="41"/>
      <c r="E37" s="50"/>
      <c r="F37" s="4"/>
      <c r="G37" s="4"/>
      <c r="N37" s="424"/>
      <c r="O37" s="61"/>
    </row>
    <row r="38" spans="1:49" ht="15.75" customHeight="1" x14ac:dyDescent="0.2">
      <c r="A38" s="4"/>
      <c r="B38" s="4"/>
      <c r="C38" s="4"/>
      <c r="D38" s="41"/>
      <c r="E38" s="50"/>
      <c r="F38" s="4"/>
      <c r="G38" s="4"/>
      <c r="N38" s="424"/>
      <c r="O38" s="61"/>
    </row>
    <row r="39" spans="1:49" ht="15.75" customHeight="1" x14ac:dyDescent="0.2">
      <c r="A39" s="4"/>
      <c r="B39" s="4"/>
      <c r="C39" s="4"/>
      <c r="D39" s="41"/>
      <c r="E39" s="50"/>
      <c r="F39" s="4"/>
      <c r="G39" s="4"/>
      <c r="N39" s="424"/>
      <c r="O39" s="61"/>
    </row>
    <row r="40" spans="1:49" ht="15.75" customHeight="1" x14ac:dyDescent="0.2">
      <c r="A40" s="4"/>
      <c r="B40" s="4"/>
      <c r="C40" s="4"/>
      <c r="D40" s="41"/>
      <c r="E40" s="50"/>
      <c r="F40" s="4"/>
      <c r="G40" s="4"/>
      <c r="N40" s="424"/>
      <c r="O40" s="61"/>
    </row>
    <row r="41" spans="1:49" ht="15.75" customHeight="1" x14ac:dyDescent="0.2">
      <c r="A41" s="4"/>
      <c r="B41" s="4"/>
      <c r="C41" s="4"/>
      <c r="D41" s="41"/>
      <c r="E41" s="50"/>
      <c r="F41" s="4"/>
      <c r="G41" s="4"/>
      <c r="N41" s="424"/>
      <c r="O41" s="61"/>
    </row>
    <row r="42" spans="1:49" ht="15.75" customHeight="1" x14ac:dyDescent="0.2">
      <c r="A42" s="4"/>
      <c r="B42" s="4"/>
      <c r="C42" s="4"/>
      <c r="D42" s="41"/>
      <c r="E42" s="50"/>
      <c r="F42" s="4"/>
      <c r="G42" s="4"/>
      <c r="N42" s="424"/>
      <c r="O42" s="61"/>
    </row>
    <row r="43" spans="1:49" ht="15.75" customHeight="1" x14ac:dyDescent="0.2">
      <c r="A43" s="4"/>
      <c r="B43" s="4"/>
      <c r="C43" s="4"/>
      <c r="D43" s="41"/>
      <c r="E43" s="50"/>
      <c r="F43" s="4"/>
      <c r="G43" s="4"/>
      <c r="N43" s="424"/>
      <c r="O43" s="61"/>
    </row>
    <row r="44" spans="1:49" ht="15.75" customHeight="1" x14ac:dyDescent="0.2">
      <c r="A44" s="4"/>
      <c r="B44" s="4"/>
      <c r="C44" s="4"/>
      <c r="D44" s="41"/>
      <c r="E44" s="50"/>
      <c r="F44" s="4"/>
      <c r="G44" s="4"/>
      <c r="N44" s="424"/>
      <c r="O44" s="61"/>
    </row>
    <row r="45" spans="1:49" ht="15.75" customHeight="1" x14ac:dyDescent="0.2">
      <c r="A45" s="4"/>
      <c r="B45" s="4"/>
      <c r="C45" s="4"/>
      <c r="D45" s="41"/>
      <c r="E45" s="50"/>
      <c r="F45" s="4"/>
      <c r="G45" s="4"/>
      <c r="N45" s="424"/>
      <c r="O45" s="61"/>
    </row>
    <row r="46" spans="1:49" ht="15.75" customHeight="1" x14ac:dyDescent="0.2">
      <c r="A46" s="4"/>
      <c r="B46" s="4"/>
      <c r="C46" s="4"/>
      <c r="D46" s="41"/>
      <c r="E46" s="50"/>
      <c r="F46" s="4"/>
      <c r="G46" s="4"/>
      <c r="N46" s="424"/>
      <c r="O46" s="61"/>
    </row>
    <row r="47" spans="1:49" ht="15.75" customHeight="1" x14ac:dyDescent="0.2">
      <c r="A47" s="4"/>
      <c r="B47" s="4"/>
      <c r="C47" s="4"/>
      <c r="D47" s="41"/>
      <c r="E47" s="50"/>
      <c r="F47" s="4"/>
      <c r="G47" s="4"/>
      <c r="N47" s="424"/>
      <c r="O47" s="61"/>
    </row>
    <row r="48" spans="1:49" ht="15.75" customHeight="1" x14ac:dyDescent="0.2">
      <c r="A48" s="4"/>
      <c r="B48" s="4"/>
      <c r="C48" s="4"/>
      <c r="D48" s="41"/>
      <c r="E48" s="50"/>
      <c r="F48" s="4"/>
      <c r="G48" s="4"/>
      <c r="N48" s="424"/>
      <c r="O48" s="61"/>
    </row>
    <row r="49" spans="1:15" ht="15.75" customHeight="1" x14ac:dyDescent="0.2">
      <c r="A49" s="4"/>
      <c r="B49" s="4"/>
      <c r="C49" s="4"/>
      <c r="D49" s="41"/>
      <c r="E49" s="50"/>
      <c r="F49" s="4"/>
      <c r="G49" s="4"/>
      <c r="N49" s="424"/>
      <c r="O49" s="61"/>
    </row>
    <row r="50" spans="1:15" ht="15.75" customHeight="1" x14ac:dyDescent="0.2">
      <c r="A50" s="4"/>
      <c r="B50" s="4"/>
      <c r="C50" s="4"/>
      <c r="D50" s="41"/>
      <c r="E50" s="50"/>
      <c r="F50" s="4"/>
      <c r="G50" s="4"/>
      <c r="N50" s="424"/>
      <c r="O50" s="61"/>
    </row>
    <row r="51" spans="1:15" ht="15.75" customHeight="1" x14ac:dyDescent="0.2">
      <c r="A51" s="4"/>
      <c r="B51" s="4"/>
      <c r="C51" s="4"/>
      <c r="D51" s="41"/>
      <c r="E51" s="50"/>
      <c r="F51" s="4"/>
      <c r="G51" s="4"/>
      <c r="N51" s="424"/>
      <c r="O51" s="61"/>
    </row>
    <row r="52" spans="1:15" ht="15.75" customHeight="1" x14ac:dyDescent="0.2">
      <c r="A52" s="4"/>
      <c r="B52" s="4"/>
      <c r="C52" s="4"/>
      <c r="D52" s="41"/>
      <c r="E52" s="50"/>
      <c r="F52" s="4"/>
      <c r="G52" s="4"/>
      <c r="N52" s="424"/>
      <c r="O52" s="61"/>
    </row>
    <row r="53" spans="1:15" ht="15.75" customHeight="1" x14ac:dyDescent="0.2">
      <c r="A53" s="4"/>
      <c r="B53" s="4"/>
      <c r="C53" s="4"/>
      <c r="D53" s="41"/>
      <c r="E53" s="50"/>
      <c r="F53" s="4"/>
      <c r="G53" s="4"/>
      <c r="N53" s="424"/>
      <c r="O53" s="61"/>
    </row>
    <row r="54" spans="1:15" ht="15.75" customHeight="1" x14ac:dyDescent="0.2">
      <c r="A54" s="4"/>
      <c r="B54" s="4"/>
      <c r="C54" s="4"/>
      <c r="D54" s="41"/>
      <c r="E54" s="50"/>
      <c r="F54" s="4"/>
      <c r="G54" s="4"/>
      <c r="N54" s="424"/>
      <c r="O54" s="61"/>
    </row>
    <row r="55" spans="1:15" ht="15.75" customHeight="1" x14ac:dyDescent="0.2">
      <c r="A55" s="4"/>
      <c r="B55" s="4"/>
      <c r="C55" s="4"/>
      <c r="D55" s="41"/>
      <c r="E55" s="50"/>
      <c r="F55" s="4"/>
      <c r="G55" s="4"/>
      <c r="N55" s="424"/>
      <c r="O55" s="61"/>
    </row>
    <row r="56" spans="1:15" ht="15.75" customHeight="1" x14ac:dyDescent="0.2">
      <c r="A56" s="4"/>
      <c r="B56" s="4"/>
      <c r="C56" s="4"/>
      <c r="D56" s="41"/>
      <c r="E56" s="50"/>
      <c r="F56" s="4"/>
      <c r="G56" s="4"/>
      <c r="N56" s="424"/>
      <c r="O56" s="61"/>
    </row>
    <row r="57" spans="1:15" ht="15.75" customHeight="1" x14ac:dyDescent="0.2">
      <c r="A57" s="4"/>
      <c r="B57" s="4"/>
      <c r="C57" s="4"/>
      <c r="D57" s="41"/>
      <c r="E57" s="50"/>
      <c r="F57" s="4"/>
      <c r="G57" s="4"/>
      <c r="N57" s="424"/>
      <c r="O57" s="61"/>
    </row>
    <row r="58" spans="1:15" ht="15.75" customHeight="1" x14ac:dyDescent="0.2">
      <c r="A58" s="4"/>
      <c r="B58" s="4"/>
      <c r="C58" s="4"/>
      <c r="D58" s="41"/>
      <c r="E58" s="50"/>
      <c r="F58" s="4"/>
      <c r="G58" s="4"/>
      <c r="N58" s="424"/>
      <c r="O58" s="61"/>
    </row>
    <row r="59" spans="1:15" ht="15.75" customHeight="1" x14ac:dyDescent="0.2">
      <c r="A59" s="4"/>
      <c r="B59" s="4"/>
      <c r="C59" s="4"/>
      <c r="D59" s="41"/>
      <c r="E59" s="50"/>
      <c r="F59" s="4"/>
      <c r="G59" s="4"/>
      <c r="N59" s="424"/>
      <c r="O59" s="61"/>
    </row>
    <row r="60" spans="1:15" ht="15.75" customHeight="1" x14ac:dyDescent="0.2">
      <c r="A60" s="4"/>
      <c r="B60" s="4"/>
      <c r="C60" s="4"/>
      <c r="D60" s="41"/>
      <c r="E60" s="50"/>
      <c r="F60" s="4"/>
      <c r="G60" s="4"/>
      <c r="N60" s="424"/>
      <c r="O60" s="61"/>
    </row>
    <row r="61" spans="1:15" ht="15.75" customHeight="1" x14ac:dyDescent="0.2">
      <c r="A61" s="4"/>
      <c r="B61" s="4"/>
      <c r="C61" s="4"/>
      <c r="D61" s="41"/>
      <c r="E61" s="50"/>
      <c r="F61" s="4"/>
      <c r="G61" s="4"/>
      <c r="N61" s="424"/>
      <c r="O61" s="61"/>
    </row>
    <row r="62" spans="1:15" ht="15.75" customHeight="1" x14ac:dyDescent="0.2">
      <c r="A62" s="4"/>
      <c r="B62" s="4"/>
      <c r="C62" s="4"/>
      <c r="D62" s="41"/>
      <c r="E62" s="50"/>
      <c r="F62" s="4"/>
      <c r="G62" s="4"/>
      <c r="N62" s="424"/>
      <c r="O62" s="61"/>
    </row>
    <row r="63" spans="1:15" ht="15.75" customHeight="1" x14ac:dyDescent="0.2">
      <c r="A63" s="4"/>
      <c r="B63" s="4"/>
      <c r="C63" s="4"/>
      <c r="D63" s="41"/>
      <c r="E63" s="50"/>
      <c r="F63" s="4"/>
      <c r="G63" s="4"/>
      <c r="N63" s="424"/>
      <c r="O63" s="61"/>
    </row>
    <row r="64" spans="1:15" ht="15.75" customHeight="1" x14ac:dyDescent="0.2">
      <c r="A64" s="4"/>
      <c r="B64" s="4"/>
      <c r="C64" s="4"/>
      <c r="D64" s="41"/>
      <c r="E64" s="50"/>
      <c r="F64" s="4"/>
      <c r="G64" s="4"/>
      <c r="N64" s="424"/>
      <c r="O64" s="61"/>
    </row>
    <row r="65" spans="1:15" ht="15.75" customHeight="1" x14ac:dyDescent="0.25">
      <c r="A65" s="4"/>
      <c r="B65" s="4"/>
      <c r="C65" s="4"/>
      <c r="D65" s="41"/>
      <c r="E65" s="42"/>
      <c r="F65" s="2"/>
      <c r="G65" s="2"/>
      <c r="N65" s="424"/>
      <c r="O65" s="61"/>
    </row>
    <row r="66" spans="1:15" ht="15.75" customHeight="1" x14ac:dyDescent="0.25">
      <c r="A66" s="4"/>
      <c r="B66" s="4"/>
      <c r="C66" s="4"/>
      <c r="D66" s="41"/>
      <c r="E66" s="42"/>
      <c r="F66" s="2"/>
      <c r="G66" s="2"/>
      <c r="N66" s="424"/>
      <c r="O66" s="61"/>
    </row>
    <row r="67" spans="1:15" ht="15.75" customHeight="1" x14ac:dyDescent="0.25">
      <c r="A67" s="4"/>
      <c r="B67" s="4"/>
      <c r="C67" s="4"/>
      <c r="D67" s="41"/>
      <c r="E67" s="42"/>
      <c r="F67" s="2"/>
      <c r="G67" s="2"/>
      <c r="N67" s="424"/>
      <c r="O67" s="61"/>
    </row>
    <row r="68" spans="1:15" ht="15.75" customHeight="1" x14ac:dyDescent="0.25">
      <c r="A68" s="4"/>
      <c r="B68" s="4"/>
      <c r="C68" s="4"/>
      <c r="D68" s="41"/>
      <c r="E68" s="42"/>
      <c r="F68" s="2"/>
      <c r="G68" s="2"/>
      <c r="N68" s="424"/>
      <c r="O68" s="61"/>
    </row>
    <row r="69" spans="1:15" ht="15.75" customHeight="1" x14ac:dyDescent="0.25">
      <c r="A69" s="4"/>
      <c r="B69" s="4"/>
      <c r="C69" s="4"/>
      <c r="D69" s="41"/>
      <c r="E69" s="42"/>
      <c r="F69" s="2"/>
      <c r="G69" s="2"/>
      <c r="N69" s="424"/>
      <c r="O69" s="61"/>
    </row>
    <row r="70" spans="1:15" ht="15.75" customHeight="1" x14ac:dyDescent="0.25">
      <c r="A70" s="4"/>
      <c r="B70" s="4"/>
      <c r="C70" s="4"/>
      <c r="D70" s="41"/>
      <c r="E70" s="42"/>
      <c r="F70" s="2"/>
      <c r="G70" s="2"/>
      <c r="N70" s="424"/>
      <c r="O70" s="61"/>
    </row>
    <row r="71" spans="1:15" ht="15.75" customHeight="1" x14ac:dyDescent="0.25">
      <c r="A71" s="4"/>
      <c r="B71" s="4"/>
      <c r="C71" s="4"/>
      <c r="D71" s="41"/>
      <c r="E71" s="42"/>
      <c r="F71" s="2"/>
      <c r="G71" s="2"/>
      <c r="N71" s="424"/>
      <c r="O71" s="61"/>
    </row>
    <row r="72" spans="1:15" ht="15.75" customHeight="1" x14ac:dyDescent="0.25">
      <c r="A72" s="4"/>
      <c r="B72" s="4"/>
      <c r="C72" s="4"/>
      <c r="D72" s="41"/>
      <c r="E72" s="42"/>
      <c r="F72" s="2"/>
      <c r="G72" s="2"/>
      <c r="N72" s="424"/>
      <c r="O72" s="61"/>
    </row>
    <row r="73" spans="1:15" ht="15.75" customHeight="1" x14ac:dyDescent="0.25">
      <c r="A73" s="4"/>
      <c r="B73" s="4"/>
      <c r="C73" s="4"/>
      <c r="D73" s="41"/>
      <c r="E73" s="42"/>
      <c r="F73" s="2"/>
      <c r="G73" s="2"/>
      <c r="N73" s="424"/>
      <c r="O73" s="61"/>
    </row>
    <row r="74" spans="1:15" ht="15.75" customHeight="1" x14ac:dyDescent="0.25">
      <c r="A74" s="4"/>
      <c r="B74" s="4"/>
      <c r="C74" s="4"/>
      <c r="D74" s="41"/>
      <c r="E74" s="42"/>
      <c r="F74" s="2"/>
      <c r="G74" s="2"/>
      <c r="N74" s="424"/>
      <c r="O74" s="61"/>
    </row>
    <row r="75" spans="1:15" ht="15.75" customHeight="1" x14ac:dyDescent="0.2">
      <c r="A75" s="4"/>
      <c r="B75" s="4"/>
      <c r="C75" s="4"/>
      <c r="D75" s="41"/>
      <c r="N75" s="424"/>
      <c r="O75" s="61"/>
    </row>
    <row r="76" spans="1:15" x14ac:dyDescent="0.2">
      <c r="N76" s="424"/>
    </row>
    <row r="77" spans="1:15" x14ac:dyDescent="0.2">
      <c r="N77" s="424"/>
    </row>
    <row r="78" spans="1:15" x14ac:dyDescent="0.2">
      <c r="A78" s="61" t="s">
        <v>504</v>
      </c>
      <c r="H78" s="39" t="s">
        <v>30</v>
      </c>
      <c r="N78" s="424"/>
      <c r="O78" s="61"/>
    </row>
    <row r="79" spans="1:15" x14ac:dyDescent="0.2">
      <c r="B79" s="61">
        <v>0</v>
      </c>
      <c r="C79" s="61" t="s">
        <v>289</v>
      </c>
      <c r="E79" s="415" t="e">
        <v>#REF!</v>
      </c>
      <c r="H79" s="43">
        <v>2</v>
      </c>
      <c r="N79" s="424"/>
      <c r="O79" s="61"/>
    </row>
    <row r="80" spans="1:15" x14ac:dyDescent="0.2">
      <c r="A80" s="61" t="s">
        <v>505</v>
      </c>
      <c r="N80" s="424"/>
      <c r="O80" s="61"/>
    </row>
    <row r="81" spans="1:15" x14ac:dyDescent="0.2">
      <c r="B81" s="425"/>
      <c r="C81" s="61" t="s">
        <v>289</v>
      </c>
      <c r="E81" s="415" t="s">
        <v>289</v>
      </c>
      <c r="N81" s="424"/>
      <c r="O81" s="61"/>
    </row>
    <row r="82" spans="1:15" x14ac:dyDescent="0.2">
      <c r="N82" s="424"/>
    </row>
    <row r="83" spans="1:15" x14ac:dyDescent="0.2">
      <c r="N83" s="424"/>
    </row>
    <row r="84" spans="1:15" x14ac:dyDescent="0.2">
      <c r="A84" s="61" t="e">
        <f>IF(#REF!=0,"El instrumento cumple con las tolerancias establecidas en el punto 9.1.1. de la Resolución 2307 de la Secretaría de Comercio ","El instrumento no cumple con las tolerancias establecidas en el punto 9.1.1. de la Resolución 2307 de la Secretaría de Comercio")</f>
        <v>#REF!</v>
      </c>
      <c r="N84" s="424"/>
      <c r="O84" s="61"/>
    </row>
    <row r="85" spans="1:15" x14ac:dyDescent="0.2">
      <c r="N85" s="424"/>
    </row>
    <row r="86" spans="1:15" x14ac:dyDescent="0.2">
      <c r="N86" s="424"/>
    </row>
    <row r="87" spans="1:15" x14ac:dyDescent="0.2">
      <c r="N87" s="424"/>
      <c r="O87" s="61"/>
    </row>
    <row r="88" spans="1:15" ht="15" customHeight="1" x14ac:dyDescent="0.2">
      <c r="A88" s="1041" t="s">
        <v>506</v>
      </c>
      <c r="B88" s="1009"/>
      <c r="C88" s="1009"/>
      <c r="D88" s="1042"/>
      <c r="E88" s="1043"/>
      <c r="F88" s="1009"/>
      <c r="G88" s="1009"/>
      <c r="H88" s="1043"/>
      <c r="N88" s="424"/>
      <c r="O88" s="61"/>
    </row>
    <row r="89" spans="1:15" x14ac:dyDescent="0.2">
      <c r="A89" s="1009"/>
      <c r="B89" s="1009"/>
      <c r="C89" s="1009"/>
      <c r="D89" s="1042"/>
      <c r="E89" s="1043"/>
      <c r="F89" s="1009"/>
      <c r="G89" s="1009"/>
      <c r="H89" s="1043"/>
      <c r="N89" s="424"/>
      <c r="O89" s="61"/>
    </row>
    <row r="90" spans="1:15" x14ac:dyDescent="0.2">
      <c r="A90" s="1009"/>
      <c r="B90" s="1009"/>
      <c r="C90" s="1009"/>
      <c r="D90" s="1042"/>
      <c r="E90" s="1043"/>
      <c r="F90" s="1009"/>
      <c r="G90" s="1009"/>
      <c r="H90" s="1043"/>
      <c r="N90" s="424"/>
      <c r="O90" s="61"/>
    </row>
    <row r="91" spans="1:15" x14ac:dyDescent="0.2">
      <c r="A91" s="1009"/>
      <c r="B91" s="1009"/>
      <c r="C91" s="1009"/>
      <c r="D91" s="1042"/>
      <c r="E91" s="1043"/>
      <c r="F91" s="1009"/>
      <c r="G91" s="1009"/>
      <c r="H91" s="1043"/>
      <c r="N91" s="424"/>
      <c r="O91" s="61"/>
    </row>
    <row r="92" spans="1:15" x14ac:dyDescent="0.2">
      <c r="A92" s="1009"/>
      <c r="B92" s="1009"/>
      <c r="C92" s="1009"/>
      <c r="D92" s="1042"/>
      <c r="E92" s="1043"/>
      <c r="F92" s="1009"/>
      <c r="G92" s="1009"/>
      <c r="H92" s="1043"/>
      <c r="N92" s="424"/>
      <c r="O92" s="61"/>
    </row>
    <row r="93" spans="1:15" x14ac:dyDescent="0.2">
      <c r="A93" s="1009"/>
      <c r="B93" s="1009"/>
      <c r="C93" s="1009"/>
      <c r="D93" s="1042"/>
      <c r="E93" s="1043"/>
      <c r="F93" s="1009"/>
      <c r="G93" s="1009"/>
      <c r="H93" s="1043"/>
      <c r="N93" s="424"/>
      <c r="O93" s="61"/>
    </row>
    <row r="94" spans="1:15" x14ac:dyDescent="0.2">
      <c r="A94" s="1041" t="s">
        <v>507</v>
      </c>
      <c r="B94" s="1009"/>
      <c r="C94" s="1009"/>
      <c r="D94" s="1042"/>
      <c r="E94" s="1043"/>
      <c r="F94" s="1009"/>
      <c r="G94" s="1009"/>
      <c r="H94" s="1043"/>
      <c r="N94" s="424"/>
      <c r="O94" s="61"/>
    </row>
    <row r="95" spans="1:15" x14ac:dyDescent="0.2">
      <c r="A95" s="1009"/>
      <c r="B95" s="1009"/>
      <c r="C95" s="1009"/>
      <c r="D95" s="1042"/>
      <c r="E95" s="1043"/>
      <c r="F95" s="1009"/>
      <c r="G95" s="1009"/>
      <c r="H95" s="1043"/>
      <c r="N95" s="424"/>
      <c r="O95" s="61"/>
    </row>
    <row r="96" spans="1:15" x14ac:dyDescent="0.2">
      <c r="A96" s="1009"/>
      <c r="B96" s="1009"/>
      <c r="C96" s="1009"/>
      <c r="D96" s="1042"/>
      <c r="E96" s="1043"/>
      <c r="F96" s="1009"/>
      <c r="G96" s="1009"/>
      <c r="H96" s="1043"/>
      <c r="N96" s="424"/>
      <c r="O96" s="61"/>
    </row>
    <row r="97" spans="1:15" x14ac:dyDescent="0.2">
      <c r="A97" s="1009"/>
      <c r="B97" s="1009"/>
      <c r="C97" s="1009"/>
      <c r="D97" s="1042"/>
      <c r="E97" s="1043"/>
      <c r="F97" s="1009"/>
      <c r="G97" s="1009"/>
      <c r="H97" s="1043"/>
      <c r="N97" s="424"/>
      <c r="O97" s="61"/>
    </row>
    <row r="98" spans="1:15" x14ac:dyDescent="0.2">
      <c r="A98" s="1009"/>
      <c r="B98" s="1009"/>
      <c r="C98" s="1009"/>
      <c r="D98" s="1042"/>
      <c r="E98" s="1043"/>
      <c r="F98" s="1009"/>
      <c r="G98" s="1009"/>
      <c r="H98" s="1043"/>
      <c r="N98" s="424"/>
      <c r="O98" s="61"/>
    </row>
    <row r="99" spans="1:15" x14ac:dyDescent="0.2">
      <c r="N99" s="424"/>
      <c r="O99" s="61"/>
    </row>
    <row r="100" spans="1:15" x14ac:dyDescent="0.2">
      <c r="N100" s="424"/>
      <c r="O100" s="61"/>
    </row>
    <row r="101" spans="1:15" x14ac:dyDescent="0.2">
      <c r="N101" s="424"/>
    </row>
    <row r="102" spans="1:15" x14ac:dyDescent="0.2">
      <c r="N102" s="424"/>
    </row>
    <row r="103" spans="1:15" x14ac:dyDescent="0.2">
      <c r="N103" s="424"/>
    </row>
    <row r="104" spans="1:15" x14ac:dyDescent="0.2">
      <c r="N104" s="424"/>
    </row>
    <row r="105" spans="1:15" x14ac:dyDescent="0.2">
      <c r="N105" s="424"/>
    </row>
    <row r="106" spans="1:15" x14ac:dyDescent="0.2">
      <c r="N106" s="424"/>
    </row>
    <row r="107" spans="1:15" x14ac:dyDescent="0.2">
      <c r="N107" s="424"/>
    </row>
    <row r="108" spans="1:15" x14ac:dyDescent="0.2">
      <c r="N108" s="424"/>
    </row>
    <row r="109" spans="1:15" x14ac:dyDescent="0.2">
      <c r="N109" s="424"/>
    </row>
    <row r="110" spans="1:15" x14ac:dyDescent="0.2">
      <c r="N110" s="424"/>
    </row>
    <row r="111" spans="1:15" x14ac:dyDescent="0.2">
      <c r="N111" s="424"/>
    </row>
    <row r="112" spans="1:15" x14ac:dyDescent="0.2">
      <c r="N112" s="424"/>
    </row>
    <row r="113" spans="1:49" x14ac:dyDescent="0.2">
      <c r="N113" s="424"/>
    </row>
    <row r="114" spans="1:49" s="416" customFormat="1" x14ac:dyDescent="0.2">
      <c r="A114" s="61"/>
      <c r="B114" s="61"/>
      <c r="C114" s="61"/>
      <c r="D114" s="414"/>
      <c r="E114" s="415"/>
      <c r="F114" s="61"/>
      <c r="G114" s="61"/>
      <c r="H114" s="415"/>
      <c r="I114" s="61"/>
      <c r="J114" s="61"/>
      <c r="K114" s="61"/>
      <c r="L114" s="61"/>
      <c r="M114" s="61"/>
      <c r="N114" s="424"/>
      <c r="P114" s="61"/>
      <c r="Q114" s="61"/>
      <c r="R114" s="61"/>
      <c r="S114" s="61"/>
      <c r="T114" s="61"/>
      <c r="U114" s="61"/>
      <c r="V114" s="61"/>
      <c r="W114" s="61"/>
      <c r="X114" s="61"/>
      <c r="Y114" s="61"/>
      <c r="Z114" s="61"/>
      <c r="AA114" s="61"/>
      <c r="AB114" s="61"/>
      <c r="AC114" s="61"/>
      <c r="AD114" s="61"/>
      <c r="AE114" s="61"/>
      <c r="AF114" s="61"/>
      <c r="AG114" s="61"/>
      <c r="AH114" s="61"/>
      <c r="AI114" s="61"/>
      <c r="AJ114" s="61"/>
      <c r="AK114" s="61"/>
      <c r="AL114" s="61"/>
      <c r="AM114" s="61"/>
      <c r="AN114" s="61"/>
      <c r="AO114" s="61"/>
      <c r="AP114" s="61"/>
      <c r="AQ114" s="61"/>
      <c r="AR114" s="61"/>
      <c r="AS114" s="61"/>
      <c r="AT114" s="61"/>
      <c r="AU114" s="61"/>
      <c r="AV114" s="61"/>
      <c r="AW114" s="61"/>
    </row>
    <row r="115" spans="1:49" s="416" customFormat="1" x14ac:dyDescent="0.2">
      <c r="A115" s="61"/>
      <c r="B115" s="61"/>
      <c r="C115" s="61"/>
      <c r="D115" s="414"/>
      <c r="E115" s="415"/>
      <c r="F115" s="61"/>
      <c r="G115" s="61"/>
      <c r="H115" s="415"/>
      <c r="I115" s="61"/>
      <c r="J115" s="61"/>
      <c r="K115" s="61"/>
      <c r="L115" s="61"/>
      <c r="M115" s="61"/>
      <c r="N115" s="424"/>
      <c r="P115" s="61"/>
      <c r="Q115" s="61"/>
      <c r="R115" s="61"/>
      <c r="S115" s="61"/>
      <c r="T115" s="61"/>
      <c r="U115" s="61"/>
      <c r="V115" s="61"/>
      <c r="W115" s="61"/>
      <c r="X115" s="61"/>
      <c r="Y115" s="61"/>
      <c r="Z115" s="61"/>
      <c r="AA115" s="61"/>
      <c r="AB115" s="61"/>
      <c r="AC115" s="61"/>
      <c r="AD115" s="61"/>
      <c r="AE115" s="61"/>
      <c r="AF115" s="61"/>
      <c r="AG115" s="61"/>
      <c r="AH115" s="61"/>
      <c r="AI115" s="61"/>
      <c r="AJ115" s="61"/>
      <c r="AK115" s="61"/>
      <c r="AL115" s="61"/>
      <c r="AM115" s="61"/>
      <c r="AN115" s="61"/>
      <c r="AO115" s="61"/>
      <c r="AP115" s="61"/>
      <c r="AQ115" s="61"/>
      <c r="AR115" s="61"/>
      <c r="AS115" s="61"/>
      <c r="AT115" s="61"/>
      <c r="AU115" s="61"/>
      <c r="AV115" s="61"/>
      <c r="AW115" s="61"/>
    </row>
    <row r="116" spans="1:49" s="416" customFormat="1" x14ac:dyDescent="0.2">
      <c r="A116" s="61"/>
      <c r="B116" s="61"/>
      <c r="C116" s="61"/>
      <c r="D116" s="414"/>
      <c r="E116" s="415"/>
      <c r="F116" s="61"/>
      <c r="G116" s="61"/>
      <c r="H116" s="415"/>
      <c r="I116" s="61"/>
      <c r="J116" s="61"/>
      <c r="K116" s="61"/>
      <c r="L116" s="61"/>
      <c r="M116" s="61"/>
      <c r="N116" s="424"/>
      <c r="P116" s="61"/>
      <c r="Q116" s="61"/>
      <c r="R116" s="61"/>
      <c r="S116" s="61"/>
      <c r="T116" s="61"/>
      <c r="U116" s="61"/>
      <c r="V116" s="61"/>
      <c r="W116" s="61"/>
      <c r="X116" s="61"/>
      <c r="Y116" s="61"/>
      <c r="Z116" s="61"/>
      <c r="AA116" s="61"/>
      <c r="AB116" s="61"/>
      <c r="AC116" s="61"/>
      <c r="AD116" s="61"/>
      <c r="AE116" s="61"/>
      <c r="AF116" s="61"/>
      <c r="AG116" s="61"/>
      <c r="AH116" s="61"/>
      <c r="AI116" s="61"/>
      <c r="AJ116" s="61"/>
      <c r="AK116" s="61"/>
      <c r="AL116" s="61"/>
      <c r="AM116" s="61"/>
      <c r="AN116" s="61"/>
      <c r="AO116" s="61"/>
      <c r="AP116" s="61"/>
      <c r="AQ116" s="61"/>
      <c r="AR116" s="61"/>
      <c r="AS116" s="61"/>
      <c r="AT116" s="61"/>
      <c r="AU116" s="61"/>
      <c r="AV116" s="61"/>
      <c r="AW116" s="61"/>
    </row>
    <row r="117" spans="1:49" s="416" customFormat="1" x14ac:dyDescent="0.2">
      <c r="A117" s="61"/>
      <c r="B117" s="61"/>
      <c r="C117" s="61"/>
      <c r="D117" s="414"/>
      <c r="E117" s="415"/>
      <c r="F117" s="61"/>
      <c r="G117" s="61"/>
      <c r="H117" s="415"/>
      <c r="I117" s="61"/>
      <c r="J117" s="61"/>
      <c r="K117" s="61"/>
      <c r="L117" s="61"/>
      <c r="M117" s="61"/>
      <c r="N117" s="424"/>
      <c r="P117" s="61"/>
      <c r="Q117" s="61"/>
      <c r="R117" s="61"/>
      <c r="S117" s="61"/>
      <c r="T117" s="61"/>
      <c r="U117" s="61"/>
      <c r="V117" s="61"/>
      <c r="W117" s="61"/>
      <c r="X117" s="61"/>
      <c r="Y117" s="61"/>
      <c r="Z117" s="61"/>
      <c r="AA117" s="61"/>
      <c r="AB117" s="61"/>
      <c r="AC117" s="61"/>
      <c r="AD117" s="61"/>
      <c r="AE117" s="61"/>
      <c r="AF117" s="61"/>
      <c r="AG117" s="61"/>
      <c r="AH117" s="61"/>
      <c r="AI117" s="61"/>
      <c r="AJ117" s="61"/>
      <c r="AK117" s="61"/>
      <c r="AL117" s="61"/>
      <c r="AM117" s="61"/>
      <c r="AN117" s="61"/>
      <c r="AO117" s="61"/>
      <c r="AP117" s="61"/>
      <c r="AQ117" s="61"/>
      <c r="AR117" s="61"/>
      <c r="AS117" s="61"/>
      <c r="AT117" s="61"/>
      <c r="AU117" s="61"/>
      <c r="AV117" s="61"/>
      <c r="AW117" s="61"/>
    </row>
    <row r="118" spans="1:49" s="416" customFormat="1" x14ac:dyDescent="0.2">
      <c r="A118" s="61"/>
      <c r="B118" s="61"/>
      <c r="C118" s="61"/>
      <c r="D118" s="414"/>
      <c r="E118" s="415"/>
      <c r="F118" s="61"/>
      <c r="G118" s="61"/>
      <c r="H118" s="415"/>
      <c r="I118" s="61"/>
      <c r="J118" s="61"/>
      <c r="K118" s="61"/>
      <c r="L118" s="61"/>
      <c r="M118" s="61"/>
      <c r="N118" s="424"/>
      <c r="P118" s="61"/>
      <c r="Q118" s="61"/>
      <c r="R118" s="61"/>
      <c r="S118" s="61"/>
      <c r="T118" s="61"/>
      <c r="U118" s="61"/>
      <c r="V118" s="61"/>
      <c r="W118" s="61"/>
      <c r="X118" s="61"/>
      <c r="Y118" s="61"/>
      <c r="Z118" s="61"/>
      <c r="AA118" s="61"/>
      <c r="AB118" s="61"/>
      <c r="AC118" s="61"/>
      <c r="AD118" s="61"/>
      <c r="AE118" s="61"/>
      <c r="AF118" s="61"/>
      <c r="AG118" s="61"/>
      <c r="AH118" s="61"/>
      <c r="AI118" s="61"/>
      <c r="AJ118" s="61"/>
      <c r="AK118" s="61"/>
      <c r="AL118" s="61"/>
      <c r="AM118" s="61"/>
      <c r="AN118" s="61"/>
      <c r="AO118" s="61"/>
      <c r="AP118" s="61"/>
      <c r="AQ118" s="61"/>
      <c r="AR118" s="61"/>
      <c r="AS118" s="61"/>
      <c r="AT118" s="61"/>
      <c r="AU118" s="61"/>
      <c r="AV118" s="61"/>
      <c r="AW118" s="61"/>
    </row>
    <row r="119" spans="1:49" s="416" customFormat="1" x14ac:dyDescent="0.2">
      <c r="A119" s="61"/>
      <c r="B119" s="61"/>
      <c r="C119" s="61"/>
      <c r="D119" s="414"/>
      <c r="E119" s="415"/>
      <c r="F119" s="61"/>
      <c r="G119" s="61"/>
      <c r="H119" s="415"/>
      <c r="I119" s="61"/>
      <c r="J119" s="61"/>
      <c r="K119" s="61"/>
      <c r="L119" s="61"/>
      <c r="M119" s="61"/>
      <c r="N119" s="424"/>
      <c r="P119" s="61"/>
      <c r="Q119" s="61"/>
      <c r="R119" s="61"/>
      <c r="S119" s="61"/>
      <c r="T119" s="61"/>
      <c r="U119" s="61"/>
      <c r="V119" s="61"/>
      <c r="W119" s="61"/>
      <c r="X119" s="61"/>
      <c r="Y119" s="61"/>
      <c r="Z119" s="61"/>
      <c r="AA119" s="61"/>
      <c r="AB119" s="61"/>
      <c r="AC119" s="61"/>
      <c r="AD119" s="61"/>
      <c r="AE119" s="61"/>
      <c r="AF119" s="61"/>
      <c r="AG119" s="61"/>
      <c r="AH119" s="61"/>
      <c r="AI119" s="61"/>
      <c r="AJ119" s="61"/>
      <c r="AK119" s="61"/>
      <c r="AL119" s="61"/>
      <c r="AM119" s="61"/>
      <c r="AN119" s="61"/>
      <c r="AO119" s="61"/>
      <c r="AP119" s="61"/>
      <c r="AQ119" s="61"/>
      <c r="AR119" s="61"/>
      <c r="AS119" s="61"/>
      <c r="AT119" s="61"/>
      <c r="AU119" s="61"/>
      <c r="AV119" s="61"/>
      <c r="AW119" s="61"/>
    </row>
    <row r="120" spans="1:49" s="416" customFormat="1" x14ac:dyDescent="0.2">
      <c r="A120" s="61"/>
      <c r="B120" s="61"/>
      <c r="C120" s="61"/>
      <c r="D120" s="414"/>
      <c r="E120" s="415"/>
      <c r="F120" s="61"/>
      <c r="G120" s="61"/>
      <c r="H120" s="415"/>
      <c r="I120" s="61"/>
      <c r="J120" s="61"/>
      <c r="K120" s="61"/>
      <c r="L120" s="61"/>
      <c r="M120" s="61"/>
      <c r="N120" s="424"/>
      <c r="P120" s="61"/>
      <c r="Q120" s="61"/>
      <c r="R120" s="61"/>
      <c r="S120" s="61"/>
      <c r="T120" s="61"/>
      <c r="U120" s="61"/>
      <c r="V120" s="61"/>
      <c r="W120" s="61"/>
      <c r="X120" s="61"/>
      <c r="Y120" s="61"/>
      <c r="Z120" s="61"/>
      <c r="AA120" s="61"/>
      <c r="AB120" s="61"/>
      <c r="AC120" s="61"/>
      <c r="AD120" s="61"/>
      <c r="AE120" s="61"/>
      <c r="AF120" s="61"/>
      <c r="AG120" s="61"/>
      <c r="AH120" s="61"/>
      <c r="AI120" s="61"/>
      <c r="AJ120" s="61"/>
      <c r="AK120" s="61"/>
      <c r="AL120" s="61"/>
      <c r="AM120" s="61"/>
      <c r="AN120" s="61"/>
      <c r="AO120" s="61"/>
      <c r="AP120" s="61"/>
      <c r="AQ120" s="61"/>
      <c r="AR120" s="61"/>
      <c r="AS120" s="61"/>
      <c r="AT120" s="61"/>
      <c r="AU120" s="61"/>
      <c r="AV120" s="61"/>
      <c r="AW120" s="61"/>
    </row>
    <row r="121" spans="1:49" s="416" customFormat="1" x14ac:dyDescent="0.2">
      <c r="A121" s="61"/>
      <c r="B121" s="61"/>
      <c r="C121" s="61"/>
      <c r="D121" s="414"/>
      <c r="E121" s="415"/>
      <c r="F121" s="61"/>
      <c r="G121" s="61"/>
      <c r="H121" s="415"/>
      <c r="I121" s="61"/>
      <c r="J121" s="61"/>
      <c r="K121" s="61"/>
      <c r="L121" s="61"/>
      <c r="M121" s="61"/>
      <c r="N121" s="61"/>
      <c r="P121" s="61"/>
      <c r="Q121" s="61"/>
      <c r="R121" s="61"/>
      <c r="S121" s="61"/>
      <c r="T121" s="61"/>
      <c r="U121" s="61"/>
      <c r="V121" s="61"/>
      <c r="W121" s="61"/>
      <c r="X121" s="61"/>
      <c r="Y121" s="61"/>
      <c r="Z121" s="61"/>
      <c r="AA121" s="61"/>
      <c r="AB121" s="61"/>
      <c r="AC121" s="61"/>
      <c r="AD121" s="61"/>
      <c r="AE121" s="61"/>
      <c r="AF121" s="61"/>
      <c r="AG121" s="61"/>
      <c r="AH121" s="61"/>
      <c r="AI121" s="61"/>
      <c r="AJ121" s="61"/>
      <c r="AK121" s="61"/>
      <c r="AL121" s="61"/>
      <c r="AM121" s="61"/>
      <c r="AN121" s="61"/>
      <c r="AO121" s="61"/>
      <c r="AP121" s="61"/>
      <c r="AQ121" s="61"/>
      <c r="AR121" s="61"/>
      <c r="AS121" s="61"/>
      <c r="AT121" s="61"/>
      <c r="AU121" s="61"/>
      <c r="AV121" s="61"/>
      <c r="AW121" s="61"/>
    </row>
    <row r="122" spans="1:49" s="416" customFormat="1" x14ac:dyDescent="0.2">
      <c r="A122" s="61"/>
      <c r="B122" s="61"/>
      <c r="C122" s="61"/>
      <c r="D122" s="414"/>
      <c r="E122" s="415"/>
      <c r="F122" s="61"/>
      <c r="G122" s="61"/>
      <c r="H122" s="415"/>
      <c r="I122" s="61"/>
      <c r="J122" s="61"/>
      <c r="K122" s="61"/>
      <c r="L122" s="61"/>
      <c r="M122" s="61"/>
      <c r="N122" s="61"/>
      <c r="P122" s="61"/>
      <c r="Q122" s="61"/>
      <c r="R122" s="61"/>
      <c r="S122" s="61"/>
      <c r="T122" s="61"/>
      <c r="U122" s="61"/>
      <c r="V122" s="61"/>
      <c r="W122" s="61"/>
      <c r="X122" s="61"/>
      <c r="Y122" s="61"/>
      <c r="Z122" s="61"/>
      <c r="AA122" s="61"/>
      <c r="AB122" s="61"/>
      <c r="AC122" s="61"/>
      <c r="AD122" s="61"/>
      <c r="AE122" s="61"/>
      <c r="AF122" s="61"/>
      <c r="AG122" s="61"/>
      <c r="AH122" s="61"/>
      <c r="AI122" s="61"/>
      <c r="AJ122" s="61"/>
      <c r="AK122" s="61"/>
      <c r="AL122" s="61"/>
      <c r="AM122" s="61"/>
      <c r="AN122" s="61"/>
      <c r="AO122" s="61"/>
      <c r="AP122" s="61"/>
      <c r="AQ122" s="61"/>
      <c r="AR122" s="61"/>
      <c r="AS122" s="61"/>
      <c r="AT122" s="61"/>
      <c r="AU122" s="61"/>
      <c r="AV122" s="61"/>
      <c r="AW122" s="61"/>
    </row>
    <row r="123" spans="1:49" s="416" customFormat="1" x14ac:dyDescent="0.2">
      <c r="A123" s="61"/>
      <c r="B123" s="61"/>
      <c r="C123" s="61"/>
      <c r="D123" s="414"/>
      <c r="E123" s="415"/>
      <c r="F123" s="61"/>
      <c r="G123" s="61"/>
      <c r="H123" s="415"/>
      <c r="I123" s="61"/>
      <c r="J123" s="61"/>
      <c r="K123" s="61"/>
      <c r="L123" s="61"/>
      <c r="M123" s="61"/>
      <c r="N123" s="61"/>
      <c r="P123" s="61"/>
      <c r="Q123" s="61"/>
      <c r="R123" s="61"/>
      <c r="S123" s="61"/>
      <c r="T123" s="61"/>
      <c r="U123" s="61"/>
      <c r="V123" s="61"/>
      <c r="W123" s="61"/>
      <c r="X123" s="61"/>
      <c r="Y123" s="61"/>
      <c r="Z123" s="61"/>
      <c r="AA123" s="61"/>
      <c r="AB123" s="61"/>
      <c r="AC123" s="61"/>
      <c r="AD123" s="61"/>
      <c r="AE123" s="61"/>
      <c r="AF123" s="61"/>
      <c r="AG123" s="61"/>
      <c r="AH123" s="61"/>
      <c r="AI123" s="61"/>
      <c r="AJ123" s="61"/>
      <c r="AK123" s="61"/>
      <c r="AL123" s="61"/>
      <c r="AM123" s="61"/>
      <c r="AN123" s="61"/>
      <c r="AO123" s="61"/>
      <c r="AP123" s="61"/>
      <c r="AQ123" s="61"/>
      <c r="AR123" s="61"/>
      <c r="AS123" s="61"/>
      <c r="AT123" s="61"/>
      <c r="AU123" s="61"/>
      <c r="AV123" s="61"/>
      <c r="AW123" s="61"/>
    </row>
    <row r="124" spans="1:49" s="416" customFormat="1" x14ac:dyDescent="0.2">
      <c r="A124" s="61"/>
      <c r="B124" s="61"/>
      <c r="C124" s="61"/>
      <c r="D124" s="414"/>
      <c r="E124" s="415"/>
      <c r="F124" s="61"/>
      <c r="G124" s="61"/>
      <c r="H124" s="415"/>
      <c r="I124" s="61"/>
      <c r="J124" s="61"/>
      <c r="K124" s="61"/>
      <c r="L124" s="61"/>
      <c r="M124" s="61"/>
      <c r="N124" s="61"/>
      <c r="P124" s="61"/>
      <c r="Q124" s="61"/>
      <c r="R124" s="61"/>
      <c r="S124" s="61"/>
      <c r="T124" s="61"/>
      <c r="U124" s="61"/>
      <c r="V124" s="61"/>
      <c r="W124" s="61"/>
      <c r="X124" s="61"/>
      <c r="Y124" s="61"/>
      <c r="Z124" s="61"/>
      <c r="AA124" s="61"/>
      <c r="AB124" s="61"/>
      <c r="AC124" s="61"/>
      <c r="AD124" s="61"/>
      <c r="AE124" s="61"/>
      <c r="AF124" s="61"/>
      <c r="AG124" s="61"/>
      <c r="AH124" s="61"/>
      <c r="AI124" s="61"/>
      <c r="AJ124" s="61"/>
      <c r="AK124" s="61"/>
      <c r="AL124" s="61"/>
      <c r="AM124" s="61"/>
      <c r="AN124" s="61"/>
      <c r="AO124" s="61"/>
      <c r="AP124" s="61"/>
      <c r="AQ124" s="61"/>
      <c r="AR124" s="61"/>
      <c r="AS124" s="61"/>
      <c r="AT124" s="61"/>
      <c r="AU124" s="61"/>
      <c r="AV124" s="61"/>
      <c r="AW124" s="61"/>
    </row>
    <row r="125" spans="1:49" s="416" customFormat="1" x14ac:dyDescent="0.2">
      <c r="A125" s="61"/>
      <c r="B125" s="61"/>
      <c r="C125" s="61"/>
      <c r="D125" s="414"/>
      <c r="E125" s="415"/>
      <c r="F125" s="61"/>
      <c r="G125" s="61"/>
      <c r="H125" s="415"/>
      <c r="I125" s="61"/>
      <c r="J125" s="61"/>
      <c r="K125" s="61"/>
      <c r="L125" s="61"/>
      <c r="M125" s="61"/>
      <c r="N125" s="61"/>
      <c r="P125" s="61"/>
      <c r="Q125" s="61"/>
      <c r="R125" s="61"/>
      <c r="S125" s="61"/>
      <c r="T125" s="61"/>
      <c r="U125" s="61"/>
      <c r="V125" s="61"/>
      <c r="W125" s="61"/>
      <c r="X125" s="61"/>
      <c r="Y125" s="61"/>
      <c r="Z125" s="61"/>
      <c r="AA125" s="61"/>
      <c r="AB125" s="61"/>
      <c r="AC125" s="61"/>
      <c r="AD125" s="61"/>
      <c r="AE125" s="61"/>
      <c r="AF125" s="61"/>
      <c r="AG125" s="61"/>
      <c r="AH125" s="61"/>
      <c r="AI125" s="61"/>
      <c r="AJ125" s="61"/>
      <c r="AK125" s="61"/>
      <c r="AL125" s="61"/>
      <c r="AM125" s="61"/>
      <c r="AN125" s="61"/>
      <c r="AO125" s="61"/>
      <c r="AP125" s="61"/>
      <c r="AQ125" s="61"/>
      <c r="AR125" s="61"/>
      <c r="AS125" s="61"/>
      <c r="AT125" s="61"/>
      <c r="AU125" s="61"/>
      <c r="AV125" s="61"/>
      <c r="AW125" s="61"/>
    </row>
    <row r="126" spans="1:49" s="416" customFormat="1" x14ac:dyDescent="0.2">
      <c r="A126" s="61"/>
      <c r="B126" s="61"/>
      <c r="C126" s="61"/>
      <c r="D126" s="414"/>
      <c r="E126" s="415"/>
      <c r="F126" s="61"/>
      <c r="G126" s="61"/>
      <c r="H126" s="415"/>
      <c r="I126" s="61"/>
      <c r="J126" s="61"/>
      <c r="K126" s="61"/>
      <c r="L126" s="61"/>
      <c r="M126" s="61"/>
      <c r="N126" s="61"/>
      <c r="P126" s="61"/>
      <c r="Q126" s="61"/>
      <c r="R126" s="61"/>
      <c r="S126" s="61"/>
      <c r="T126" s="61"/>
      <c r="U126" s="61"/>
      <c r="V126" s="61"/>
      <c r="W126" s="61"/>
      <c r="X126" s="61"/>
      <c r="Y126" s="61"/>
      <c r="Z126" s="61"/>
      <c r="AA126" s="61"/>
      <c r="AB126" s="61"/>
      <c r="AC126" s="61"/>
      <c r="AD126" s="61"/>
      <c r="AE126" s="61"/>
      <c r="AF126" s="61"/>
      <c r="AG126" s="61"/>
      <c r="AH126" s="61"/>
      <c r="AI126" s="61"/>
      <c r="AJ126" s="61"/>
      <c r="AK126" s="61"/>
      <c r="AL126" s="61"/>
      <c r="AM126" s="61"/>
      <c r="AN126" s="61"/>
      <c r="AO126" s="61"/>
      <c r="AP126" s="61"/>
      <c r="AQ126" s="61"/>
      <c r="AR126" s="61"/>
      <c r="AS126" s="61"/>
      <c r="AT126" s="61"/>
      <c r="AU126" s="61"/>
      <c r="AV126" s="61"/>
      <c r="AW126" s="61"/>
    </row>
    <row r="127" spans="1:49" s="416" customFormat="1" x14ac:dyDescent="0.2">
      <c r="A127" s="61"/>
      <c r="B127" s="61"/>
      <c r="C127" s="61"/>
      <c r="D127" s="414"/>
      <c r="E127" s="415"/>
      <c r="F127" s="61"/>
      <c r="G127" s="61"/>
      <c r="H127" s="415"/>
      <c r="I127" s="61"/>
      <c r="J127" s="61"/>
      <c r="K127" s="61"/>
      <c r="L127" s="61"/>
      <c r="M127" s="61"/>
      <c r="N127" s="61"/>
      <c r="P127" s="61"/>
      <c r="Q127" s="61"/>
      <c r="R127" s="61"/>
      <c r="S127" s="61"/>
      <c r="T127" s="61"/>
      <c r="U127" s="61"/>
      <c r="V127" s="61"/>
      <c r="W127" s="61"/>
      <c r="X127" s="61"/>
      <c r="Y127" s="61"/>
      <c r="Z127" s="61"/>
      <c r="AA127" s="61"/>
      <c r="AB127" s="61"/>
      <c r="AC127" s="61"/>
      <c r="AD127" s="61"/>
      <c r="AE127" s="61"/>
      <c r="AF127" s="61"/>
      <c r="AG127" s="61"/>
      <c r="AH127" s="61"/>
      <c r="AI127" s="61"/>
      <c r="AJ127" s="61"/>
      <c r="AK127" s="61"/>
      <c r="AL127" s="61"/>
      <c r="AM127" s="61"/>
      <c r="AN127" s="61"/>
      <c r="AO127" s="61"/>
      <c r="AP127" s="61"/>
      <c r="AQ127" s="61"/>
      <c r="AR127" s="61"/>
      <c r="AS127" s="61"/>
      <c r="AT127" s="61"/>
      <c r="AU127" s="61"/>
      <c r="AV127" s="61"/>
      <c r="AW127" s="61"/>
    </row>
    <row r="128" spans="1:49" s="416" customFormat="1" x14ac:dyDescent="0.2">
      <c r="A128" s="61"/>
      <c r="B128" s="61"/>
      <c r="C128" s="61"/>
      <c r="D128" s="414"/>
      <c r="E128" s="415"/>
      <c r="F128" s="61"/>
      <c r="G128" s="61"/>
      <c r="H128" s="415"/>
      <c r="I128" s="61"/>
      <c r="J128" s="61"/>
      <c r="K128" s="61"/>
      <c r="L128" s="61"/>
      <c r="M128" s="61"/>
      <c r="N128" s="61"/>
      <c r="P128" s="61"/>
      <c r="Q128" s="61"/>
      <c r="R128" s="61"/>
      <c r="S128" s="61"/>
      <c r="T128" s="61"/>
      <c r="U128" s="61"/>
      <c r="V128" s="61"/>
      <c r="W128" s="61"/>
      <c r="X128" s="61"/>
      <c r="Y128" s="61"/>
      <c r="Z128" s="61"/>
      <c r="AA128" s="61"/>
      <c r="AB128" s="61"/>
      <c r="AC128" s="61"/>
      <c r="AD128" s="61"/>
      <c r="AE128" s="61"/>
      <c r="AF128" s="61"/>
      <c r="AG128" s="61"/>
      <c r="AH128" s="61"/>
      <c r="AI128" s="61"/>
      <c r="AJ128" s="61"/>
      <c r="AK128" s="61"/>
      <c r="AL128" s="61"/>
      <c r="AM128" s="61"/>
      <c r="AN128" s="61"/>
      <c r="AO128" s="61"/>
      <c r="AP128" s="61"/>
      <c r="AQ128" s="61"/>
      <c r="AR128" s="61"/>
      <c r="AS128" s="61"/>
      <c r="AT128" s="61"/>
      <c r="AU128" s="61"/>
      <c r="AV128" s="61"/>
      <c r="AW128" s="61"/>
    </row>
    <row r="129" spans="1:49" s="416" customFormat="1" x14ac:dyDescent="0.2">
      <c r="A129" s="61"/>
      <c r="B129" s="61"/>
      <c r="C129" s="61"/>
      <c r="D129" s="414"/>
      <c r="E129" s="415"/>
      <c r="F129" s="61"/>
      <c r="G129" s="61"/>
      <c r="H129" s="415"/>
      <c r="I129" s="61"/>
      <c r="J129" s="61"/>
      <c r="K129" s="61"/>
      <c r="L129" s="61"/>
      <c r="M129" s="61"/>
      <c r="N129" s="61"/>
      <c r="P129" s="61"/>
      <c r="Q129" s="61"/>
      <c r="R129" s="61"/>
      <c r="S129" s="61"/>
      <c r="T129" s="61"/>
      <c r="U129" s="61"/>
      <c r="V129" s="61"/>
      <c r="W129" s="61"/>
      <c r="X129" s="61"/>
      <c r="Y129" s="61"/>
      <c r="Z129" s="61"/>
      <c r="AA129" s="61"/>
      <c r="AB129" s="61"/>
      <c r="AC129" s="61"/>
      <c r="AD129" s="61"/>
      <c r="AE129" s="61"/>
      <c r="AF129" s="61"/>
      <c r="AG129" s="61"/>
      <c r="AH129" s="61"/>
      <c r="AI129" s="61"/>
      <c r="AJ129" s="61"/>
      <c r="AK129" s="61"/>
      <c r="AL129" s="61"/>
      <c r="AM129" s="61"/>
      <c r="AN129" s="61"/>
      <c r="AO129" s="61"/>
      <c r="AP129" s="61"/>
      <c r="AQ129" s="61"/>
      <c r="AR129" s="61"/>
      <c r="AS129" s="61"/>
      <c r="AT129" s="61"/>
      <c r="AU129" s="61"/>
      <c r="AV129" s="61"/>
      <c r="AW129" s="61"/>
    </row>
    <row r="130" spans="1:49" s="416" customFormat="1" x14ac:dyDescent="0.2">
      <c r="A130" s="61"/>
      <c r="B130" s="61"/>
      <c r="C130" s="61"/>
      <c r="D130" s="414"/>
      <c r="E130" s="415"/>
      <c r="F130" s="61"/>
      <c r="G130" s="61"/>
      <c r="H130" s="415"/>
      <c r="I130" s="61"/>
      <c r="J130" s="61"/>
      <c r="K130" s="61"/>
      <c r="L130" s="61"/>
      <c r="M130" s="61"/>
      <c r="N130" s="61"/>
      <c r="P130" s="61"/>
      <c r="Q130" s="61"/>
      <c r="R130" s="61"/>
      <c r="S130" s="61"/>
      <c r="T130" s="61"/>
      <c r="U130" s="61"/>
      <c r="V130" s="61"/>
      <c r="W130" s="61"/>
      <c r="X130" s="61"/>
      <c r="Y130" s="61"/>
      <c r="Z130" s="61"/>
      <c r="AA130" s="61"/>
      <c r="AB130" s="61"/>
      <c r="AC130" s="61"/>
      <c r="AD130" s="61"/>
      <c r="AE130" s="61"/>
      <c r="AF130" s="61"/>
      <c r="AG130" s="61"/>
      <c r="AH130" s="61"/>
      <c r="AI130" s="61"/>
      <c r="AJ130" s="61"/>
      <c r="AK130" s="61"/>
      <c r="AL130" s="61"/>
      <c r="AM130" s="61"/>
      <c r="AN130" s="61"/>
      <c r="AO130" s="61"/>
      <c r="AP130" s="61"/>
      <c r="AQ130" s="61"/>
      <c r="AR130" s="61"/>
      <c r="AS130" s="61"/>
      <c r="AT130" s="61"/>
      <c r="AU130" s="61"/>
      <c r="AV130" s="61"/>
      <c r="AW130" s="61"/>
    </row>
    <row r="131" spans="1:49" s="416" customFormat="1" x14ac:dyDescent="0.2">
      <c r="A131" s="61"/>
      <c r="B131" s="61"/>
      <c r="C131" s="61"/>
      <c r="D131" s="414"/>
      <c r="E131" s="415"/>
      <c r="F131" s="61"/>
      <c r="G131" s="61"/>
      <c r="H131" s="415"/>
      <c r="I131" s="61"/>
      <c r="J131" s="61"/>
      <c r="K131" s="61"/>
      <c r="L131" s="61"/>
      <c r="M131" s="61"/>
      <c r="N131" s="61"/>
      <c r="P131" s="61"/>
      <c r="Q131" s="61"/>
      <c r="R131" s="61"/>
      <c r="S131" s="61"/>
      <c r="T131" s="61"/>
      <c r="U131" s="61"/>
      <c r="V131" s="61"/>
      <c r="W131" s="61"/>
      <c r="X131" s="61"/>
      <c r="Y131" s="61"/>
      <c r="Z131" s="61"/>
      <c r="AA131" s="61"/>
      <c r="AB131" s="61"/>
      <c r="AC131" s="61"/>
      <c r="AD131" s="61"/>
      <c r="AE131" s="61"/>
      <c r="AF131" s="61"/>
      <c r="AG131" s="61"/>
      <c r="AH131" s="61"/>
      <c r="AI131" s="61"/>
      <c r="AJ131" s="61"/>
      <c r="AK131" s="61"/>
      <c r="AL131" s="61"/>
      <c r="AM131" s="61"/>
      <c r="AN131" s="61"/>
      <c r="AO131" s="61"/>
      <c r="AP131" s="61"/>
      <c r="AQ131" s="61"/>
      <c r="AR131" s="61"/>
      <c r="AS131" s="61"/>
      <c r="AT131" s="61"/>
      <c r="AU131" s="61"/>
      <c r="AV131" s="61"/>
      <c r="AW131" s="61"/>
    </row>
    <row r="132" spans="1:49" s="416" customFormat="1" x14ac:dyDescent="0.2">
      <c r="A132" s="61"/>
      <c r="B132" s="61"/>
      <c r="C132" s="61"/>
      <c r="D132" s="414"/>
      <c r="E132" s="415"/>
      <c r="F132" s="61"/>
      <c r="G132" s="61"/>
      <c r="H132" s="415"/>
      <c r="I132" s="61"/>
      <c r="J132" s="61"/>
      <c r="K132" s="61"/>
      <c r="L132" s="61"/>
      <c r="M132" s="61"/>
      <c r="N132" s="61"/>
      <c r="P132" s="61"/>
      <c r="Q132" s="61"/>
      <c r="R132" s="61"/>
      <c r="S132" s="61"/>
      <c r="T132" s="61"/>
      <c r="U132" s="61"/>
      <c r="V132" s="61"/>
      <c r="W132" s="61"/>
      <c r="X132" s="61"/>
      <c r="Y132" s="61"/>
      <c r="Z132" s="61"/>
      <c r="AA132" s="61"/>
      <c r="AB132" s="61"/>
      <c r="AC132" s="61"/>
      <c r="AD132" s="61"/>
      <c r="AE132" s="61"/>
      <c r="AF132" s="61"/>
      <c r="AG132" s="61"/>
      <c r="AH132" s="61"/>
      <c r="AI132" s="61"/>
      <c r="AJ132" s="61"/>
      <c r="AK132" s="61"/>
      <c r="AL132" s="61"/>
      <c r="AM132" s="61"/>
      <c r="AN132" s="61"/>
      <c r="AO132" s="61"/>
      <c r="AP132" s="61"/>
      <c r="AQ132" s="61"/>
      <c r="AR132" s="61"/>
      <c r="AS132" s="61"/>
      <c r="AT132" s="61"/>
      <c r="AU132" s="61"/>
      <c r="AV132" s="61"/>
      <c r="AW132" s="61"/>
    </row>
    <row r="133" spans="1:49" s="416" customFormat="1" x14ac:dyDescent="0.2">
      <c r="A133" s="61"/>
      <c r="B133" s="61"/>
      <c r="C133" s="61"/>
      <c r="D133" s="414"/>
      <c r="E133" s="415"/>
      <c r="F133" s="61"/>
      <c r="G133" s="61"/>
      <c r="H133" s="415"/>
      <c r="I133" s="61"/>
      <c r="J133" s="61"/>
      <c r="K133" s="61"/>
      <c r="L133" s="61"/>
      <c r="M133" s="61"/>
      <c r="N133" s="61"/>
      <c r="P133" s="61"/>
      <c r="Q133" s="61"/>
      <c r="R133" s="61"/>
      <c r="S133" s="61"/>
      <c r="T133" s="61"/>
      <c r="U133" s="61"/>
      <c r="V133" s="61"/>
      <c r="W133" s="61"/>
      <c r="X133" s="61"/>
      <c r="Y133" s="61"/>
      <c r="Z133" s="61"/>
      <c r="AA133" s="61"/>
      <c r="AB133" s="61"/>
      <c r="AC133" s="61"/>
      <c r="AD133" s="61"/>
      <c r="AE133" s="61"/>
      <c r="AF133" s="61"/>
      <c r="AG133" s="61"/>
      <c r="AH133" s="61"/>
      <c r="AI133" s="61"/>
      <c r="AJ133" s="61"/>
      <c r="AK133" s="61"/>
      <c r="AL133" s="61"/>
      <c r="AM133" s="61"/>
      <c r="AN133" s="61"/>
      <c r="AO133" s="61"/>
      <c r="AP133" s="61"/>
      <c r="AQ133" s="61"/>
      <c r="AR133" s="61"/>
      <c r="AS133" s="61"/>
      <c r="AT133" s="61"/>
      <c r="AU133" s="61"/>
      <c r="AV133" s="61"/>
      <c r="AW133" s="61"/>
    </row>
    <row r="134" spans="1:49" s="416" customFormat="1" x14ac:dyDescent="0.2">
      <c r="A134" s="61"/>
      <c r="B134" s="61"/>
      <c r="C134" s="61"/>
      <c r="D134" s="414"/>
      <c r="E134" s="415"/>
      <c r="F134" s="61"/>
      <c r="G134" s="61"/>
      <c r="H134" s="415"/>
      <c r="I134" s="61"/>
      <c r="J134" s="61"/>
      <c r="K134" s="61"/>
      <c r="L134" s="61"/>
      <c r="M134" s="61"/>
      <c r="N134" s="61"/>
      <c r="P134" s="61"/>
      <c r="Q134" s="61"/>
      <c r="R134" s="61"/>
      <c r="S134" s="61"/>
      <c r="T134" s="61"/>
      <c r="U134" s="61"/>
      <c r="V134" s="61"/>
      <c r="W134" s="61"/>
      <c r="X134" s="61"/>
      <c r="Y134" s="61"/>
      <c r="Z134" s="61"/>
      <c r="AA134" s="61"/>
      <c r="AB134" s="61"/>
      <c r="AC134" s="61"/>
      <c r="AD134" s="61"/>
      <c r="AE134" s="61"/>
      <c r="AF134" s="61"/>
      <c r="AG134" s="61"/>
      <c r="AH134" s="61"/>
      <c r="AI134" s="61"/>
      <c r="AJ134" s="61"/>
      <c r="AK134" s="61"/>
      <c r="AL134" s="61"/>
      <c r="AM134" s="61"/>
      <c r="AN134" s="61"/>
      <c r="AO134" s="61"/>
      <c r="AP134" s="61"/>
      <c r="AQ134" s="61"/>
      <c r="AR134" s="61"/>
      <c r="AS134" s="61"/>
      <c r="AT134" s="61"/>
      <c r="AU134" s="61"/>
      <c r="AV134" s="61"/>
      <c r="AW134" s="61"/>
    </row>
    <row r="135" spans="1:49" s="416" customFormat="1" x14ac:dyDescent="0.2">
      <c r="A135" s="61"/>
      <c r="B135" s="61"/>
      <c r="C135" s="61"/>
      <c r="D135" s="414"/>
      <c r="E135" s="415"/>
      <c r="F135" s="61"/>
      <c r="G135" s="61"/>
      <c r="H135" s="415"/>
      <c r="I135" s="61"/>
      <c r="J135" s="61"/>
      <c r="K135" s="61"/>
      <c r="L135" s="61"/>
      <c r="M135" s="61"/>
      <c r="N135" s="61"/>
      <c r="P135" s="61"/>
      <c r="Q135" s="61"/>
      <c r="R135" s="61"/>
      <c r="S135" s="61"/>
      <c r="T135" s="61"/>
      <c r="U135" s="61"/>
      <c r="V135" s="61"/>
      <c r="W135" s="61"/>
      <c r="X135" s="61"/>
      <c r="Y135" s="61"/>
      <c r="Z135" s="61"/>
      <c r="AA135" s="61"/>
      <c r="AB135" s="61"/>
      <c r="AC135" s="61"/>
      <c r="AD135" s="61"/>
      <c r="AE135" s="61"/>
      <c r="AF135" s="61"/>
      <c r="AG135" s="61"/>
      <c r="AH135" s="61"/>
      <c r="AI135" s="61"/>
      <c r="AJ135" s="61"/>
      <c r="AK135" s="61"/>
      <c r="AL135" s="61"/>
      <c r="AM135" s="61"/>
      <c r="AN135" s="61"/>
      <c r="AO135" s="61"/>
      <c r="AP135" s="61"/>
      <c r="AQ135" s="61"/>
      <c r="AR135" s="61"/>
      <c r="AS135" s="61"/>
      <c r="AT135" s="61"/>
      <c r="AU135" s="61"/>
      <c r="AV135" s="61"/>
      <c r="AW135" s="61"/>
    </row>
  </sheetData>
  <mergeCells count="39">
    <mergeCell ref="B34:H34"/>
    <mergeCell ref="A13:H13"/>
    <mergeCell ref="A31:H31"/>
    <mergeCell ref="A88:H93"/>
    <mergeCell ref="C1:H1"/>
    <mergeCell ref="B33:H33"/>
    <mergeCell ref="B32:H32"/>
    <mergeCell ref="A25:C25"/>
    <mergeCell ref="A1:B1"/>
    <mergeCell ref="O7:T7"/>
    <mergeCell ref="A23:H23"/>
    <mergeCell ref="A24:C24"/>
    <mergeCell ref="A22:H22"/>
    <mergeCell ref="A17:H17"/>
    <mergeCell ref="C18:H20"/>
    <mergeCell ref="A10:H10"/>
    <mergeCell ref="A8:H9"/>
    <mergeCell ref="D21:E21"/>
    <mergeCell ref="O16:T16"/>
    <mergeCell ref="G21:H21"/>
    <mergeCell ref="J16:N17"/>
    <mergeCell ref="A11:H11"/>
    <mergeCell ref="G7:H7"/>
    <mergeCell ref="A94:H98"/>
    <mergeCell ref="A18:B18"/>
    <mergeCell ref="D24:F24"/>
    <mergeCell ref="A12:H12"/>
    <mergeCell ref="A3:H3"/>
    <mergeCell ref="A26:H26"/>
    <mergeCell ref="A28:H29"/>
    <mergeCell ref="A7:F7"/>
    <mergeCell ref="G24:H24"/>
    <mergeCell ref="G30:H30"/>
    <mergeCell ref="A15:H16"/>
    <mergeCell ref="D4:E4"/>
    <mergeCell ref="A14:H14"/>
    <mergeCell ref="A5:H5"/>
    <mergeCell ref="D25:H25"/>
    <mergeCell ref="D30:E30"/>
  </mergeCells>
  <printOptions horizontalCentered="1"/>
  <pageMargins left="0.39370078740157483" right="0.19685039370078741" top="2.0472440944881889" bottom="1.377952755905512" header="0.59055118110236227" footer="0.98425196850393704"/>
  <pageSetup paperSize="9" scale="90" orientation="portrait" verticalDpi="4294967293" r:id="rId1"/>
  <headerFooter>
    <oddHeader>&amp;C&amp;G</oddHeader>
    <oddFooter>&amp;C&amp;"Arial,Negrita"&amp;8 Los resultados consignados se refieren a la muestra recibida y el INTI declina toda responsabilidad por el uso indebido
 o incorrecto que se hiciere de este informe. Está prohibida la reproducción parcial del presente certificado
&amp;G</oddFooter>
  </headerFooter>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Hoja3"/>
  <dimension ref="A1:U200"/>
  <sheetViews>
    <sheetView showGridLines="0" view="pageBreakPreview" topLeftCell="A65" zoomScale="120" zoomScaleSheetLayoutView="120" workbookViewId="0">
      <selection activeCell="E200" sqref="E200:G200"/>
    </sheetView>
  </sheetViews>
  <sheetFormatPr baseColWidth="10" defaultColWidth="11.42578125" defaultRowHeight="12.75" x14ac:dyDescent="0.2"/>
  <cols>
    <col min="1" max="1" width="14.42578125" style="590" customWidth="1"/>
    <col min="2" max="2" width="12.7109375" style="590" customWidth="1"/>
    <col min="3" max="5" width="14.42578125" style="590" customWidth="1"/>
    <col min="6" max="6" width="15.5703125" style="590" customWidth="1"/>
    <col min="7" max="7" width="15.42578125" style="590" customWidth="1"/>
    <col min="8" max="10" width="11.42578125" style="590" customWidth="1"/>
    <col min="11" max="11" width="28.85546875" style="590" customWidth="1"/>
    <col min="12" max="12" width="14.42578125" style="590" customWidth="1"/>
    <col min="13" max="13" width="17" style="590" customWidth="1"/>
    <col min="14" max="14" width="11.42578125" style="590" customWidth="1"/>
    <col min="15" max="15" width="24.42578125" style="590" customWidth="1"/>
    <col min="16" max="16" width="11.42578125" style="590" customWidth="1"/>
    <col min="17" max="17" width="36.140625" style="590" customWidth="1"/>
    <col min="18" max="18" width="21.28515625" style="590" customWidth="1"/>
    <col min="19" max="19" width="6" style="590" customWidth="1"/>
    <col min="20" max="20" width="50.7109375" style="590" customWidth="1"/>
    <col min="21" max="21" width="138.42578125" style="590" customWidth="1"/>
    <col min="22" max="22" width="11.42578125" style="590" customWidth="1"/>
    <col min="23" max="16384" width="11.42578125" style="590"/>
  </cols>
  <sheetData>
    <row r="1" spans="1:7" ht="9.9499999999999993" customHeight="1" x14ac:dyDescent="0.2">
      <c r="A1" s="589"/>
      <c r="B1" s="589"/>
      <c r="C1" s="589"/>
      <c r="D1" s="589"/>
      <c r="E1" s="589"/>
      <c r="F1" s="589"/>
      <c r="G1" s="589"/>
    </row>
    <row r="2" spans="1:7" ht="15" customHeight="1" x14ac:dyDescent="0.2">
      <c r="A2" s="1091" t="s">
        <v>434</v>
      </c>
      <c r="B2" s="1063"/>
      <c r="C2" s="1063"/>
      <c r="D2" s="1063"/>
      <c r="E2" s="1063"/>
      <c r="F2" s="1063"/>
      <c r="G2" s="1063"/>
    </row>
    <row r="3" spans="1:7" ht="9.9499999999999993" customHeight="1" x14ac:dyDescent="0.2">
      <c r="A3" s="588"/>
      <c r="B3" s="588"/>
      <c r="C3" s="588"/>
      <c r="D3" s="588"/>
      <c r="E3" s="588"/>
      <c r="F3" s="588"/>
      <c r="G3" s="588"/>
    </row>
    <row r="4" spans="1:7" s="621" customFormat="1" ht="17.100000000000001" customHeight="1" x14ac:dyDescent="0.2">
      <c r="A4" s="1094" t="str">
        <f>CONCATENATE("Informe Nº: ",'Identificación del Instrumento'!B4,"       ",'Identificación del Instrumento'!A5," ",'Identificación del Instrumento'!B5)</f>
        <v>Informe Nº: 307-64088       VPE Nº: 93084</v>
      </c>
      <c r="B4" s="1093"/>
      <c r="C4" s="1093"/>
      <c r="D4" s="1093"/>
      <c r="E4" s="1092" t="str">
        <f>CONCATENATE("Fecha: ", IF(COUNTA('Identificación del Instrumento'!J2)=0,"",'Identificación del Instrumento'!J2))</f>
        <v>Fecha: 1 de enero de 2025</v>
      </c>
      <c r="F4" s="1093"/>
      <c r="G4" s="1093"/>
    </row>
    <row r="5" spans="1:7" ht="17.100000000000001" customHeight="1" x14ac:dyDescent="0.2">
      <c r="A5" s="1076" t="str">
        <f>CONCATENATE("Realizó: ",IF(ISBLANK('Datos de Ensayos'!E3),"",'Datos de Ensayos'!E3))</f>
        <v>Realizó: Tco. Pablo Javier Siklosi A.</v>
      </c>
      <c r="B5" s="1063"/>
      <c r="C5" s="1063"/>
      <c r="D5" s="588"/>
      <c r="E5" s="1089" t="str">
        <f>CONCATENATE("Revisó: ",(IF(ISBLANK('Datos de Ensayos'!E4),"",'Datos de Ensayos'!E4)))</f>
        <v>Revisó: Tco. Pablo Javier Siklosi A.</v>
      </c>
      <c r="F5" s="1063"/>
      <c r="G5" s="1063"/>
    </row>
    <row r="6" spans="1:7" ht="32.1" customHeight="1" x14ac:dyDescent="0.2">
      <c r="A6" s="1085" t="s">
        <v>606</v>
      </c>
      <c r="B6" s="1063"/>
      <c r="C6" s="1063"/>
      <c r="D6" s="1063"/>
      <c r="E6" s="1063"/>
      <c r="F6" s="1063"/>
      <c r="G6" s="1063"/>
    </row>
    <row r="7" spans="1:7" ht="32.1" customHeight="1" x14ac:dyDescent="0.2">
      <c r="A7" s="1054" t="s">
        <v>607</v>
      </c>
      <c r="B7" s="1063"/>
      <c r="C7" s="1063"/>
      <c r="D7" s="1063"/>
      <c r="E7" s="1063"/>
      <c r="F7" s="1063"/>
      <c r="G7" s="1063"/>
    </row>
    <row r="8" spans="1:7" ht="15" hidden="1" customHeight="1" x14ac:dyDescent="0.2">
      <c r="A8" s="1046" t="str">
        <f>IF(('Identificación del Instrumento'!B17="PRIMITIVA"),"Antes de ser comparadas las indicaciones o impresiones discontinuas deben ser corregidas del error de redondeo (Punto 11 de la Resolución)", "")</f>
        <v/>
      </c>
      <c r="B8" s="1063"/>
      <c r="C8" s="1063"/>
      <c r="D8" s="1063"/>
      <c r="E8" s="1063"/>
      <c r="F8" s="1063"/>
      <c r="G8" s="1063"/>
    </row>
    <row r="9" spans="1:7" ht="15" customHeight="1" x14ac:dyDescent="0.2">
      <c r="A9" s="1064"/>
      <c r="B9" s="1063"/>
      <c r="C9" s="1063"/>
      <c r="D9" s="1063"/>
      <c r="E9" s="1063"/>
      <c r="F9" s="1063"/>
      <c r="G9" s="1063"/>
    </row>
    <row r="10" spans="1:7" ht="15" customHeight="1" x14ac:dyDescent="0.2">
      <c r="A10" s="588"/>
      <c r="B10" s="1071" t="s">
        <v>608</v>
      </c>
      <c r="C10" s="773"/>
      <c r="D10" s="774"/>
      <c r="E10" s="1071" t="str">
        <f>IF(ISBLANK('Datos de Ensayos'!F55),"",'Datos de Ensayos'!F55)</f>
        <v>SI</v>
      </c>
      <c r="F10" s="774"/>
      <c r="G10" s="588"/>
    </row>
    <row r="11" spans="1:7" ht="15" customHeight="1" x14ac:dyDescent="0.2">
      <c r="A11" s="588"/>
      <c r="B11" s="1071" t="s">
        <v>609</v>
      </c>
      <c r="C11" s="773"/>
      <c r="D11" s="774"/>
      <c r="E11" s="1071" t="str">
        <f>IF(COUNTA('Datos de Ensayos'!G56)=1,IF('Datos de Ensayos'!G56="x","No Aplicable",IF('Datos de Ensayos'!G56="no supera","Menor al 4%","Mayor al 4%")),"")</f>
        <v>Menor al 4%</v>
      </c>
      <c r="F11" s="774"/>
      <c r="G11" s="588"/>
    </row>
    <row r="12" spans="1:7" ht="32.1" customHeight="1" x14ac:dyDescent="0.2">
      <c r="A12" s="591"/>
      <c r="B12" s="1071" t="s">
        <v>610</v>
      </c>
      <c r="C12" s="773"/>
      <c r="D12" s="773"/>
      <c r="E12" s="773"/>
      <c r="F12" s="774"/>
      <c r="G12" s="591"/>
    </row>
    <row r="13" spans="1:7" ht="15" customHeight="1" x14ac:dyDescent="0.2">
      <c r="A13" s="588"/>
      <c r="B13" s="588"/>
      <c r="C13" s="588"/>
      <c r="D13" s="588"/>
      <c r="E13" s="588"/>
      <c r="F13" s="588"/>
      <c r="G13" s="588"/>
    </row>
    <row r="14" spans="1:7" ht="15" customHeight="1" x14ac:dyDescent="0.2">
      <c r="A14" s="1064" t="s">
        <v>611</v>
      </c>
      <c r="B14" s="1063"/>
      <c r="C14" s="1063"/>
      <c r="D14" s="1063"/>
      <c r="E14" s="1063"/>
      <c r="F14" s="1063"/>
      <c r="G14" s="1063"/>
    </row>
    <row r="15" spans="1:7" ht="15" customHeight="1" x14ac:dyDescent="0.2">
      <c r="A15" s="1064" t="s">
        <v>612</v>
      </c>
      <c r="B15" s="1063"/>
      <c r="C15" s="1063"/>
      <c r="D15" s="1063"/>
      <c r="E15" s="1063"/>
      <c r="F15" s="1063"/>
      <c r="G15" s="1063"/>
    </row>
    <row r="16" spans="1:7" ht="20.25" customHeight="1" thickBot="1" x14ac:dyDescent="0.25">
      <c r="A16" s="1064" t="s">
        <v>613</v>
      </c>
      <c r="B16" s="1063"/>
      <c r="C16" s="1063"/>
      <c r="D16" s="1063"/>
      <c r="E16" s="1063"/>
      <c r="F16" s="1063"/>
      <c r="G16" s="1063"/>
    </row>
    <row r="17" spans="1:7" ht="47.1" customHeight="1" thickBot="1" x14ac:dyDescent="0.25">
      <c r="A17" s="588"/>
      <c r="B17" s="628" t="s">
        <v>614</v>
      </c>
      <c r="C17" s="629" t="s">
        <v>615</v>
      </c>
      <c r="D17" s="630" t="s">
        <v>616</v>
      </c>
      <c r="E17" s="631" t="s">
        <v>617</v>
      </c>
      <c r="F17" s="588"/>
      <c r="G17" s="588"/>
    </row>
    <row r="18" spans="1:7" ht="15" customHeight="1" x14ac:dyDescent="0.2">
      <c r="A18" s="588"/>
      <c r="B18" s="632">
        <v>1</v>
      </c>
      <c r="C18" s="633">
        <f>IF(ISNUMBER('Datos de Ensayos'!D143),'Datos de Ensayos'!D143,"")</f>
        <v>0</v>
      </c>
      <c r="D18" s="633" t="str">
        <f>'Datos de Ensayos'!U143</f>
        <v>-------</v>
      </c>
      <c r="E18" s="639">
        <f>IF('Identificación del Instrumento'!$B$17="periódica",'Datos de Ensayos'!I143,'Datos de Ensayos'!L143)</f>
        <v>0</v>
      </c>
      <c r="F18" s="588"/>
      <c r="G18" s="588"/>
    </row>
    <row r="19" spans="1:7" ht="15" customHeight="1" x14ac:dyDescent="0.2">
      <c r="A19" s="588"/>
      <c r="B19" s="632">
        <f t="shared" ref="B19:B61" si="0">B18+1</f>
        <v>2</v>
      </c>
      <c r="C19" s="633">
        <f>IF(ISNUMBER('Datos de Ensayos'!D144),'Datos de Ensayos'!D144,"")</f>
        <v>1000</v>
      </c>
      <c r="D19" s="633" t="str">
        <f>IF(ISNUMBER(C19),CONCATENATE("±",'Datos de Ensayos'!U144),"")</f>
        <v>±20</v>
      </c>
      <c r="E19" s="639">
        <f>IF('Identificación del Instrumento'!$B$17="periódica",'Datos de Ensayos'!I144,'Datos de Ensayos'!L144)</f>
        <v>0</v>
      </c>
      <c r="F19" s="588"/>
      <c r="G19" s="588"/>
    </row>
    <row r="20" spans="1:7" ht="15" customHeight="1" x14ac:dyDescent="0.2">
      <c r="A20" s="588"/>
      <c r="B20" s="632">
        <f t="shared" si="0"/>
        <v>3</v>
      </c>
      <c r="C20" s="633">
        <f>IF(ISNUMBER('Datos de Ensayos'!D145),'Datos de Ensayos'!D145,"")</f>
        <v>2000</v>
      </c>
      <c r="D20" s="633" t="str">
        <f>IF(ISNUMBER(C20),CONCATENATE("±",'Datos de Ensayos'!U145),"")</f>
        <v>±20</v>
      </c>
      <c r="E20" s="639">
        <f>IF('Identificación del Instrumento'!$B$17="periódica",'Datos de Ensayos'!I145,'Datos de Ensayos'!L145)</f>
        <v>0</v>
      </c>
      <c r="F20" s="588"/>
      <c r="G20" s="588"/>
    </row>
    <row r="21" spans="1:7" ht="15" customHeight="1" x14ac:dyDescent="0.2">
      <c r="A21" s="588"/>
      <c r="B21" s="632">
        <f t="shared" si="0"/>
        <v>4</v>
      </c>
      <c r="C21" s="633">
        <f>IF(ISNUMBER('Datos de Ensayos'!D146),'Datos de Ensayos'!D146,"")</f>
        <v>4000</v>
      </c>
      <c r="D21" s="633" t="str">
        <f>IF(ISNUMBER(C21),CONCATENATE("±",'Datos de Ensayos'!U146),"")</f>
        <v>±20</v>
      </c>
      <c r="E21" s="639">
        <f>IF('Identificación del Instrumento'!$B$17="periódica",'Datos de Ensayos'!I146,'Datos de Ensayos'!L146)</f>
        <v>0</v>
      </c>
      <c r="F21" s="588"/>
      <c r="G21" s="588"/>
    </row>
    <row r="22" spans="1:7" ht="15" customHeight="1" x14ac:dyDescent="0.2">
      <c r="A22" s="588"/>
      <c r="B22" s="632">
        <f t="shared" si="0"/>
        <v>5</v>
      </c>
      <c r="C22" s="633">
        <f>IF(ISNUMBER('Datos de Ensayos'!D147),'Datos de Ensayos'!D147,"")</f>
        <v>6000</v>
      </c>
      <c r="D22" s="633" t="str">
        <f>IF(ISNUMBER(C22),CONCATENATE("±",'Datos de Ensayos'!U147),"")</f>
        <v>±20</v>
      </c>
      <c r="E22" s="639">
        <f>IF('Identificación del Instrumento'!$B$17="periódica",'Datos de Ensayos'!I147,'Datos de Ensayos'!L147)</f>
        <v>0</v>
      </c>
      <c r="F22" s="588"/>
      <c r="G22" s="588"/>
    </row>
    <row r="23" spans="1:7" ht="15" customHeight="1" x14ac:dyDescent="0.2">
      <c r="A23" s="588"/>
      <c r="B23" s="632">
        <f t="shared" si="0"/>
        <v>6</v>
      </c>
      <c r="C23" s="633">
        <f>IF(ISNUMBER('Datos de Ensayos'!D148),'Datos de Ensayos'!D148,"")</f>
        <v>8000</v>
      </c>
      <c r="D23" s="633" t="str">
        <f>IF(ISNUMBER(C23),CONCATENATE("±",'Datos de Ensayos'!U148),"")</f>
        <v>±20</v>
      </c>
      <c r="E23" s="639">
        <f>IF('Identificación del Instrumento'!$B$17="periódica",'Datos de Ensayos'!I148,'Datos de Ensayos'!L148)</f>
        <v>0</v>
      </c>
      <c r="F23" s="588"/>
      <c r="G23" s="588"/>
    </row>
    <row r="24" spans="1:7" ht="15" customHeight="1" x14ac:dyDescent="0.2">
      <c r="A24" s="588"/>
      <c r="B24" s="632">
        <f t="shared" si="0"/>
        <v>7</v>
      </c>
      <c r="C24" s="633">
        <f>IF(ISNUMBER('Datos de Ensayos'!D149),'Datos de Ensayos'!D149,"")</f>
        <v>10000</v>
      </c>
      <c r="D24" s="633" t="str">
        <f>IF(ISNUMBER(C24),CONCATENATE("±",'Datos de Ensayos'!U149),"")</f>
        <v>±20</v>
      </c>
      <c r="E24" s="639">
        <f>IF('Identificación del Instrumento'!$B$17="periódica",'Datos de Ensayos'!I149,'Datos de Ensayos'!L149)</f>
        <v>0</v>
      </c>
      <c r="F24" s="588"/>
      <c r="G24" s="588"/>
    </row>
    <row r="25" spans="1:7" ht="15" customHeight="1" x14ac:dyDescent="0.2">
      <c r="A25" s="588"/>
      <c r="B25" s="632">
        <f t="shared" si="0"/>
        <v>8</v>
      </c>
      <c r="C25" s="633">
        <f>IF(ISNUMBER('Datos de Ensayos'!D150),'Datos de Ensayos'!D150,"")</f>
        <v>12000</v>
      </c>
      <c r="D25" s="633" t="str">
        <f>IF(ISNUMBER(C25),CONCATENATE("±",'Datos de Ensayos'!U150),"")</f>
        <v>±40</v>
      </c>
      <c r="E25" s="639">
        <f>IF('Identificación del Instrumento'!$B$17="periódica",'Datos de Ensayos'!I150,'Datos de Ensayos'!L150)</f>
        <v>0</v>
      </c>
      <c r="F25" s="588"/>
      <c r="G25" s="588"/>
    </row>
    <row r="26" spans="1:7" ht="15" customHeight="1" x14ac:dyDescent="0.2">
      <c r="A26" s="588"/>
      <c r="B26" s="632">
        <f t="shared" si="0"/>
        <v>9</v>
      </c>
      <c r="C26" s="633">
        <f>IF(ISNUMBER('Datos de Ensayos'!D151),'Datos de Ensayos'!D151,"")</f>
        <v>14000</v>
      </c>
      <c r="D26" s="633" t="str">
        <f>IF(ISNUMBER(C26),CONCATENATE("±",'Datos de Ensayos'!U151),"")</f>
        <v>±40</v>
      </c>
      <c r="E26" s="639">
        <f>IF('Identificación del Instrumento'!$B$17="periódica",'Datos de Ensayos'!I151,'Datos de Ensayos'!L151)</f>
        <v>0</v>
      </c>
      <c r="F26" s="588"/>
      <c r="G26" s="588"/>
    </row>
    <row r="27" spans="1:7" ht="15" customHeight="1" x14ac:dyDescent="0.2">
      <c r="A27" s="588"/>
      <c r="B27" s="632">
        <f t="shared" si="0"/>
        <v>10</v>
      </c>
      <c r="C27" s="633">
        <f>IF(ISNUMBER('Datos de Ensayos'!D152),'Datos de Ensayos'!D152,"")</f>
        <v>16000</v>
      </c>
      <c r="D27" s="633" t="str">
        <f>IF(ISNUMBER(C27),CONCATENATE("±",'Datos de Ensayos'!U152),"")</f>
        <v>±40</v>
      </c>
      <c r="E27" s="639">
        <f>IF('Identificación del Instrumento'!$B$17="periódica",'Datos de Ensayos'!I152,'Datos de Ensayos'!L152)</f>
        <v>0</v>
      </c>
      <c r="F27" s="588"/>
      <c r="G27" s="588"/>
    </row>
    <row r="28" spans="1:7" ht="15" customHeight="1" x14ac:dyDescent="0.2">
      <c r="A28" s="588"/>
      <c r="B28" s="632">
        <f t="shared" si="0"/>
        <v>11</v>
      </c>
      <c r="C28" s="633">
        <f>IF(ISNUMBER('Datos de Ensayos'!D153),'Datos de Ensayos'!D153,"")</f>
        <v>18000</v>
      </c>
      <c r="D28" s="633" t="str">
        <f>IF(ISNUMBER(C28),CONCATENATE("±",'Datos de Ensayos'!U153),"")</f>
        <v>±40</v>
      </c>
      <c r="E28" s="639">
        <f>IF('Identificación del Instrumento'!$B$17="periódica",'Datos de Ensayos'!I153,'Datos de Ensayos'!L153)</f>
        <v>0</v>
      </c>
      <c r="F28" s="588"/>
      <c r="G28" s="588"/>
    </row>
    <row r="29" spans="1:7" ht="15" customHeight="1" x14ac:dyDescent="0.2">
      <c r="A29" s="588"/>
      <c r="B29" s="632">
        <f t="shared" si="0"/>
        <v>12</v>
      </c>
      <c r="C29" s="633">
        <f>IF(ISNUMBER('Datos de Ensayos'!D154),'Datos de Ensayos'!D154,"")</f>
        <v>20000</v>
      </c>
      <c r="D29" s="633" t="str">
        <f>IF(ISNUMBER(C29),CONCATENATE("±",'Datos de Ensayos'!U154),"")</f>
        <v>±</v>
      </c>
      <c r="E29" s="639">
        <f>IF('Identificación del Instrumento'!$B$17="periódica",'Datos de Ensayos'!I154,'Datos de Ensayos'!L154)</f>
        <v>0</v>
      </c>
      <c r="F29" s="588"/>
      <c r="G29" s="588"/>
    </row>
    <row r="30" spans="1:7" ht="15" customHeight="1" x14ac:dyDescent="0.2">
      <c r="A30" s="588"/>
      <c r="B30" s="632">
        <f t="shared" si="0"/>
        <v>13</v>
      </c>
      <c r="C30" s="633">
        <f>IF(ISNUMBER('Datos de Ensayos'!D155),'Datos de Ensayos'!D155,"")</f>
        <v>22000</v>
      </c>
      <c r="D30" s="633" t="str">
        <f>IF(ISNUMBER(C30),CONCATENATE("±",'Datos de Ensayos'!U155),"")</f>
        <v>±</v>
      </c>
      <c r="E30" s="639">
        <f>IF('Identificación del Instrumento'!$B$17="periódica",'Datos de Ensayos'!I155,'Datos de Ensayos'!L155)</f>
        <v>0</v>
      </c>
      <c r="F30" s="588"/>
      <c r="G30" s="588"/>
    </row>
    <row r="31" spans="1:7" ht="15" customHeight="1" x14ac:dyDescent="0.2">
      <c r="A31" s="588"/>
      <c r="B31" s="632">
        <f t="shared" si="0"/>
        <v>14</v>
      </c>
      <c r="C31" s="633" t="str">
        <f>IF(ISNUMBER('Datos de Ensayos'!D156),'Datos de Ensayos'!D156,"")</f>
        <v/>
      </c>
      <c r="D31" s="633" t="str">
        <f>IF(ISNUMBER(C31),CONCATENATE("±",'Datos de Ensayos'!U156),"")</f>
        <v/>
      </c>
      <c r="E31" s="639" t="str">
        <f>IF('Identificación del Instrumento'!$B$17="periódica",'Datos de Ensayos'!I156,'Datos de Ensayos'!L156)</f>
        <v/>
      </c>
      <c r="F31" s="588"/>
      <c r="G31" s="588"/>
    </row>
    <row r="32" spans="1:7" ht="15" customHeight="1" x14ac:dyDescent="0.2">
      <c r="A32" s="588"/>
      <c r="B32" s="632">
        <f t="shared" si="0"/>
        <v>15</v>
      </c>
      <c r="C32" s="633" t="str">
        <f>IF(ISNUMBER('Datos de Ensayos'!D157),'Datos de Ensayos'!D157,"")</f>
        <v/>
      </c>
      <c r="D32" s="633" t="str">
        <f>IF(ISNUMBER(C32),CONCATENATE("±",'Datos de Ensayos'!U157),"")</f>
        <v/>
      </c>
      <c r="E32" s="639" t="str">
        <f>IF('Identificación del Instrumento'!$B$17="periódica",'Datos de Ensayos'!I157,'Datos de Ensayos'!L157)</f>
        <v/>
      </c>
      <c r="F32" s="588"/>
      <c r="G32" s="588"/>
    </row>
    <row r="33" spans="1:7" ht="15" customHeight="1" x14ac:dyDescent="0.2">
      <c r="A33" s="588"/>
      <c r="B33" s="632">
        <f t="shared" si="0"/>
        <v>16</v>
      </c>
      <c r="C33" s="633" t="str">
        <f>IF(ISNUMBER('Datos de Ensayos'!D158),'Datos de Ensayos'!D158,"")</f>
        <v/>
      </c>
      <c r="D33" s="633" t="str">
        <f>IF(ISNUMBER(C33),CONCATENATE("±",'Datos de Ensayos'!U158),"")</f>
        <v/>
      </c>
      <c r="E33" s="639" t="str">
        <f>IF('Identificación del Instrumento'!$B$17="periódica",'Datos de Ensayos'!I158,'Datos de Ensayos'!L158)</f>
        <v/>
      </c>
      <c r="F33" s="588"/>
      <c r="G33" s="588"/>
    </row>
    <row r="34" spans="1:7" ht="15" customHeight="1" x14ac:dyDescent="0.2">
      <c r="A34" s="588"/>
      <c r="B34" s="632">
        <f t="shared" si="0"/>
        <v>17</v>
      </c>
      <c r="C34" s="633" t="str">
        <f>IF(ISNUMBER('Datos de Ensayos'!D159),'Datos de Ensayos'!D159,"")</f>
        <v/>
      </c>
      <c r="D34" s="633" t="str">
        <f>IF(ISNUMBER(C34),CONCATENATE("±",'Datos de Ensayos'!U159),"")</f>
        <v/>
      </c>
      <c r="E34" s="639" t="str">
        <f>IF('Identificación del Instrumento'!$B$17="periódica",'Datos de Ensayos'!I159,'Datos de Ensayos'!L159)</f>
        <v/>
      </c>
      <c r="F34" s="588"/>
      <c r="G34" s="588"/>
    </row>
    <row r="35" spans="1:7" ht="15" customHeight="1" x14ac:dyDescent="0.2">
      <c r="A35" s="588"/>
      <c r="B35" s="632">
        <f t="shared" si="0"/>
        <v>18</v>
      </c>
      <c r="C35" s="633" t="str">
        <f>IF(ISNUMBER('Datos de Ensayos'!D160),'Datos de Ensayos'!D160,"")</f>
        <v/>
      </c>
      <c r="D35" s="633" t="str">
        <f>IF(ISNUMBER(C35),CONCATENATE("±",'Datos de Ensayos'!U160),"")</f>
        <v/>
      </c>
      <c r="E35" s="639" t="str">
        <f>IF('Identificación del Instrumento'!$B$17="periódica",'Datos de Ensayos'!I160,'Datos de Ensayos'!L160)</f>
        <v/>
      </c>
      <c r="F35" s="588"/>
      <c r="G35" s="588"/>
    </row>
    <row r="36" spans="1:7" ht="15" customHeight="1" x14ac:dyDescent="0.2">
      <c r="A36" s="588"/>
      <c r="B36" s="632">
        <f t="shared" si="0"/>
        <v>19</v>
      </c>
      <c r="C36" s="633" t="str">
        <f>IF(ISNUMBER('Datos de Ensayos'!D161),'Datos de Ensayos'!D161,"")</f>
        <v/>
      </c>
      <c r="D36" s="633" t="str">
        <f>IF(ISNUMBER(C36),CONCATENATE("±",'Datos de Ensayos'!U161),"")</f>
        <v/>
      </c>
      <c r="E36" s="639" t="str">
        <f>IF('Identificación del Instrumento'!$B$17="periódica",'Datos de Ensayos'!I161,'Datos de Ensayos'!L161)</f>
        <v/>
      </c>
      <c r="F36" s="588"/>
      <c r="G36" s="588"/>
    </row>
    <row r="37" spans="1:7" ht="15" customHeight="1" x14ac:dyDescent="0.2">
      <c r="A37" s="588"/>
      <c r="B37" s="632">
        <f t="shared" si="0"/>
        <v>20</v>
      </c>
      <c r="C37" s="633" t="str">
        <f>IF(ISNUMBER('Datos de Ensayos'!D162),'Datos de Ensayos'!D162,"")</f>
        <v/>
      </c>
      <c r="D37" s="633" t="str">
        <f>IF(ISNUMBER(C37),CONCATENATE("±",'Datos de Ensayos'!U162),"")</f>
        <v/>
      </c>
      <c r="E37" s="639" t="str">
        <f>IF('Identificación del Instrumento'!$B$17="periódica",'Datos de Ensayos'!I162,'Datos de Ensayos'!L162)</f>
        <v/>
      </c>
      <c r="F37" s="588"/>
      <c r="G37" s="588"/>
    </row>
    <row r="38" spans="1:7" ht="15" customHeight="1" x14ac:dyDescent="0.2">
      <c r="A38" s="588"/>
      <c r="B38" s="632">
        <f t="shared" si="0"/>
        <v>21</v>
      </c>
      <c r="C38" s="633" t="str">
        <f>IF(ISNUMBER('Datos de Ensayos'!D163),'Datos de Ensayos'!D163,"")</f>
        <v/>
      </c>
      <c r="D38" s="633" t="str">
        <f>IF(ISNUMBER(C38),CONCATENATE("±",'Datos de Ensayos'!U163),"")</f>
        <v/>
      </c>
      <c r="E38" s="639" t="str">
        <f>IF('Identificación del Instrumento'!$B$17="periódica",'Datos de Ensayos'!I163,'Datos de Ensayos'!L163)</f>
        <v/>
      </c>
      <c r="F38" s="588"/>
      <c r="G38" s="588"/>
    </row>
    <row r="39" spans="1:7" ht="15" customHeight="1" x14ac:dyDescent="0.2">
      <c r="A39" s="588"/>
      <c r="B39" s="632">
        <f t="shared" si="0"/>
        <v>22</v>
      </c>
      <c r="C39" s="633" t="str">
        <f>IF(ISNUMBER('Datos de Ensayos'!D164),'Datos de Ensayos'!D164,"")</f>
        <v/>
      </c>
      <c r="D39" s="633" t="str">
        <f>IF(ISNUMBER(C39),CONCATENATE("±",'Datos de Ensayos'!U164),"")</f>
        <v/>
      </c>
      <c r="E39" s="639" t="str">
        <f>IF('Identificación del Instrumento'!$B$17="periódica",'Datos de Ensayos'!I164,'Datos de Ensayos'!L164)</f>
        <v/>
      </c>
      <c r="F39" s="588"/>
      <c r="G39" s="588"/>
    </row>
    <row r="40" spans="1:7" ht="15" customHeight="1" x14ac:dyDescent="0.2">
      <c r="A40" s="588"/>
      <c r="B40" s="632">
        <f t="shared" si="0"/>
        <v>23</v>
      </c>
      <c r="C40" s="633" t="str">
        <f>IF(ISNUMBER('Datos de Ensayos'!D165),'Datos de Ensayos'!D165,"")</f>
        <v/>
      </c>
      <c r="D40" s="633" t="str">
        <f>IF(ISNUMBER(C40),CONCATENATE("±",'Datos de Ensayos'!U165),"")</f>
        <v/>
      </c>
      <c r="E40" s="639" t="str">
        <f>IF('Identificación del Instrumento'!$B$17="periódica",'Datos de Ensayos'!I165,'Datos de Ensayos'!L165)</f>
        <v/>
      </c>
      <c r="F40" s="588"/>
      <c r="G40" s="588"/>
    </row>
    <row r="41" spans="1:7" ht="15" customHeight="1" x14ac:dyDescent="0.2">
      <c r="A41" s="588"/>
      <c r="B41" s="632">
        <f t="shared" si="0"/>
        <v>24</v>
      </c>
      <c r="C41" s="633" t="str">
        <f>IF(ISNUMBER('Datos de Ensayos'!D166),'Datos de Ensayos'!D166,"")</f>
        <v/>
      </c>
      <c r="D41" s="633" t="str">
        <f>IF(ISNUMBER(C41),CONCATENATE("±",'Datos de Ensayos'!U166),"")</f>
        <v/>
      </c>
      <c r="E41" s="639" t="str">
        <f>IF('Identificación del Instrumento'!$B$17="periódica",'Datos de Ensayos'!I166,'Datos de Ensayos'!L166)</f>
        <v/>
      </c>
      <c r="F41" s="588"/>
      <c r="G41" s="588"/>
    </row>
    <row r="42" spans="1:7" ht="15" customHeight="1" x14ac:dyDescent="0.2">
      <c r="A42" s="588"/>
      <c r="B42" s="632">
        <f t="shared" si="0"/>
        <v>25</v>
      </c>
      <c r="C42" s="633" t="str">
        <f>IF(ISNUMBER('Datos de Ensayos'!D167),'Datos de Ensayos'!D167,"")</f>
        <v/>
      </c>
      <c r="D42" s="633" t="str">
        <f>IF(ISNUMBER(C42),CONCATENATE("±",'Datos de Ensayos'!U167),"")</f>
        <v/>
      </c>
      <c r="E42" s="639" t="str">
        <f>IF('Identificación del Instrumento'!$B$17="periódica",'Datos de Ensayos'!I167,'Datos de Ensayos'!L167)</f>
        <v/>
      </c>
      <c r="F42" s="588"/>
      <c r="G42" s="588"/>
    </row>
    <row r="43" spans="1:7" ht="15" customHeight="1" x14ac:dyDescent="0.2">
      <c r="A43" s="588"/>
      <c r="B43" s="632">
        <f t="shared" si="0"/>
        <v>26</v>
      </c>
      <c r="C43" s="633" t="str">
        <f>IF(ISNUMBER('Datos de Ensayos'!D168),'Datos de Ensayos'!D168,"")</f>
        <v/>
      </c>
      <c r="D43" s="633" t="str">
        <f>IF(ISNUMBER(C43),CONCATENATE("±",'Datos de Ensayos'!U168),"")</f>
        <v/>
      </c>
      <c r="E43" s="639" t="str">
        <f>IF('Identificación del Instrumento'!$B$17="periódica",'Datos de Ensayos'!I168,'Datos de Ensayos'!L168)</f>
        <v/>
      </c>
      <c r="F43" s="588"/>
      <c r="G43" s="588"/>
    </row>
    <row r="44" spans="1:7" ht="15" customHeight="1" x14ac:dyDescent="0.2">
      <c r="A44" s="588"/>
      <c r="B44" s="632">
        <f t="shared" si="0"/>
        <v>27</v>
      </c>
      <c r="C44" s="633" t="str">
        <f>IF(ISNUMBER('Datos de Ensayos'!D169),'Datos de Ensayos'!D169,"")</f>
        <v/>
      </c>
      <c r="D44" s="633" t="str">
        <f>IF(ISNUMBER(C44),CONCATENATE("±",'Datos de Ensayos'!U169),"")</f>
        <v/>
      </c>
      <c r="E44" s="639" t="str">
        <f>IF('Identificación del Instrumento'!$B$17="periódica",'Datos de Ensayos'!I169,'Datos de Ensayos'!L169)</f>
        <v/>
      </c>
      <c r="F44" s="588"/>
      <c r="G44" s="588"/>
    </row>
    <row r="45" spans="1:7" ht="15" customHeight="1" x14ac:dyDescent="0.2">
      <c r="A45" s="588"/>
      <c r="B45" s="632">
        <f t="shared" si="0"/>
        <v>28</v>
      </c>
      <c r="C45" s="633" t="str">
        <f>IF(ISNUMBER('Datos de Ensayos'!D170),'Datos de Ensayos'!D170,"")</f>
        <v/>
      </c>
      <c r="D45" s="633" t="str">
        <f>IF(ISNUMBER(C45),CONCATENATE("±",'Datos de Ensayos'!U170),"")</f>
        <v/>
      </c>
      <c r="E45" s="639" t="str">
        <f>IF('Identificación del Instrumento'!$B$17="periódica",'Datos de Ensayos'!I170,'Datos de Ensayos'!L170)</f>
        <v/>
      </c>
      <c r="F45" s="588"/>
      <c r="G45" s="588"/>
    </row>
    <row r="46" spans="1:7" ht="15" customHeight="1" x14ac:dyDescent="0.2">
      <c r="A46" s="588"/>
      <c r="B46" s="632">
        <f t="shared" si="0"/>
        <v>29</v>
      </c>
      <c r="C46" s="633" t="str">
        <f>IF(ISNUMBER('Datos de Ensayos'!D171),'Datos de Ensayos'!D171,"")</f>
        <v/>
      </c>
      <c r="D46" s="633" t="str">
        <f>IF(ISNUMBER(C46),CONCATENATE("±",'Datos de Ensayos'!U171),"")</f>
        <v/>
      </c>
      <c r="E46" s="639" t="str">
        <f>IF('Identificación del Instrumento'!$B$17="periódica",'Datos de Ensayos'!I171,'Datos de Ensayos'!L171)</f>
        <v/>
      </c>
      <c r="F46" s="588"/>
      <c r="G46" s="588"/>
    </row>
    <row r="47" spans="1:7" ht="15" customHeight="1" x14ac:dyDescent="0.2">
      <c r="A47" s="588"/>
      <c r="B47" s="632">
        <f t="shared" si="0"/>
        <v>30</v>
      </c>
      <c r="C47" s="633" t="str">
        <f>IF(ISNUMBER('Datos de Ensayos'!D172),'Datos de Ensayos'!D172,"")</f>
        <v/>
      </c>
      <c r="D47" s="633" t="str">
        <f>IF(ISNUMBER(C47),CONCATENATE("±",'Datos de Ensayos'!U172),"")</f>
        <v/>
      </c>
      <c r="E47" s="639" t="str">
        <f>IF('Identificación del Instrumento'!$B$17="periódica",'Datos de Ensayos'!I172,'Datos de Ensayos'!L172)</f>
        <v/>
      </c>
      <c r="F47" s="588"/>
      <c r="G47" s="588"/>
    </row>
    <row r="48" spans="1:7" ht="15" customHeight="1" x14ac:dyDescent="0.2">
      <c r="A48" s="588"/>
      <c r="B48" s="632">
        <f t="shared" si="0"/>
        <v>31</v>
      </c>
      <c r="C48" s="633" t="str">
        <f>IF(ISNUMBER('Datos de Ensayos'!D173),'Datos de Ensayos'!D173,"")</f>
        <v/>
      </c>
      <c r="D48" s="633" t="str">
        <f>IF(ISNUMBER(C48),CONCATENATE("±",'Datos de Ensayos'!U173),"")</f>
        <v/>
      </c>
      <c r="E48" s="639" t="str">
        <f>IF('Identificación del Instrumento'!$B$17="periódica",'Datos de Ensayos'!I173,'Datos de Ensayos'!L173)</f>
        <v/>
      </c>
      <c r="F48" s="588"/>
      <c r="G48" s="588"/>
    </row>
    <row r="49" spans="1:7" ht="15" customHeight="1" x14ac:dyDescent="0.2">
      <c r="A49" s="588"/>
      <c r="B49" s="632">
        <f t="shared" si="0"/>
        <v>32</v>
      </c>
      <c r="C49" s="633" t="str">
        <f>IF(ISNUMBER('Datos de Ensayos'!D174),'Datos de Ensayos'!D174,"")</f>
        <v/>
      </c>
      <c r="D49" s="633" t="str">
        <f>IF(ISNUMBER(C49),CONCATENATE("±",'Datos de Ensayos'!U174),"")</f>
        <v/>
      </c>
      <c r="E49" s="639" t="str">
        <f>IF('Identificación del Instrumento'!$B$17="periódica",'Datos de Ensayos'!I174,'Datos de Ensayos'!L174)</f>
        <v/>
      </c>
      <c r="F49" s="588"/>
      <c r="G49" s="588"/>
    </row>
    <row r="50" spans="1:7" ht="15" customHeight="1" x14ac:dyDescent="0.2">
      <c r="A50" s="588"/>
      <c r="B50" s="632">
        <f t="shared" si="0"/>
        <v>33</v>
      </c>
      <c r="C50" s="633" t="str">
        <f>IF(ISNUMBER('Datos de Ensayos'!D175),'Datos de Ensayos'!D175,"")</f>
        <v/>
      </c>
      <c r="D50" s="633" t="str">
        <f>IF(ISNUMBER(C50),CONCATENATE("±",'Datos de Ensayos'!U175),"")</f>
        <v/>
      </c>
      <c r="E50" s="639" t="str">
        <f>IF('Identificación del Instrumento'!$B$17="periódica",'Datos de Ensayos'!I175,'Datos de Ensayos'!L175)</f>
        <v/>
      </c>
      <c r="F50" s="588"/>
      <c r="G50" s="588"/>
    </row>
    <row r="51" spans="1:7" ht="15" customHeight="1" x14ac:dyDescent="0.2">
      <c r="A51" s="588"/>
      <c r="B51" s="632">
        <f t="shared" si="0"/>
        <v>34</v>
      </c>
      <c r="C51" s="633" t="str">
        <f>IF(ISNUMBER('Datos de Ensayos'!D176),'Datos de Ensayos'!D176,"")</f>
        <v/>
      </c>
      <c r="D51" s="633" t="str">
        <f>IF(ISNUMBER(C51),CONCATENATE("±",'Datos de Ensayos'!U176),"")</f>
        <v/>
      </c>
      <c r="E51" s="639" t="str">
        <f>IF('Identificación del Instrumento'!$B$17="periódica",'Datos de Ensayos'!I176,'Datos de Ensayos'!L176)</f>
        <v/>
      </c>
      <c r="F51" s="588"/>
      <c r="G51" s="588"/>
    </row>
    <row r="52" spans="1:7" ht="15" customHeight="1" x14ac:dyDescent="0.2">
      <c r="A52" s="588"/>
      <c r="B52" s="632">
        <f t="shared" si="0"/>
        <v>35</v>
      </c>
      <c r="C52" s="633" t="str">
        <f>IF(ISNUMBER('Datos de Ensayos'!D177),'Datos de Ensayos'!D177,"")</f>
        <v/>
      </c>
      <c r="D52" s="633" t="str">
        <f>IF(ISNUMBER(C52),CONCATENATE("±",'Datos de Ensayos'!U177),"")</f>
        <v/>
      </c>
      <c r="E52" s="639" t="str">
        <f>IF('Identificación del Instrumento'!$B$17="periódica",'Datos de Ensayos'!I177,'Datos de Ensayos'!L177)</f>
        <v/>
      </c>
      <c r="F52" s="588"/>
      <c r="G52" s="588"/>
    </row>
    <row r="53" spans="1:7" ht="15" customHeight="1" x14ac:dyDescent="0.2">
      <c r="A53" s="588"/>
      <c r="B53" s="632">
        <f t="shared" si="0"/>
        <v>36</v>
      </c>
      <c r="C53" s="633" t="str">
        <f>IF(ISNUMBER('Datos de Ensayos'!D178),'Datos de Ensayos'!D178,"")</f>
        <v/>
      </c>
      <c r="D53" s="633" t="str">
        <f>IF(ISNUMBER(C53),CONCATENATE("±",'Datos de Ensayos'!U178),"")</f>
        <v/>
      </c>
      <c r="E53" s="639" t="str">
        <f>IF('Identificación del Instrumento'!$B$17="periódica",'Datos de Ensayos'!I178,'Datos de Ensayos'!L178)</f>
        <v/>
      </c>
      <c r="F53" s="588"/>
      <c r="G53" s="588"/>
    </row>
    <row r="54" spans="1:7" ht="15" customHeight="1" x14ac:dyDescent="0.2">
      <c r="A54" s="588"/>
      <c r="B54" s="632">
        <f t="shared" si="0"/>
        <v>37</v>
      </c>
      <c r="C54" s="633" t="str">
        <f>IF(ISNUMBER('Datos de Ensayos'!D179),'Datos de Ensayos'!D179,"")</f>
        <v/>
      </c>
      <c r="D54" s="633" t="str">
        <f>IF(ISNUMBER(C54),CONCATENATE("±",'Datos de Ensayos'!U179),"")</f>
        <v/>
      </c>
      <c r="E54" s="639" t="str">
        <f>IF('Identificación del Instrumento'!$B$17="periódica",'Datos de Ensayos'!I179,'Datos de Ensayos'!L179)</f>
        <v/>
      </c>
      <c r="F54" s="588"/>
      <c r="G54" s="588"/>
    </row>
    <row r="55" spans="1:7" ht="15" customHeight="1" x14ac:dyDescent="0.2">
      <c r="A55" s="588"/>
      <c r="B55" s="632">
        <f t="shared" si="0"/>
        <v>38</v>
      </c>
      <c r="C55" s="633" t="str">
        <f>IF(ISNUMBER('Datos de Ensayos'!D180),'Datos de Ensayos'!D180,"")</f>
        <v/>
      </c>
      <c r="D55" s="633" t="str">
        <f>IF(ISNUMBER(C55),CONCATENATE("±",'Datos de Ensayos'!U180),"")</f>
        <v/>
      </c>
      <c r="E55" s="639" t="str">
        <f>IF('Identificación del Instrumento'!$B$17="periódica",'Datos de Ensayos'!I180,'Datos de Ensayos'!L180)</f>
        <v/>
      </c>
      <c r="F55" s="588"/>
      <c r="G55" s="588"/>
    </row>
    <row r="56" spans="1:7" ht="15" customHeight="1" x14ac:dyDescent="0.2">
      <c r="A56" s="588"/>
      <c r="B56" s="632">
        <f t="shared" si="0"/>
        <v>39</v>
      </c>
      <c r="C56" s="633" t="str">
        <f>IF(ISNUMBER('Datos de Ensayos'!D181),'Datos de Ensayos'!D181,"")</f>
        <v/>
      </c>
      <c r="D56" s="633" t="str">
        <f>IF(ISNUMBER(C56),CONCATENATE("±",'Datos de Ensayos'!U181),"")</f>
        <v/>
      </c>
      <c r="E56" s="639" t="str">
        <f>IF('Identificación del Instrumento'!$B$17="periódica",'Datos de Ensayos'!I181,'Datos de Ensayos'!L181)</f>
        <v/>
      </c>
      <c r="F56" s="588"/>
      <c r="G56" s="588"/>
    </row>
    <row r="57" spans="1:7" ht="15" customHeight="1" x14ac:dyDescent="0.2">
      <c r="A57" s="588"/>
      <c r="B57" s="632">
        <f t="shared" si="0"/>
        <v>40</v>
      </c>
      <c r="C57" s="633" t="str">
        <f>IF(ISNUMBER('Datos de Ensayos'!D182),'Datos de Ensayos'!D182,"")</f>
        <v/>
      </c>
      <c r="D57" s="633" t="str">
        <f>IF(ISNUMBER(C57),CONCATENATE("±",'Datos de Ensayos'!U182),"")</f>
        <v/>
      </c>
      <c r="E57" s="639" t="str">
        <f>IF('Identificación del Instrumento'!$B$17="periódica",'Datos de Ensayos'!I182,'Datos de Ensayos'!L182)</f>
        <v/>
      </c>
      <c r="F57" s="588"/>
      <c r="G57" s="588"/>
    </row>
    <row r="58" spans="1:7" ht="15" customHeight="1" x14ac:dyDescent="0.2">
      <c r="A58" s="588"/>
      <c r="B58" s="632">
        <f t="shared" si="0"/>
        <v>41</v>
      </c>
      <c r="C58" s="633" t="str">
        <f>IF(ISNUMBER('Datos de Ensayos'!D183),'Datos de Ensayos'!D183,"")</f>
        <v/>
      </c>
      <c r="D58" s="633" t="str">
        <f>IF(ISNUMBER(C58),CONCATENATE("±",'Datos de Ensayos'!U183),"")</f>
        <v/>
      </c>
      <c r="E58" s="639" t="str">
        <f>IF('Identificación del Instrumento'!$B$17="periódica",'Datos de Ensayos'!I183,'Datos de Ensayos'!L183)</f>
        <v/>
      </c>
      <c r="F58" s="588"/>
      <c r="G58" s="588"/>
    </row>
    <row r="59" spans="1:7" ht="15" customHeight="1" x14ac:dyDescent="0.2">
      <c r="A59" s="588"/>
      <c r="B59" s="632">
        <f t="shared" si="0"/>
        <v>42</v>
      </c>
      <c r="C59" s="633" t="str">
        <f>IF(ISNUMBER('Datos de Ensayos'!D184),'Datos de Ensayos'!D184,"")</f>
        <v/>
      </c>
      <c r="D59" s="633" t="str">
        <f>IF(ISNUMBER(C59),CONCATENATE("±",'Datos de Ensayos'!U184),"")</f>
        <v/>
      </c>
      <c r="E59" s="639" t="str">
        <f>IF('Identificación del Instrumento'!$B$17="periódica",'Datos de Ensayos'!I184,'Datos de Ensayos'!L184)</f>
        <v/>
      </c>
      <c r="F59" s="588"/>
      <c r="G59" s="588"/>
    </row>
    <row r="60" spans="1:7" ht="15" customHeight="1" x14ac:dyDescent="0.2">
      <c r="A60" s="588"/>
      <c r="B60" s="632">
        <f t="shared" si="0"/>
        <v>43</v>
      </c>
      <c r="C60" s="633" t="str">
        <f>IF(ISNUMBER('Datos de Ensayos'!D185),'Datos de Ensayos'!D185,"")</f>
        <v/>
      </c>
      <c r="D60" s="633" t="str">
        <f>IF(ISNUMBER(C60),CONCATENATE("±",'Datos de Ensayos'!U185),"")</f>
        <v/>
      </c>
      <c r="E60" s="639" t="str">
        <f>IF('Identificación del Instrumento'!$B$17="periódica",'Datos de Ensayos'!I185,'Datos de Ensayos'!L185)</f>
        <v/>
      </c>
      <c r="F60" s="588"/>
      <c r="G60" s="588"/>
    </row>
    <row r="61" spans="1:7" ht="15" customHeight="1" thickBot="1" x14ac:dyDescent="0.25">
      <c r="A61" s="588"/>
      <c r="B61" s="636">
        <f t="shared" si="0"/>
        <v>44</v>
      </c>
      <c r="C61" s="640" t="str">
        <f>IF(ISNUMBER('Datos de Ensayos'!D186),'Datos de Ensayos'!D186,"")</f>
        <v/>
      </c>
      <c r="D61" s="641" t="str">
        <f>IF(ISNUMBER(C61),CONCATENATE("±",'Datos de Ensayos'!U186),"")</f>
        <v/>
      </c>
      <c r="E61" s="642" t="str">
        <f>IF('Identificación del Instrumento'!$B$17="periódica",'Datos de Ensayos'!I186,'Datos de Ensayos'!L186)</f>
        <v/>
      </c>
      <c r="F61" s="588"/>
      <c r="G61" s="588"/>
    </row>
    <row r="62" spans="1:7" ht="15" customHeight="1" x14ac:dyDescent="0.2">
      <c r="A62" s="588"/>
      <c r="B62" s="588"/>
      <c r="C62" s="588"/>
      <c r="D62" s="588"/>
      <c r="E62" s="588"/>
      <c r="F62" s="588"/>
      <c r="G62" s="588"/>
    </row>
    <row r="63" spans="1:7" ht="15" customHeight="1" thickBot="1" x14ac:dyDescent="0.25">
      <c r="A63" s="588"/>
      <c r="B63" s="591"/>
      <c r="C63" s="588"/>
      <c r="D63" s="588"/>
      <c r="E63" s="588"/>
      <c r="F63" s="588"/>
      <c r="G63" s="588"/>
    </row>
    <row r="64" spans="1:7" ht="15" customHeight="1" x14ac:dyDescent="0.2">
      <c r="A64" s="588"/>
      <c r="B64" s="1035" t="s">
        <v>618</v>
      </c>
      <c r="C64" s="835"/>
      <c r="D64" s="835"/>
      <c r="E64" s="836"/>
      <c r="F64" s="588"/>
      <c r="G64" s="588"/>
    </row>
    <row r="65" spans="1:7" ht="15" customHeight="1" thickBot="1" x14ac:dyDescent="0.25">
      <c r="A65" s="588"/>
      <c r="B65" s="1066" t="str">
        <f>IF(ISBLANK('Datos de Ensayos'!F208), "", "(PRIMERA)")</f>
        <v/>
      </c>
      <c r="C65" s="838"/>
      <c r="D65" s="838"/>
      <c r="E65" s="843"/>
      <c r="F65" s="588"/>
      <c r="G65" s="588"/>
    </row>
    <row r="66" spans="1:7" ht="15" customHeight="1" x14ac:dyDescent="0.2">
      <c r="A66" s="588"/>
      <c r="B66" s="702">
        <f>(COUNT(C18:C61)+1)</f>
        <v>14</v>
      </c>
      <c r="C66" s="633">
        <f>IF(AND(ISNUMBER('Datos de Ensayos'!D197),ISNUMBER('Datos de Ensayos'!E197)),'Datos de Ensayos'!D197,"")</f>
        <v>26540</v>
      </c>
      <c r="D66" s="633" t="str">
        <f>IF(ISNUMBER(C66),CONCATENATE("±",'Datos de Ensayos'!O197),"")</f>
        <v>±40</v>
      </c>
      <c r="E66" s="639">
        <f>IF('Identificación del Instrumento'!$B$17="periódica",'Datos de Ensayos'!F197,'Datos de Ensayos'!I197)</f>
        <v>20</v>
      </c>
      <c r="F66" s="588"/>
      <c r="G66" s="588"/>
    </row>
    <row r="67" spans="1:7" ht="15" customHeight="1" x14ac:dyDescent="0.2">
      <c r="A67" s="588"/>
      <c r="B67" s="632">
        <f t="shared" ref="B67:B72" si="1">B66+1</f>
        <v>15</v>
      </c>
      <c r="C67" s="633">
        <f>IF(AND(ISNUMBER('Datos de Ensayos'!D198),ISNUMBER('Datos de Ensayos'!E198)),'Datos de Ensayos'!D198,"")</f>
        <v>31540</v>
      </c>
      <c r="D67" s="633" t="str">
        <f>IF(ISNUMBER(C67),CONCATENATE("±",'Datos de Ensayos'!O198),"")</f>
        <v>±40</v>
      </c>
      <c r="E67" s="639">
        <f>IF('Identificación del Instrumento'!$B$17="periódica",'Datos de Ensayos'!F198,'Datos de Ensayos'!I198)</f>
        <v>20</v>
      </c>
      <c r="F67" s="588"/>
      <c r="G67" s="588"/>
    </row>
    <row r="68" spans="1:7" ht="15" customHeight="1" x14ac:dyDescent="0.2">
      <c r="A68" s="588"/>
      <c r="B68" s="632">
        <f t="shared" si="1"/>
        <v>16</v>
      </c>
      <c r="C68" s="633">
        <f>IF(AND(ISNUMBER('Datos de Ensayos'!D199),ISNUMBER('Datos de Ensayos'!E199)),'Datos de Ensayos'!D199,"")</f>
        <v>36540</v>
      </c>
      <c r="D68" s="633" t="str">
        <f>IF(ISNUMBER(C68),CONCATENATE("±",'Datos de Ensayos'!O199),"")</f>
        <v>±40</v>
      </c>
      <c r="E68" s="639">
        <f>IF('Identificación del Instrumento'!$B$17="periódica",'Datos de Ensayos'!F199,'Datos de Ensayos'!I199)</f>
        <v>20</v>
      </c>
      <c r="F68" s="588"/>
      <c r="G68" s="588"/>
    </row>
    <row r="69" spans="1:7" ht="15" customHeight="1" x14ac:dyDescent="0.2">
      <c r="A69" s="588"/>
      <c r="B69" s="643">
        <f t="shared" si="1"/>
        <v>17</v>
      </c>
      <c r="C69" s="633">
        <f>IF(AND(ISNUMBER('Datos de Ensayos'!D200),ISNUMBER('Datos de Ensayos'!E200)),'Datos de Ensayos'!D200,"")</f>
        <v>41540</v>
      </c>
      <c r="D69" s="633" t="str">
        <f>IF(ISNUMBER(C69),CONCATENATE("±",'Datos de Ensayos'!O200),"")</f>
        <v>±60</v>
      </c>
      <c r="E69" s="639">
        <f>IF('Identificación del Instrumento'!$B$17="periódica",'Datos de Ensayos'!F200,'Datos de Ensayos'!I200)</f>
        <v>20</v>
      </c>
      <c r="F69" s="588"/>
      <c r="G69" s="588"/>
    </row>
    <row r="70" spans="1:7" ht="15" customHeight="1" x14ac:dyDescent="0.2">
      <c r="A70" s="588"/>
      <c r="B70" s="643">
        <f t="shared" si="1"/>
        <v>18</v>
      </c>
      <c r="C70" s="633">
        <f>IF(AND(ISNUMBER('Datos de Ensayos'!D201),ISNUMBER('Datos de Ensayos'!E201)),'Datos de Ensayos'!D201,"")</f>
        <v>43560</v>
      </c>
      <c r="D70" s="633" t="str">
        <f>IF(ISNUMBER(C70),CONCATENATE("±",'Datos de Ensayos'!O201),"")</f>
        <v>±60</v>
      </c>
      <c r="E70" s="639">
        <f>IF('Identificación del Instrumento'!$B$17="periódica",'Datos de Ensayos'!F201,'Datos de Ensayos'!I201)</f>
        <v>5</v>
      </c>
      <c r="F70" s="588"/>
      <c r="G70" s="588"/>
    </row>
    <row r="71" spans="1:7" ht="15" customHeight="1" x14ac:dyDescent="0.2">
      <c r="A71" s="588"/>
      <c r="B71" s="632">
        <f t="shared" si="1"/>
        <v>19</v>
      </c>
      <c r="C71" s="633" t="str">
        <f>IF(AND(ISNUMBER('Datos de Ensayos'!D202),ISNUMBER('Datos de Ensayos'!E202)),'Datos de Ensayos'!D202,"")</f>
        <v/>
      </c>
      <c r="D71" s="633" t="str">
        <f>IF(ISNUMBER(C71),CONCATENATE("±",'Datos de Ensayos'!O202),"")</f>
        <v/>
      </c>
      <c r="E71" s="639" t="str">
        <f>IF('Identificación del Instrumento'!$B$17="periódica",'Datos de Ensayos'!F202,'Datos de Ensayos'!I202)</f>
        <v/>
      </c>
      <c r="F71" s="588"/>
      <c r="G71" s="588"/>
    </row>
    <row r="72" spans="1:7" ht="15" customHeight="1" thickBot="1" x14ac:dyDescent="0.25">
      <c r="A72" s="588"/>
      <c r="B72" s="646">
        <f t="shared" si="1"/>
        <v>20</v>
      </c>
      <c r="C72" s="633" t="str">
        <f>IF(AND(ISNUMBER('Datos de Ensayos'!D203),ISNUMBER('Datos de Ensayos'!E203)),'Datos de Ensayos'!D203,"")</f>
        <v/>
      </c>
      <c r="D72" s="633" t="str">
        <f>IF(ISNUMBER(C72),CONCATENATE("±",'Datos de Ensayos'!O203),"")</f>
        <v/>
      </c>
      <c r="E72" s="639" t="str">
        <f>IF('Identificación del Instrumento'!$B$17="periódica",'Datos de Ensayos'!F203,'Datos de Ensayos'!I203)</f>
        <v/>
      </c>
      <c r="F72" s="588"/>
      <c r="G72" s="588"/>
    </row>
    <row r="73" spans="1:7" ht="15" customHeight="1" thickBot="1" x14ac:dyDescent="0.25">
      <c r="A73" s="588"/>
      <c r="B73" s="600"/>
      <c r="C73" s="600"/>
      <c r="D73" s="600"/>
      <c r="E73" s="601"/>
      <c r="F73" s="588"/>
      <c r="G73" s="588"/>
    </row>
    <row r="74" spans="1:7" ht="15" customHeight="1" x14ac:dyDescent="0.2">
      <c r="A74" s="588"/>
      <c r="B74" s="1035" t="str">
        <f>B64</f>
        <v>APLICACIÓN DE CARGA SUSTITUTA</v>
      </c>
      <c r="C74" s="835"/>
      <c r="D74" s="835"/>
      <c r="E74" s="836"/>
      <c r="F74" s="588"/>
      <c r="G74" s="588"/>
    </row>
    <row r="75" spans="1:7" ht="15" customHeight="1" thickBot="1" x14ac:dyDescent="0.25">
      <c r="A75" s="588"/>
      <c r="B75" s="1066" t="str">
        <f>IF(ISBLANK('Datos de Ensayos'!F208), "", "(SEGUNDA)")</f>
        <v/>
      </c>
      <c r="C75" s="838"/>
      <c r="D75" s="838"/>
      <c r="E75" s="843"/>
      <c r="F75" s="588"/>
      <c r="G75" s="588"/>
    </row>
    <row r="76" spans="1:7" ht="15" customHeight="1" x14ac:dyDescent="0.2">
      <c r="A76" s="588"/>
      <c r="B76" s="647">
        <f>(COUNT(C18:C61)+COUNT(C66:C72)+1)</f>
        <v>19</v>
      </c>
      <c r="C76" s="648" t="str">
        <f>IF(AND(ISNUMBER('Datos de Ensayos'!D213),ISNUMBER('Datos de Ensayos'!E213)),'Datos de Ensayos'!D213,"")</f>
        <v/>
      </c>
      <c r="D76" s="648" t="str">
        <f>IF(ISNUMBER(C76),CONCATENATE("±",'Datos de Ensayos'!O213),"")</f>
        <v/>
      </c>
      <c r="E76" s="649" t="str">
        <f>IF('Identificación del Instrumento'!$B$17="periódica",'Datos de Ensayos'!F213,'Datos de Ensayos'!I213)</f>
        <v/>
      </c>
      <c r="F76" s="588"/>
      <c r="G76" s="588"/>
    </row>
    <row r="77" spans="1:7" ht="15" customHeight="1" x14ac:dyDescent="0.2">
      <c r="A77" s="588"/>
      <c r="B77" s="632">
        <f>B76+1</f>
        <v>20</v>
      </c>
      <c r="C77" s="633" t="str">
        <f>IF(AND(ISNUMBER('Datos de Ensayos'!D214),ISNUMBER('Datos de Ensayos'!E214)),'Datos de Ensayos'!D214,"")</f>
        <v/>
      </c>
      <c r="D77" s="633" t="str">
        <f>IF(ISNUMBER(C77),CONCATENATE("±",'Datos de Ensayos'!O214),"")</f>
        <v/>
      </c>
      <c r="E77" s="639" t="str">
        <f>IF('Identificación del Instrumento'!$B$17="periódica",'Datos de Ensayos'!F214,'Datos de Ensayos'!I214)</f>
        <v/>
      </c>
      <c r="F77" s="588"/>
      <c r="G77" s="588"/>
    </row>
    <row r="78" spans="1:7" ht="15" customHeight="1" x14ac:dyDescent="0.2">
      <c r="A78" s="588"/>
      <c r="B78" s="632">
        <f>B77+1</f>
        <v>21</v>
      </c>
      <c r="C78" s="633" t="str">
        <f>IF(AND(ISNUMBER('Datos de Ensayos'!D215),ISNUMBER('Datos de Ensayos'!E215)),'Datos de Ensayos'!D215,"")</f>
        <v/>
      </c>
      <c r="D78" s="633" t="str">
        <f>IF(ISNUMBER(C78),CONCATENATE("±",'Datos de Ensayos'!O215),"")</f>
        <v/>
      </c>
      <c r="E78" s="639" t="str">
        <f>IF('Identificación del Instrumento'!$B$17="periódica",'Datos de Ensayos'!F215,'Datos de Ensayos'!I215)</f>
        <v/>
      </c>
      <c r="F78" s="588"/>
      <c r="G78" s="588"/>
    </row>
    <row r="79" spans="1:7" ht="15" customHeight="1" x14ac:dyDescent="0.2">
      <c r="A79" s="588"/>
      <c r="B79" s="643">
        <f>B78+1</f>
        <v>22</v>
      </c>
      <c r="C79" s="645" t="str">
        <f>IF(AND(ISNUMBER('Datos de Ensayos'!D216),ISNUMBER('Datos de Ensayos'!E216)),'Datos de Ensayos'!D216,"")</f>
        <v/>
      </c>
      <c r="D79" s="645" t="str">
        <f>IF(ISNUMBER(C79),CONCATENATE("±",'Datos de Ensayos'!O216),"")</f>
        <v/>
      </c>
      <c r="E79" s="650" t="str">
        <f>IF('Identificación del Instrumento'!$B$17="periódica",'Datos de Ensayos'!F216,'Datos de Ensayos'!I216)</f>
        <v/>
      </c>
      <c r="F79" s="588"/>
      <c r="G79" s="588"/>
    </row>
    <row r="80" spans="1:7" ht="15" customHeight="1" x14ac:dyDescent="0.2">
      <c r="A80" s="588"/>
      <c r="B80" s="632">
        <f>B79+1</f>
        <v>23</v>
      </c>
      <c r="C80" s="633" t="str">
        <f>IF(AND(ISNUMBER('Datos de Ensayos'!D217),ISNUMBER('Datos de Ensayos'!E217)),'Datos de Ensayos'!D217,"")</f>
        <v/>
      </c>
      <c r="D80" s="633" t="str">
        <f>IF(ISNUMBER(C80),CONCATENATE("±",'Datos de Ensayos'!O217),"")</f>
        <v/>
      </c>
      <c r="E80" s="639" t="str">
        <f>IF('Identificación del Instrumento'!$B$17="periódica",'Datos de Ensayos'!F217,'Datos de Ensayos'!I217)</f>
        <v/>
      </c>
      <c r="F80" s="588"/>
      <c r="G80" s="588"/>
    </row>
    <row r="81" spans="1:7" ht="15" customHeight="1" thickBot="1" x14ac:dyDescent="0.25">
      <c r="A81" s="588"/>
      <c r="B81" s="636">
        <f>B80+1</f>
        <v>24</v>
      </c>
      <c r="C81" s="640" t="str">
        <f>IF(AND(ISNUMBER('Datos de Ensayos'!D218),ISNUMBER('Datos de Ensayos'!E218)),'Datos de Ensayos'!D218,"")</f>
        <v/>
      </c>
      <c r="D81" s="641" t="str">
        <f>IF(ISNUMBER(C81),CONCATENATE("±",'Datos de Ensayos'!O218),"")</f>
        <v/>
      </c>
      <c r="E81" s="642" t="str">
        <f>IF('Identificación del Instrumento'!$B$17="periódica",'Datos de Ensayos'!F218,'Datos de Ensayos'!I218)</f>
        <v/>
      </c>
      <c r="F81" s="588"/>
      <c r="G81" s="588"/>
    </row>
    <row r="82" spans="1:7" ht="15" customHeight="1" thickBot="1" x14ac:dyDescent="0.25">
      <c r="A82" s="588"/>
      <c r="B82" s="591"/>
      <c r="C82" s="591"/>
      <c r="D82" s="602"/>
      <c r="E82" s="602"/>
      <c r="F82" s="588"/>
      <c r="G82" s="588"/>
    </row>
    <row r="83" spans="1:7" ht="15" customHeight="1" x14ac:dyDescent="0.2">
      <c r="A83" s="588"/>
      <c r="B83" s="1035" t="str">
        <f>CONCATENATE(B64)</f>
        <v>APLICACIÓN DE CARGA SUSTITUTA</v>
      </c>
      <c r="C83" s="835"/>
      <c r="D83" s="835"/>
      <c r="E83" s="836"/>
      <c r="F83" s="588"/>
      <c r="G83" s="588"/>
    </row>
    <row r="84" spans="1:7" ht="15" customHeight="1" thickBot="1" x14ac:dyDescent="0.25">
      <c r="A84" s="588"/>
      <c r="B84" s="1066" t="str">
        <f>IF(ISBLANK('Datos de Ensayos'!F224), "", "(TERCERA)")</f>
        <v/>
      </c>
      <c r="C84" s="838"/>
      <c r="D84" s="838"/>
      <c r="E84" s="843"/>
      <c r="F84" s="588"/>
      <c r="G84" s="588"/>
    </row>
    <row r="85" spans="1:7" ht="15" customHeight="1" x14ac:dyDescent="0.2">
      <c r="A85" s="588"/>
      <c r="B85" s="647">
        <f>(COUNT(C18:C61)+COUNT(C66:C72)+COUNT(C76:C81)+1)</f>
        <v>19</v>
      </c>
      <c r="C85" s="648" t="str">
        <f>IF(AND(ISNUMBER('Datos de Ensayos'!D229),ISNUMBER('Datos de Ensayos'!E229)),'Datos de Ensayos'!D229,"")</f>
        <v/>
      </c>
      <c r="D85" s="648" t="str">
        <f>IF(ISNUMBER(C85),CONCATENATE("±",'Datos de Ensayos'!O229),"")</f>
        <v/>
      </c>
      <c r="E85" s="649" t="str">
        <f>IF('Identificación del Instrumento'!$B$17="periódica",'Datos de Ensayos'!F229,'Datos de Ensayos'!I229)</f>
        <v/>
      </c>
      <c r="F85" s="588"/>
      <c r="G85" s="588"/>
    </row>
    <row r="86" spans="1:7" ht="15" customHeight="1" x14ac:dyDescent="0.2">
      <c r="A86" s="588"/>
      <c r="B86" s="632">
        <f>B85+1</f>
        <v>20</v>
      </c>
      <c r="C86" s="633" t="str">
        <f>IF(AND(ISNUMBER('Datos de Ensayos'!D230),ISNUMBER('Datos de Ensayos'!E230)),'Datos de Ensayos'!D230,"")</f>
        <v/>
      </c>
      <c r="D86" s="633" t="str">
        <f>IF(ISNUMBER(C86),CONCATENATE("±",'Datos de Ensayos'!O230),"")</f>
        <v/>
      </c>
      <c r="E86" s="639" t="str">
        <f>IF('Identificación del Instrumento'!$B$17="periódica",'Datos de Ensayos'!F230,'Datos de Ensayos'!I230)</f>
        <v/>
      </c>
      <c r="F86" s="588"/>
      <c r="G86" s="588"/>
    </row>
    <row r="87" spans="1:7" ht="15" customHeight="1" x14ac:dyDescent="0.2">
      <c r="A87" s="588"/>
      <c r="B87" s="632">
        <f>B86+1</f>
        <v>21</v>
      </c>
      <c r="C87" s="633" t="str">
        <f>IF(AND(ISNUMBER('Datos de Ensayos'!D231),ISNUMBER('Datos de Ensayos'!E231)),'Datos de Ensayos'!D231,"")</f>
        <v/>
      </c>
      <c r="D87" s="633" t="str">
        <f>IF(ISNUMBER(C87),CONCATENATE("±",'Datos de Ensayos'!O231),"")</f>
        <v/>
      </c>
      <c r="E87" s="639" t="str">
        <f>IF('Identificación del Instrumento'!$B$17="periódica",'Datos de Ensayos'!F231,'Datos de Ensayos'!I231)</f>
        <v/>
      </c>
      <c r="F87" s="588"/>
      <c r="G87" s="588"/>
    </row>
    <row r="88" spans="1:7" ht="15" customHeight="1" x14ac:dyDescent="0.2">
      <c r="A88" s="588"/>
      <c r="B88" s="643">
        <f>B87+1</f>
        <v>22</v>
      </c>
      <c r="C88" s="633" t="str">
        <f>IF(AND(ISNUMBER('Datos de Ensayos'!D232),ISNUMBER('Datos de Ensayos'!E232)),'Datos de Ensayos'!D232,"")</f>
        <v/>
      </c>
      <c r="D88" s="633" t="str">
        <f>IF(ISNUMBER(C88),CONCATENATE("±",'Datos de Ensayos'!O232),"")</f>
        <v/>
      </c>
      <c r="E88" s="639" t="str">
        <f>IF('Identificación del Instrumento'!$B$17="periódica",'Datos de Ensayos'!F232,'Datos de Ensayos'!I232)</f>
        <v/>
      </c>
      <c r="F88" s="588"/>
      <c r="G88" s="588"/>
    </row>
    <row r="89" spans="1:7" ht="15" customHeight="1" x14ac:dyDescent="0.2">
      <c r="A89" s="588"/>
      <c r="B89" s="632">
        <f>B88+1</f>
        <v>23</v>
      </c>
      <c r="C89" s="633" t="str">
        <f>IF(AND(ISNUMBER('Datos de Ensayos'!D233),ISNUMBER('Datos de Ensayos'!E233)),'Datos de Ensayos'!D233,"")</f>
        <v/>
      </c>
      <c r="D89" s="633" t="str">
        <f>IF(ISNUMBER(C89),CONCATENATE("±",'Datos de Ensayos'!O233),"")</f>
        <v/>
      </c>
      <c r="E89" s="639" t="str">
        <f>IF('Identificación del Instrumento'!$B$17="periódica",'Datos de Ensayos'!F233,'Datos de Ensayos'!I233)</f>
        <v/>
      </c>
      <c r="F89" s="588"/>
      <c r="G89" s="588"/>
    </row>
    <row r="90" spans="1:7" ht="15" customHeight="1" thickBot="1" x14ac:dyDescent="0.25">
      <c r="A90" s="588"/>
      <c r="B90" s="644">
        <f>B89+1</f>
        <v>24</v>
      </c>
      <c r="C90" s="641" t="str">
        <f>IF(AND(ISNUMBER('Datos de Ensayos'!D234),ISNUMBER('Datos de Ensayos'!E234)),'Datos de Ensayos'!D234,"")</f>
        <v/>
      </c>
      <c r="D90" s="641" t="str">
        <f>IF(ISNUMBER(C90),CONCATENATE("±",'Datos de Ensayos'!O234),"")</f>
        <v/>
      </c>
      <c r="E90" s="642" t="str">
        <f>IF('Identificación del Instrumento'!$B$17="periódica",'Datos de Ensayos'!F234,'Datos de Ensayos'!I234)</f>
        <v/>
      </c>
      <c r="F90" s="588"/>
      <c r="G90" s="588"/>
    </row>
    <row r="91" spans="1:7" ht="15" customHeight="1" thickBot="1" x14ac:dyDescent="0.25">
      <c r="A91" s="588"/>
      <c r="B91" s="591"/>
      <c r="C91" s="591"/>
      <c r="D91" s="602"/>
      <c r="E91" s="602"/>
      <c r="F91" s="588"/>
      <c r="G91" s="588"/>
    </row>
    <row r="92" spans="1:7" ht="15" customHeight="1" x14ac:dyDescent="0.2">
      <c r="A92" s="588"/>
      <c r="B92" s="1035" t="str">
        <f>CONCATENATE(B64)</f>
        <v>APLICACIÓN DE CARGA SUSTITUTA</v>
      </c>
      <c r="C92" s="835"/>
      <c r="D92" s="835"/>
      <c r="E92" s="836"/>
      <c r="F92" s="588"/>
      <c r="G92" s="588"/>
    </row>
    <row r="93" spans="1:7" ht="15" customHeight="1" thickBot="1" x14ac:dyDescent="0.25">
      <c r="A93" s="588"/>
      <c r="B93" s="1066" t="str">
        <f>IF(ISBLANK('Datos de Ensayos'!F240), "", "(CUARTA)")</f>
        <v/>
      </c>
      <c r="C93" s="838"/>
      <c r="D93" s="838"/>
      <c r="E93" s="843"/>
      <c r="F93" s="588"/>
      <c r="G93" s="588"/>
    </row>
    <row r="94" spans="1:7" ht="15" customHeight="1" x14ac:dyDescent="0.2">
      <c r="A94" s="588"/>
      <c r="B94" s="632">
        <f>(COUNT(C18:C61)+COUNT(C66:C72)+COUNT(C76:C81)+COUNT(C85:C90)+1)</f>
        <v>19</v>
      </c>
      <c r="C94" s="633" t="str">
        <f>IF(AND(ISNUMBER('Datos de Ensayos'!D245),ISNUMBER('Datos de Ensayos'!E245)),'Datos de Ensayos'!D245,"")</f>
        <v/>
      </c>
      <c r="D94" s="633" t="str">
        <f>IF(ISNUMBER(C94),CONCATENATE("±",'Datos de Ensayos'!O245),"")</f>
        <v/>
      </c>
      <c r="E94" s="639" t="str">
        <f>IF('Identificación del Instrumento'!$B$17="periódica",'Datos de Ensayos'!F245,'Datos de Ensayos'!I245)</f>
        <v/>
      </c>
      <c r="F94" s="588"/>
      <c r="G94" s="588"/>
    </row>
    <row r="95" spans="1:7" ht="15" customHeight="1" x14ac:dyDescent="0.2">
      <c r="A95" s="588"/>
      <c r="B95" s="632">
        <f>B94+1</f>
        <v>20</v>
      </c>
      <c r="C95" s="633" t="str">
        <f>IF(AND(ISNUMBER('Datos de Ensayos'!D246),ISNUMBER('Datos de Ensayos'!E246)),'Datos de Ensayos'!D246,"")</f>
        <v/>
      </c>
      <c r="D95" s="633" t="str">
        <f>IF(ISNUMBER(C95),CONCATENATE("±",'Datos de Ensayos'!O246),"")</f>
        <v/>
      </c>
      <c r="E95" s="639" t="str">
        <f>IF('Identificación del Instrumento'!$B$17="periódica",'Datos de Ensayos'!F246,'Datos de Ensayos'!I246)</f>
        <v/>
      </c>
      <c r="F95" s="588"/>
      <c r="G95" s="588"/>
    </row>
    <row r="96" spans="1:7" ht="15" customHeight="1" x14ac:dyDescent="0.2">
      <c r="A96" s="588"/>
      <c r="B96" s="632">
        <f>B95+1</f>
        <v>21</v>
      </c>
      <c r="C96" s="633" t="str">
        <f>IF(AND(ISNUMBER('Datos de Ensayos'!D247),ISNUMBER('Datos de Ensayos'!E247)),'Datos de Ensayos'!D247,"")</f>
        <v/>
      </c>
      <c r="D96" s="633" t="str">
        <f>IF(ISNUMBER(C96),CONCATENATE("±",'Datos de Ensayos'!O247),"")</f>
        <v/>
      </c>
      <c r="E96" s="639" t="str">
        <f>IF('Identificación del Instrumento'!$B$17="periódica",'Datos de Ensayos'!F247,'Datos de Ensayos'!I247)</f>
        <v/>
      </c>
      <c r="F96" s="588"/>
      <c r="G96" s="588"/>
    </row>
    <row r="97" spans="1:15" ht="15" customHeight="1" x14ac:dyDescent="0.2">
      <c r="A97" s="588"/>
      <c r="B97" s="643">
        <f>B96+1</f>
        <v>22</v>
      </c>
      <c r="C97" s="633" t="str">
        <f>IF(AND(ISNUMBER('Datos de Ensayos'!D248),ISNUMBER('Datos de Ensayos'!E248)),'Datos de Ensayos'!D248,"")</f>
        <v/>
      </c>
      <c r="D97" s="633" t="str">
        <f>IF(ISNUMBER(C97),CONCATENATE("±",'Datos de Ensayos'!O248),"")</f>
        <v/>
      </c>
      <c r="E97" s="639" t="str">
        <f>IF('Identificación del Instrumento'!$B$17="periódica",'Datos de Ensayos'!F248,'Datos de Ensayos'!I248)</f>
        <v/>
      </c>
      <c r="F97" s="588"/>
      <c r="G97" s="588"/>
    </row>
    <row r="98" spans="1:15" ht="15" customHeight="1" x14ac:dyDescent="0.2">
      <c r="A98" s="588"/>
      <c r="B98" s="632">
        <f>B97+1</f>
        <v>23</v>
      </c>
      <c r="C98" s="633" t="str">
        <f>IF(AND(ISNUMBER('Datos de Ensayos'!D249),ISNUMBER('Datos de Ensayos'!E249)),'Datos de Ensayos'!D249,"")</f>
        <v/>
      </c>
      <c r="D98" s="633" t="str">
        <f>IF(ISNUMBER(C98),CONCATENATE("±",'Datos de Ensayos'!O249),"")</f>
        <v/>
      </c>
      <c r="E98" s="639" t="str">
        <f>IF('Identificación del Instrumento'!$B$17="periódica",'Datos de Ensayos'!F249,'Datos de Ensayos'!I249)</f>
        <v/>
      </c>
      <c r="F98" s="588"/>
      <c r="G98" s="588"/>
    </row>
    <row r="99" spans="1:15" ht="15" customHeight="1" thickBot="1" x14ac:dyDescent="0.25">
      <c r="A99" s="588"/>
      <c r="B99" s="644">
        <f>B98+1</f>
        <v>24</v>
      </c>
      <c r="C99" s="641" t="str">
        <f>IF(AND(ISNUMBER('Datos de Ensayos'!D250),ISNUMBER('Datos de Ensayos'!E250)),'Datos de Ensayos'!D250,"")</f>
        <v/>
      </c>
      <c r="D99" s="641" t="str">
        <f>IF(ISNUMBER(C99),CONCATENATE("±",'Datos de Ensayos'!O250),"")</f>
        <v/>
      </c>
      <c r="E99" s="642" t="str">
        <f>IF('Identificación del Instrumento'!$B$17="periódica",'Datos de Ensayos'!F250,'Datos de Ensayos'!I250)</f>
        <v/>
      </c>
      <c r="F99" s="588"/>
      <c r="G99" s="588"/>
    </row>
    <row r="100" spans="1:15" ht="15" customHeight="1" x14ac:dyDescent="0.2">
      <c r="A100" s="588"/>
      <c r="B100" s="591"/>
      <c r="C100" s="591"/>
      <c r="D100" s="602"/>
      <c r="E100" s="602"/>
      <c r="F100" s="588"/>
      <c r="G100" s="588"/>
    </row>
    <row r="101" spans="1:15" ht="15" customHeight="1" x14ac:dyDescent="0.2">
      <c r="A101" s="588"/>
      <c r="B101" s="588"/>
      <c r="C101" s="588"/>
      <c r="D101" s="588"/>
      <c r="E101" s="588"/>
      <c r="F101" s="588"/>
      <c r="G101" s="588"/>
    </row>
    <row r="102" spans="1:15" ht="15" customHeight="1" x14ac:dyDescent="0.2">
      <c r="A102" s="1046" t="s">
        <v>619</v>
      </c>
      <c r="B102" s="1063"/>
      <c r="C102" s="1063"/>
      <c r="D102" s="1063"/>
      <c r="E102" s="1063"/>
      <c r="F102" s="1063"/>
      <c r="G102" s="1063"/>
    </row>
    <row r="103" spans="1:15" ht="15" customHeight="1" x14ac:dyDescent="0.2">
      <c r="A103" s="1046" t="s">
        <v>620</v>
      </c>
      <c r="B103" s="1063"/>
      <c r="C103" s="1063"/>
      <c r="D103" s="1063"/>
      <c r="E103" s="1063"/>
      <c r="F103" s="1063"/>
      <c r="G103" s="1063"/>
      <c r="K103" s="1069"/>
      <c r="L103" s="1063"/>
      <c r="M103" s="1063"/>
      <c r="N103" s="1063"/>
      <c r="O103" s="1063"/>
    </row>
    <row r="104" spans="1:15" ht="20.25" customHeight="1" thickBot="1" x14ac:dyDescent="0.25">
      <c r="A104" s="1064" t="s">
        <v>621</v>
      </c>
      <c r="B104" s="1063"/>
      <c r="C104" s="1063"/>
      <c r="D104" s="1063"/>
      <c r="E104" s="1063"/>
      <c r="F104" s="1063"/>
      <c r="G104" s="1063"/>
    </row>
    <row r="105" spans="1:15" ht="47.1" customHeight="1" thickBot="1" x14ac:dyDescent="0.25">
      <c r="A105" s="588"/>
      <c r="B105" s="628" t="s">
        <v>614</v>
      </c>
      <c r="C105" s="629" t="s">
        <v>622</v>
      </c>
      <c r="D105" s="630" t="s">
        <v>623</v>
      </c>
      <c r="E105" s="630" t="s">
        <v>624</v>
      </c>
      <c r="F105" s="630" t="s">
        <v>625</v>
      </c>
      <c r="G105" s="631" t="s">
        <v>626</v>
      </c>
    </row>
    <row r="106" spans="1:15" ht="15" customHeight="1" x14ac:dyDescent="0.2">
      <c r="A106" s="588"/>
      <c r="B106" s="632">
        <v>1</v>
      </c>
      <c r="C106" s="633" t="str">
        <f>IF(AND('Datos de Ensayos'!$G$59="CONTINUA",ISNUMBER('Datos de Ensayos'!$E61)),'Datos de Ensayos'!E61,"")</f>
        <v/>
      </c>
      <c r="D106" s="633" t="str">
        <f>IF(AND('Datos de Ensayos'!$G$59="CONTINUA",ISNUMBER('Datos de Ensayos'!$E61)),'Datos de Ensayos'!F61,"")</f>
        <v/>
      </c>
      <c r="E106" s="633" t="str">
        <f>IF(AND('Datos de Ensayos'!$G$59="CONTINUA",ISNUMBER('Datos de Ensayos'!$E61)),'Datos de Ensayos'!G61,"")</f>
        <v/>
      </c>
      <c r="F106" s="633" t="str">
        <f>IF(AND('Datos de Ensayos'!$G$59="CONTINUA",ISNUMBER('Datos de Ensayos'!$E61)),'Datos de Ensayos'!I61,"")</f>
        <v/>
      </c>
      <c r="G106" s="634" t="str">
        <f>+IF(ISNUMBER(E106),E106*0.7,"")</f>
        <v/>
      </c>
    </row>
    <row r="107" spans="1:15" ht="15" customHeight="1" x14ac:dyDescent="0.2">
      <c r="A107" s="588"/>
      <c r="B107" s="632">
        <v>2</v>
      </c>
      <c r="C107" s="633" t="str">
        <f>IF(AND('Datos de Ensayos'!$G$59="CONTINUA",ISNUMBER('Datos de Ensayos'!$E62)),'Datos de Ensayos'!E62,"")</f>
        <v/>
      </c>
      <c r="D107" s="633" t="str">
        <f>IF(AND('Datos de Ensayos'!$G$59="CONTINUA",ISNUMBER('Datos de Ensayos'!$E62)),'Datos de Ensayos'!F62,"")</f>
        <v/>
      </c>
      <c r="E107" s="633" t="str">
        <f>IF(AND('Datos de Ensayos'!$G$59="CONTINUA",ISNUMBER('Datos de Ensayos'!$E62)),'Datos de Ensayos'!G62,"")</f>
        <v/>
      </c>
      <c r="F107" s="633" t="str">
        <f>IF(AND('Datos de Ensayos'!$G$59="CONTINUA",ISNUMBER('Datos de Ensayos'!$E62)),'Datos de Ensayos'!I62,"")</f>
        <v/>
      </c>
      <c r="G107" s="635" t="str">
        <f>+IF(ISNUMBER(E107),E107*0.7,"")</f>
        <v/>
      </c>
    </row>
    <row r="108" spans="1:15" ht="15" customHeight="1" thickBot="1" x14ac:dyDescent="0.25">
      <c r="A108" s="588"/>
      <c r="B108" s="636">
        <v>3</v>
      </c>
      <c r="C108" s="637" t="str">
        <f>IF(AND('Datos de Ensayos'!$G$59="CONTINUA",ISNUMBER('Datos de Ensayos'!$E63)),'Datos de Ensayos'!E63,"")</f>
        <v/>
      </c>
      <c r="D108" s="637" t="str">
        <f>IF(AND('Datos de Ensayos'!$G$59="CONTINUA",ISNUMBER('Datos de Ensayos'!$E63)),'Datos de Ensayos'!F63,"")</f>
        <v/>
      </c>
      <c r="E108" s="637" t="str">
        <f>IF(AND('Datos de Ensayos'!$G$59="CONTINUA",ISNUMBER('Datos de Ensayos'!$E63)),'Datos de Ensayos'!G63,"")</f>
        <v/>
      </c>
      <c r="F108" s="637" t="str">
        <f>IF(AND('Datos de Ensayos'!$G$59="CONTINUA",ISNUMBER('Datos de Ensayos'!$E63)),'Datos de Ensayos'!I63,"")</f>
        <v/>
      </c>
      <c r="G108" s="638" t="str">
        <f>+IF(ISNUMBER(E108),E108*0.7,"")</f>
        <v/>
      </c>
    </row>
    <row r="109" spans="1:15" ht="15" customHeight="1" thickBot="1" x14ac:dyDescent="0.25">
      <c r="A109" s="1064" t="s">
        <v>627</v>
      </c>
      <c r="B109" s="1063"/>
      <c r="C109" s="1063"/>
      <c r="D109" s="1063"/>
      <c r="E109" s="1063"/>
      <c r="F109" s="1063"/>
      <c r="G109" s="1063"/>
    </row>
    <row r="110" spans="1:15" ht="47.1" customHeight="1" thickBot="1" x14ac:dyDescent="0.25">
      <c r="A110" s="588"/>
      <c r="B110" s="628" t="s">
        <v>628</v>
      </c>
      <c r="C110" s="629" t="s">
        <v>622</v>
      </c>
      <c r="D110" s="630" t="s">
        <v>306</v>
      </c>
      <c r="E110" s="630" t="s">
        <v>629</v>
      </c>
      <c r="F110" s="630" t="s">
        <v>630</v>
      </c>
      <c r="G110" s="631" t="s">
        <v>631</v>
      </c>
      <c r="K110" s="1068" t="str">
        <f>IF(ISNUMBER('Datos de Ensayos'!K124:O124),'Datos de Ensayos'!K124:O124,"")</f>
        <v/>
      </c>
      <c r="L110" s="1063"/>
      <c r="M110" s="1063"/>
      <c r="N110" s="1063"/>
      <c r="O110" s="1063"/>
    </row>
    <row r="111" spans="1:15" ht="15" customHeight="1" x14ac:dyDescent="0.2">
      <c r="A111" s="588"/>
      <c r="B111" s="632">
        <v>1</v>
      </c>
      <c r="C111" s="633">
        <f>IF(AND('Datos de Ensayos'!$G$59="DISCONTINUA",ISNUMBER('Datos de Ensayos'!$E61)),'Datos de Ensayos'!E61,"")</f>
        <v>1000</v>
      </c>
      <c r="D111" s="651">
        <f>IF(AND('Datos de Ensayos'!$G$59="DISCONTINUA",ISNUMBER('Datos de Ensayos'!$E61)),'Datos de Ensayos'!F61,"")</f>
        <v>1000</v>
      </c>
      <c r="E111" s="651">
        <f>IF(AND('Datos de Ensayos'!$G$59="DISCONTINUA",ISNUMBER('Datos de Ensayos'!$E61)),'Datos de Ensayos'!G61,"")</f>
        <v>28</v>
      </c>
      <c r="F111" s="651">
        <f>IF(AND('Datos de Ensayos'!$G$59="DISCONTINUA",ISNUMBER('Datos de Ensayos'!$E61)),'Datos de Ensayos'!H61,"")</f>
        <v>1020</v>
      </c>
      <c r="G111" s="639">
        <f>+IF(ISNUMBER(C111),F111-D111,"")</f>
        <v>20</v>
      </c>
      <c r="K111" s="1063"/>
      <c r="L111" s="1063"/>
      <c r="M111" s="1063"/>
      <c r="N111" s="1063"/>
      <c r="O111" s="1063"/>
    </row>
    <row r="112" spans="1:15" ht="15" customHeight="1" x14ac:dyDescent="0.2">
      <c r="A112" s="588"/>
      <c r="B112" s="643">
        <v>2</v>
      </c>
      <c r="C112" s="645">
        <f>IF(AND('Datos de Ensayos'!$G$59="DISCONTINUA",ISNUMBER('Datos de Ensayos'!$E62)),'Datos de Ensayos'!E62,"")</f>
        <v>22000</v>
      </c>
      <c r="D112" s="652">
        <f>IF(AND('Datos de Ensayos'!$G$59="DISCONTINUA",ISNUMBER('Datos de Ensayos'!$E62)),'Datos de Ensayos'!F62,"")</f>
        <v>22000</v>
      </c>
      <c r="E112" s="652">
        <f>IF(AND('Datos de Ensayos'!$G$59="DISCONTINUA",ISNUMBER('Datos de Ensayos'!$E62)),'Datos de Ensayos'!G62,"")</f>
        <v>28</v>
      </c>
      <c r="F112" s="652">
        <f>IF(AND('Datos de Ensayos'!$G$59="DISCONTINUA",ISNUMBER('Datos de Ensayos'!$E62)),'Datos de Ensayos'!H62,"")</f>
        <v>22010</v>
      </c>
      <c r="G112" s="639">
        <f>+IF(ISNUMBER(C112),F112-D112,"")</f>
        <v>10</v>
      </c>
    </row>
    <row r="113" spans="1:21" ht="15" customHeight="1" thickBot="1" x14ac:dyDescent="0.25">
      <c r="A113" s="588"/>
      <c r="B113" s="644">
        <v>3</v>
      </c>
      <c r="C113" s="641">
        <f>IF(AND('Datos de Ensayos'!$G$59="DISCONTINUA",ISNUMBER('Datos de Ensayos'!$E63)),'Datos de Ensayos'!E63,"")</f>
        <v>44000</v>
      </c>
      <c r="D113" s="653">
        <f>IF(AND('Datos de Ensayos'!$G$59="DISCONTINUA",ISNUMBER('Datos de Ensayos'!$E63)),'Datos de Ensayos'!F63,"")</f>
        <v>44000</v>
      </c>
      <c r="E113" s="653">
        <f>IF(AND('Datos de Ensayos'!$G$59="DISCONTINUA",ISNUMBER('Datos de Ensayos'!$E63)),'Datos de Ensayos'!G63,"")</f>
        <v>28</v>
      </c>
      <c r="F113" s="653">
        <f>IF(AND('Datos de Ensayos'!$G$59="DISCONTINUA",ISNUMBER('Datos de Ensayos'!$E63)),'Datos de Ensayos'!H63,"")</f>
        <v>44010</v>
      </c>
      <c r="G113" s="654">
        <f>+IF(ISNUMBER(C113),F113-D113,"")</f>
        <v>10</v>
      </c>
    </row>
    <row r="114" spans="1:21" ht="15" customHeight="1" thickBot="1" x14ac:dyDescent="0.25">
      <c r="A114" s="1064" t="s">
        <v>632</v>
      </c>
      <c r="B114" s="1063"/>
      <c r="C114" s="1063"/>
      <c r="D114" s="1063"/>
      <c r="E114" s="1063"/>
      <c r="F114" s="1063"/>
      <c r="G114" s="1063"/>
    </row>
    <row r="115" spans="1:21" ht="47.1" customHeight="1" thickBot="1" x14ac:dyDescent="0.25">
      <c r="A115" s="588"/>
      <c r="B115" s="628" t="s">
        <v>633</v>
      </c>
      <c r="C115" s="629" t="s">
        <v>321</v>
      </c>
      <c r="D115" s="630" t="s">
        <v>634</v>
      </c>
      <c r="E115" s="630" t="s">
        <v>635</v>
      </c>
      <c r="F115" s="655" t="s">
        <v>636</v>
      </c>
      <c r="G115" s="588"/>
    </row>
    <row r="116" spans="1:21" ht="15" customHeight="1" x14ac:dyDescent="0.2">
      <c r="A116" s="588"/>
      <c r="B116" s="632">
        <v>1</v>
      </c>
      <c r="C116" s="633" t="str">
        <f>IF(AND('Datos de Ensayos'!$G$59="ENA",ISNUMBER('Datos de Ensayos'!$E61)),'Datos de Ensayos'!E61,"")</f>
        <v/>
      </c>
      <c r="D116" s="633" t="str">
        <f>IF(AND('Datos de Ensayos'!$G$59="ENA",ISNUMBER('Datos de Ensayos'!$E61)),'Datos de Ensayos'!F61,"")</f>
        <v/>
      </c>
      <c r="E116" s="633" t="str">
        <f>IF(AND('Datos de Ensayos'!$G$59="ENA",ISNUMBER('Datos de Ensayos'!$E61)),'Datos de Ensayos'!G61,"")</f>
        <v/>
      </c>
      <c r="F116" s="639" t="str">
        <f>IF(AND('Datos de Ensayos'!$G$59="ENA",ISNUMBER('Datos de Ensayos'!$E61)),'Datos de Ensayos'!J61,"")</f>
        <v/>
      </c>
      <c r="G116" s="588"/>
    </row>
    <row r="117" spans="1:21" ht="15" customHeight="1" x14ac:dyDescent="0.2">
      <c r="A117" s="588"/>
      <c r="B117" s="632">
        <v>2</v>
      </c>
      <c r="C117" s="633" t="str">
        <f>IF(AND('Datos de Ensayos'!$G$59="ENA",ISNUMBER('Datos de Ensayos'!$E62)),'Datos de Ensayos'!E62,"")</f>
        <v/>
      </c>
      <c r="D117" s="633" t="str">
        <f>IF(AND('Datos de Ensayos'!$G$59="ENA",ISNUMBER('Datos de Ensayos'!$E62)),'Datos de Ensayos'!F62,"")</f>
        <v/>
      </c>
      <c r="E117" s="633" t="str">
        <f>IF(AND('Datos de Ensayos'!$G$59="ENA",ISNUMBER('Datos de Ensayos'!$E62)),'Datos de Ensayos'!G62,"")</f>
        <v/>
      </c>
      <c r="F117" s="639" t="str">
        <f>IF(AND('Datos de Ensayos'!$G$59="ENA",ISNUMBER('Datos de Ensayos'!$E62)),'Datos de Ensayos'!J62,"")</f>
        <v/>
      </c>
      <c r="G117" s="588"/>
    </row>
    <row r="118" spans="1:21" ht="15" customHeight="1" thickBot="1" x14ac:dyDescent="0.25">
      <c r="A118" s="588"/>
      <c r="B118" s="636">
        <v>3</v>
      </c>
      <c r="C118" s="637" t="str">
        <f>IF(AND('Datos de Ensayos'!$G$59="ENA",ISNUMBER('Datos de Ensayos'!$E63)),'Datos de Ensayos'!E63,"")</f>
        <v/>
      </c>
      <c r="D118" s="637" t="str">
        <f>IF(AND('Datos de Ensayos'!$G$59="ENA",ISNUMBER('Datos de Ensayos'!$E63)),'Datos de Ensayos'!F63,"")</f>
        <v/>
      </c>
      <c r="E118" s="637" t="str">
        <f>IF(AND('Datos de Ensayos'!$G$59="ENA",ISNUMBER('Datos de Ensayos'!$E63)),'Datos de Ensayos'!G63,"")</f>
        <v/>
      </c>
      <c r="F118" s="654" t="str">
        <f>IF(AND('Datos de Ensayos'!$G$59="ENA",ISNUMBER('Datos de Ensayos'!$E63)),'Datos de Ensayos'!J63,"")</f>
        <v/>
      </c>
      <c r="G118" s="588"/>
    </row>
    <row r="119" spans="1:21" ht="15" customHeight="1" x14ac:dyDescent="0.2">
      <c r="A119" s="588"/>
      <c r="B119" s="591"/>
      <c r="C119" s="591"/>
      <c r="D119" s="591"/>
      <c r="E119" s="591"/>
      <c r="F119" s="588"/>
      <c r="G119" s="588"/>
    </row>
    <row r="120" spans="1:21" s="571" customFormat="1" ht="15" customHeight="1" x14ac:dyDescent="0.2">
      <c r="A120" s="1046" t="s">
        <v>637</v>
      </c>
      <c r="B120" s="1082"/>
      <c r="C120" s="1082"/>
      <c r="D120" s="1082"/>
      <c r="E120" s="1082"/>
      <c r="F120" s="1082"/>
      <c r="G120" s="1082"/>
    </row>
    <row r="121" spans="1:21" ht="15" hidden="1" customHeight="1" x14ac:dyDescent="0.2">
      <c r="A121" s="588"/>
      <c r="B121" s="591"/>
      <c r="C121" s="591"/>
      <c r="D121" s="591"/>
      <c r="E121" s="591"/>
      <c r="F121" s="588"/>
      <c r="G121" s="588"/>
    </row>
    <row r="122" spans="1:21" ht="122.1" customHeight="1" thickBot="1" x14ac:dyDescent="0.25">
      <c r="A122" s="1046" t="str">
        <f>IF(COUNTA('Identificación del Instrumento'!B22)=1,CONCATENATE("2.4.1.",VLOOKUP('Identificación del Instrumento'!$B$22,'Ensayos Efectuados'!$N$125:$U$136,8,FALSE)),"")</f>
        <v>2.4.1.Instrumentos cuyo dispostivo receptor de carga pueden recibir cargas rodantes (13.4.2.1 de la Resolución ex S.E.C.y N.E.I 2307/80.........sobre cada uno de los ‘n’ puntos de apoyo del dispositivo receptor de carga, se coloca una carga de prueba sucesivamente repartida sobre una superficie del mismo orden que la fracción 1/n de la superficie del receptor de carga. Dicha carga de prueba debe ser igual a la fracción 1/n de la suma de la capacidad máxima y del efecto máximo aditivo de tara. Cuando dos puntos de apoyo están muy próximos y la carga de prueba no puede entonces ser ubicada en las condiciones precedentes, dicha carga se duplica y se reparte sobre una superficie doble, a ambos lados del eje de los puntos de apoyo).</v>
      </c>
      <c r="B122" s="1063"/>
      <c r="C122" s="1063"/>
      <c r="D122" s="1063"/>
      <c r="E122" s="1063"/>
      <c r="F122" s="1063"/>
      <c r="G122" s="1063"/>
    </row>
    <row r="123" spans="1:21" ht="39" customHeight="1" thickBot="1" x14ac:dyDescent="0.25">
      <c r="A123" s="588"/>
      <c r="B123" s="628" t="s">
        <v>633</v>
      </c>
      <c r="C123" s="629" t="s">
        <v>321</v>
      </c>
      <c r="D123" s="630" t="s">
        <v>322</v>
      </c>
      <c r="E123" s="630" t="s">
        <v>638</v>
      </c>
      <c r="F123" s="631" t="s">
        <v>639</v>
      </c>
      <c r="G123" s="588"/>
    </row>
    <row r="124" spans="1:21" ht="15" customHeight="1" thickBot="1" x14ac:dyDescent="0.25">
      <c r="A124" s="588"/>
      <c r="B124" s="632">
        <v>1</v>
      </c>
      <c r="C124" s="633">
        <f>+'Datos de Ensayos'!E70</f>
        <v>10000</v>
      </c>
      <c r="D124" s="651">
        <f>IF(ISNUMBER('Datos de Ensayos'!F70),IF('Identificación del Instrumento'!$B$17="PERIÓDICA",'Datos de Ensayos'!F70,'Datos de Ensayos'!H70),"")</f>
        <v>10020</v>
      </c>
      <c r="E124" s="633">
        <f>+'Datos de Ensayos'!J70</f>
        <v>20</v>
      </c>
      <c r="F124" s="656" t="str">
        <f>IF(ISNUMBER(C124),CONCATENATE($I$124,'Datos de Ensayos'!I70),"")</f>
        <v>±20</v>
      </c>
      <c r="G124" s="588"/>
      <c r="I124" s="590" t="s">
        <v>640</v>
      </c>
      <c r="N124" s="1070" t="s">
        <v>641</v>
      </c>
      <c r="O124" s="847"/>
      <c r="P124" s="605"/>
      <c r="Q124" s="606"/>
      <c r="R124" s="607" t="s">
        <v>642</v>
      </c>
      <c r="S124" s="607"/>
      <c r="T124" s="589" t="s">
        <v>381</v>
      </c>
      <c r="U124" s="607" t="s">
        <v>643</v>
      </c>
    </row>
    <row r="125" spans="1:21" ht="15" customHeight="1" x14ac:dyDescent="0.2">
      <c r="A125" s="588"/>
      <c r="B125" s="632">
        <v>2</v>
      </c>
      <c r="C125" s="633">
        <f>+'Datos de Ensayos'!E71</f>
        <v>10000</v>
      </c>
      <c r="D125" s="651">
        <f>IF(ISNUMBER('Datos de Ensayos'!F71),IF('Identificación del Instrumento'!$B$17="PERIÓDICA",'Datos de Ensayos'!F71,'Datos de Ensayos'!H71),"")</f>
        <v>10020</v>
      </c>
      <c r="E125" s="633">
        <f>+'Datos de Ensayos'!J71</f>
        <v>20</v>
      </c>
      <c r="F125" s="656" t="str">
        <f>IF(ISNUMBER(C125),CONCATENATE($I$124,'Datos de Ensayos'!I71),"")</f>
        <v>±20</v>
      </c>
      <c r="G125" s="588"/>
      <c r="N125" s="1084" t="str">
        <f>'Identificación del Instrumento'!K40</f>
        <v>Balanza para pesar camiones</v>
      </c>
      <c r="O125" s="835"/>
      <c r="P125" s="835"/>
      <c r="R125" s="590" t="s">
        <v>644</v>
      </c>
      <c r="S125" s="590">
        <v>1</v>
      </c>
      <c r="T125" s="590" t="s">
        <v>645</v>
      </c>
      <c r="U125" s="590" t="s">
        <v>646</v>
      </c>
    </row>
    <row r="126" spans="1:21" ht="15" customHeight="1" x14ac:dyDescent="0.2">
      <c r="A126" s="588"/>
      <c r="B126" s="632">
        <v>3</v>
      </c>
      <c r="C126" s="633">
        <f>+'Datos de Ensayos'!E72</f>
        <v>10000</v>
      </c>
      <c r="D126" s="651">
        <f>IF(ISNUMBER('Datos de Ensayos'!F72),IF('Identificación del Instrumento'!$B$17="PERIÓDICA",'Datos de Ensayos'!F72,'Datos de Ensayos'!H72),"")</f>
        <v>10020</v>
      </c>
      <c r="E126" s="633">
        <f>+'Datos de Ensayos'!J72</f>
        <v>20</v>
      </c>
      <c r="F126" s="656" t="str">
        <f>IF(ISNUMBER(C126),CONCATENATE($I$124,'Datos de Ensayos'!I72),"")</f>
        <v>±20</v>
      </c>
      <c r="G126" s="588"/>
      <c r="N126" s="1062" t="str">
        <f>'Identificación del Instrumento'!K41</f>
        <v>Balanza para pesar vagones</v>
      </c>
      <c r="O126" s="1063"/>
      <c r="P126" s="1063"/>
      <c r="R126" s="590" t="s">
        <v>644</v>
      </c>
      <c r="S126" s="590">
        <v>1</v>
      </c>
      <c r="T126" s="590" t="s">
        <v>645</v>
      </c>
      <c r="U126" s="590" t="s">
        <v>646</v>
      </c>
    </row>
    <row r="127" spans="1:21" ht="15" customHeight="1" x14ac:dyDescent="0.2">
      <c r="A127" s="588"/>
      <c r="B127" s="632">
        <v>4</v>
      </c>
      <c r="C127" s="633">
        <f>+'Datos de Ensayos'!E73</f>
        <v>10000</v>
      </c>
      <c r="D127" s="651">
        <f>IF(ISNUMBER('Datos de Ensayos'!F73),IF('Identificación del Instrumento'!$B$17="PERIÓDICA",'Datos de Ensayos'!F73,'Datos de Ensayos'!H73),"")</f>
        <v>10020</v>
      </c>
      <c r="E127" s="633">
        <f>+'Datos de Ensayos'!J73</f>
        <v>20</v>
      </c>
      <c r="F127" s="656" t="str">
        <f>IF(ISNUMBER(C127),CONCATENATE($I$124,'Datos de Ensayos'!I73),"")</f>
        <v>±20</v>
      </c>
      <c r="G127" s="588"/>
      <c r="N127" s="1062" t="str">
        <f>'Identificación del Instrumento'!K42</f>
        <v>Balanza para pesar vehículos por ejes (Receptor único)</v>
      </c>
      <c r="O127" s="1063"/>
      <c r="P127" s="1063"/>
      <c r="R127" s="590" t="s">
        <v>647</v>
      </c>
      <c r="S127" s="590">
        <v>2</v>
      </c>
      <c r="T127" s="590" t="s">
        <v>648</v>
      </c>
      <c r="U127" s="590" t="s">
        <v>649</v>
      </c>
    </row>
    <row r="128" spans="1:21" ht="15" customHeight="1" x14ac:dyDescent="0.2">
      <c r="A128" s="588"/>
      <c r="B128" s="632">
        <v>5</v>
      </c>
      <c r="C128" s="633">
        <f>+'Datos de Ensayos'!E74</f>
        <v>10000</v>
      </c>
      <c r="D128" s="651">
        <f>IF(ISNUMBER('Datos de Ensayos'!F74),IF('Identificación del Instrumento'!$B$17="PERIÓDICA",'Datos de Ensayos'!F74,'Datos de Ensayos'!H74),"")</f>
        <v>10020</v>
      </c>
      <c r="E128" s="633">
        <f>+'Datos de Ensayos'!J74</f>
        <v>20</v>
      </c>
      <c r="F128" s="656" t="str">
        <f>IF(ISNUMBER(C128),CONCATENATE($I$124,'Datos de Ensayos'!I74),"")</f>
        <v>±20</v>
      </c>
      <c r="G128" s="588"/>
      <c r="N128" s="1062" t="str">
        <f>'Identificación del Instrumento'!K43</f>
        <v>Balanza para pesar vehículos por ejes (Dos receptores de carga)</v>
      </c>
      <c r="O128" s="1063"/>
      <c r="P128" s="1063"/>
      <c r="R128" s="590" t="s">
        <v>650</v>
      </c>
      <c r="S128" s="590">
        <v>2</v>
      </c>
      <c r="T128" s="590" t="s">
        <v>648</v>
      </c>
      <c r="U128" s="590" t="s">
        <v>651</v>
      </c>
    </row>
    <row r="129" spans="1:21" ht="15" customHeight="1" x14ac:dyDescent="0.2">
      <c r="A129" s="588"/>
      <c r="B129" s="643">
        <v>6</v>
      </c>
      <c r="C129" s="645">
        <f>+'Datos de Ensayos'!E75</f>
        <v>10000</v>
      </c>
      <c r="D129" s="652">
        <f>IF(ISNUMBER('Datos de Ensayos'!F75),IF('Identificación del Instrumento'!$B$17="PERIÓDICA",'Datos de Ensayos'!F75,'Datos de Ensayos'!H75),"")</f>
        <v>10020</v>
      </c>
      <c r="E129" s="645">
        <f>+'Datos de Ensayos'!J75</f>
        <v>20</v>
      </c>
      <c r="F129" s="650" t="str">
        <f>IF(ISNUMBER(C129),CONCATENATE($I$124,'Datos de Ensayos'!I75),"")</f>
        <v>±20</v>
      </c>
      <c r="G129" s="588"/>
      <c r="N129" s="1062" t="str">
        <f>'Identificación del Instrumento'!K44</f>
        <v>Balanza para pesar vehículos por ejes o conjunto de ejes (Receptor único)</v>
      </c>
      <c r="O129" s="1063"/>
      <c r="P129" s="1063"/>
      <c r="Q129" s="571"/>
      <c r="R129" s="571" t="s">
        <v>647</v>
      </c>
      <c r="S129" s="571">
        <v>2</v>
      </c>
      <c r="T129" s="590" t="s">
        <v>648</v>
      </c>
      <c r="U129" s="590" t="s">
        <v>649</v>
      </c>
    </row>
    <row r="130" spans="1:21" ht="15" customHeight="1" x14ac:dyDescent="0.2">
      <c r="A130" s="588"/>
      <c r="B130" s="632">
        <v>7</v>
      </c>
      <c r="C130" s="633">
        <f>+'Datos de Ensayos'!E76</f>
        <v>10000</v>
      </c>
      <c r="D130" s="651">
        <f>IF(ISNUMBER('Datos de Ensayos'!F76),IF('Identificación del Instrumento'!$B$17="PERIÓDICA",'Datos de Ensayos'!F76,'Datos de Ensayos'!H76),"")</f>
        <v>10020</v>
      </c>
      <c r="E130" s="633">
        <f>+'Datos de Ensayos'!J76</f>
        <v>20</v>
      </c>
      <c r="F130" s="656" t="str">
        <f>IF(ISNUMBER(C130),CONCATENATE($I$124,'Datos de Ensayos'!I76),"")</f>
        <v>±20</v>
      </c>
      <c r="G130" s="588"/>
      <c r="N130" s="1062" t="str">
        <f>'Identificación del Instrumento'!K45</f>
        <v>Balanza para pesar vehículos por ejes o conjunto de ejes (Dos receptores de carga)</v>
      </c>
      <c r="O130" s="1063"/>
      <c r="P130" s="1063"/>
      <c r="R130" s="590" t="s">
        <v>650</v>
      </c>
      <c r="S130" s="590">
        <v>2</v>
      </c>
      <c r="T130" s="590" t="s">
        <v>648</v>
      </c>
      <c r="U130" s="590" t="s">
        <v>651</v>
      </c>
    </row>
    <row r="131" spans="1:21" ht="15" customHeight="1" x14ac:dyDescent="0.2">
      <c r="A131" s="588"/>
      <c r="B131" s="643">
        <v>8</v>
      </c>
      <c r="C131" s="645">
        <f>+'Datos de Ensayos'!E77</f>
        <v>10000</v>
      </c>
      <c r="D131" s="652">
        <f>IF(ISNUMBER('Datos de Ensayos'!F77),IF('Identificación del Instrumento'!$B$17="PERIÓDICA",'Datos de Ensayos'!F77,'Datos de Ensayos'!H77),"")</f>
        <v>10020</v>
      </c>
      <c r="E131" s="645">
        <f>+'Datos de Ensayos'!J77</f>
        <v>20</v>
      </c>
      <c r="F131" s="650" t="str">
        <f>IF(ISNUMBER(C131),CONCATENATE($I$124,'Datos de Ensayos'!I77),"")</f>
        <v>±20</v>
      </c>
      <c r="G131" s="588"/>
      <c r="N131" s="1062" t="str">
        <f>'Identificación del Instrumento'!K46</f>
        <v>Balanza portátil para pesar vehículos por ejes (Receptor único)</v>
      </c>
      <c r="O131" s="1063"/>
      <c r="P131" s="1063"/>
      <c r="R131" s="590" t="s">
        <v>652</v>
      </c>
      <c r="S131" s="590">
        <v>2</v>
      </c>
      <c r="T131" s="590" t="s">
        <v>648</v>
      </c>
      <c r="U131" s="590" t="s">
        <v>653</v>
      </c>
    </row>
    <row r="132" spans="1:21" ht="15" customHeight="1" x14ac:dyDescent="0.2">
      <c r="A132" s="588"/>
      <c r="B132" s="632">
        <v>9</v>
      </c>
      <c r="C132" s="633" t="str">
        <f>+'Datos de Ensayos'!E78</f>
        <v/>
      </c>
      <c r="D132" s="651" t="str">
        <f>IF(ISNUMBER('Datos de Ensayos'!F78),IF('Identificación del Instrumento'!$B$17="PERIÓDICA",'Datos de Ensayos'!F78,'Datos de Ensayos'!H78),"")</f>
        <v/>
      </c>
      <c r="E132" s="633" t="str">
        <f>+'Datos de Ensayos'!J78</f>
        <v/>
      </c>
      <c r="F132" s="656" t="str">
        <f>IF(ISNUMBER(C132),CONCATENATE($I$124,'Datos de Ensayos'!I78),"")</f>
        <v/>
      </c>
      <c r="G132" s="588"/>
      <c r="N132" s="1062" t="str">
        <f>'Identificación del Instrumento'!K47</f>
        <v>Balanza portátil para pesar vehículos por ejes (Dos receptores de carga)</v>
      </c>
      <c r="O132" s="1063"/>
      <c r="P132" s="1063"/>
      <c r="R132" s="590" t="s">
        <v>654</v>
      </c>
      <c r="S132" s="590">
        <v>2</v>
      </c>
      <c r="T132" s="590" t="s">
        <v>648</v>
      </c>
      <c r="U132" s="590" t="s">
        <v>655</v>
      </c>
    </row>
    <row r="133" spans="1:21" ht="15" customHeight="1" x14ac:dyDescent="0.2">
      <c r="A133" s="588"/>
      <c r="B133" s="643">
        <v>10</v>
      </c>
      <c r="C133" s="645" t="str">
        <f>+'Datos de Ensayos'!E79</f>
        <v/>
      </c>
      <c r="D133" s="652" t="str">
        <f>IF(ISNUMBER('Datos de Ensayos'!F79),IF('Identificación del Instrumento'!$B$17="PERIÓDICA",'Datos de Ensayos'!F79,'Datos de Ensayos'!H79),"")</f>
        <v/>
      </c>
      <c r="E133" s="645" t="str">
        <f>+'Datos de Ensayos'!J79</f>
        <v/>
      </c>
      <c r="F133" s="650" t="str">
        <f>IF(ISNUMBER(C133),CONCATENATE($I$124,'Datos de Ensayos'!I79),"")</f>
        <v/>
      </c>
      <c r="G133" s="588"/>
      <c r="N133" s="1062" t="str">
        <f>'Identificación del Instrumento'!K48</f>
        <v>Balanza para pesar camiones y vagones</v>
      </c>
      <c r="O133" s="1063"/>
      <c r="P133" s="1063"/>
      <c r="R133" s="590" t="s">
        <v>644</v>
      </c>
      <c r="S133" s="590">
        <v>1</v>
      </c>
      <c r="T133" s="590" t="s">
        <v>645</v>
      </c>
      <c r="U133" s="590" t="s">
        <v>646</v>
      </c>
    </row>
    <row r="134" spans="1:21" ht="15" customHeight="1" x14ac:dyDescent="0.2">
      <c r="A134" s="588"/>
      <c r="B134" s="643">
        <v>11</v>
      </c>
      <c r="C134" s="645" t="str">
        <f>+'Datos de Ensayos'!E80</f>
        <v/>
      </c>
      <c r="D134" s="652" t="str">
        <f>IF(ISNUMBER('Datos de Ensayos'!F80),IF('Identificación del Instrumento'!$B$17="PERIÓDICA",'Datos de Ensayos'!F80,'Datos de Ensayos'!H80),"")</f>
        <v/>
      </c>
      <c r="E134" s="645" t="str">
        <f>+'Datos de Ensayos'!J80</f>
        <v/>
      </c>
      <c r="F134" s="650" t="str">
        <f>IF(ISNUMBER(C134),CONCATENATE($I$124,'Datos de Ensayos'!I80),"")</f>
        <v/>
      </c>
      <c r="G134" s="588"/>
      <c r="N134" s="1062" t="str">
        <f>'Identificación del Instrumento'!K49</f>
        <v>Balanza de plataforma</v>
      </c>
      <c r="O134" s="1063"/>
      <c r="P134" s="1063"/>
      <c r="R134" s="590" t="s">
        <v>656</v>
      </c>
      <c r="S134" s="590">
        <v>1</v>
      </c>
      <c r="T134" s="590" t="s">
        <v>645</v>
      </c>
      <c r="U134" s="590" t="s">
        <v>657</v>
      </c>
    </row>
    <row r="135" spans="1:21" ht="15" customHeight="1" thickBot="1" x14ac:dyDescent="0.25">
      <c r="A135" s="588"/>
      <c r="B135" s="636">
        <v>12</v>
      </c>
      <c r="C135" s="637" t="str">
        <f>+'Datos de Ensayos'!E81</f>
        <v/>
      </c>
      <c r="D135" s="651" t="str">
        <f>IF(ISNUMBER('Datos de Ensayos'!F81),IF('Identificación del Instrumento'!$B$17="PERIÓDICA",'Datos de Ensayos'!F81,'Datos de Ensayos'!H81),"")</f>
        <v/>
      </c>
      <c r="E135" s="637" t="str">
        <f>+'Datos de Ensayos'!J81</f>
        <v/>
      </c>
      <c r="F135" s="656" t="str">
        <f>IF(ISNUMBER(C135),CONCATENATE($I$124,'Datos de Ensayos'!I81),"")</f>
        <v/>
      </c>
      <c r="G135" s="588"/>
      <c r="N135" s="1062" t="str">
        <f>'Identificación del Instrumento'!K50</f>
        <v>Balanza tipo tolva</v>
      </c>
      <c r="O135" s="1063"/>
      <c r="P135" s="1063"/>
      <c r="R135" s="590" t="s">
        <v>658</v>
      </c>
      <c r="S135" s="590">
        <v>1</v>
      </c>
      <c r="T135" s="590" t="s">
        <v>645</v>
      </c>
      <c r="U135" s="590" t="s">
        <v>659</v>
      </c>
    </row>
    <row r="136" spans="1:21" ht="15" customHeight="1" thickBot="1" x14ac:dyDescent="0.25">
      <c r="A136" s="588"/>
      <c r="B136" s="1036" t="str">
        <f>IF(ISBLANK('Identificación del Instrumento'!B17),"",IF('Identificación del Instrumento'!B17="periódica","","Valores corregidos por error de redondeo"))</f>
        <v>Valores corregidos por error de redondeo</v>
      </c>
      <c r="C136" s="847"/>
      <c r="D136" s="847"/>
      <c r="E136" s="847"/>
      <c r="F136" s="858"/>
      <c r="G136" s="588"/>
      <c r="N136" s="1062" t="str">
        <f>'Identificación del Instrumento'!K51</f>
        <v>Balanza de carga directamente suspendida (de gancho)</v>
      </c>
      <c r="O136" s="1063"/>
      <c r="P136" s="1063"/>
      <c r="R136" s="589" t="s">
        <v>660</v>
      </c>
      <c r="S136" s="590">
        <v>1</v>
      </c>
      <c r="T136" s="590" t="s">
        <v>645</v>
      </c>
      <c r="U136" s="589" t="s">
        <v>661</v>
      </c>
    </row>
    <row r="137" spans="1:21" ht="15" customHeight="1" x14ac:dyDescent="0.2">
      <c r="A137" s="588" t="str">
        <f>IF(ISBLANK('Datos de Ensayos'!D36),"",'Datos de Ensayos'!D36)</f>
        <v/>
      </c>
      <c r="B137" s="588"/>
      <c r="C137" s="588"/>
      <c r="D137" s="588"/>
      <c r="E137" s="588"/>
      <c r="F137" s="588"/>
      <c r="G137" s="588" t="str">
        <f>IF(ISBLANK('Datos de Ensayos'!J36),"",'Datos de Ensayos'!J36)</f>
        <v/>
      </c>
    </row>
    <row r="138" spans="1:21" ht="15" customHeight="1" x14ac:dyDescent="0.2">
      <c r="A138" s="588"/>
      <c r="B138" s="588" t="str">
        <f>IF(ISBLANK('Datos de Ensayos'!E36),"",'Datos de Ensayos'!E36)</f>
        <v/>
      </c>
      <c r="C138" s="588" t="str">
        <f>IF(ISBLANK('Datos de Ensayos'!F36),"",'Datos de Ensayos'!F36)</f>
        <v>indicador</v>
      </c>
      <c r="D138" s="588" t="str">
        <f>IF(ISBLANK('Datos de Ensayos'!G36),"",'Datos de Ensayos'!G36)</f>
        <v/>
      </c>
      <c r="E138" s="588" t="str">
        <f>IF(ISBLANK('Datos de Ensayos'!H36),"",'Datos de Ensayos'!H36)</f>
        <v/>
      </c>
      <c r="F138" s="588" t="str">
        <f>IF(ISBLANK('Datos de Ensayos'!I36),"",'Datos de Ensayos'!I36)</f>
        <v/>
      </c>
      <c r="G138" s="588"/>
    </row>
    <row r="139" spans="1:21" ht="15" customHeight="1" thickBot="1" x14ac:dyDescent="0.25">
      <c r="A139" s="588" t="str">
        <f>IF(ISBLANK('Datos de Ensayos'!D37),"",'Datos de Ensayos'!D37)</f>
        <v/>
      </c>
      <c r="B139" s="588" t="str">
        <f>IF(ISBLANK('Datos de Ensayos'!E37),"",'Datos de Ensayos'!E37)</f>
        <v/>
      </c>
      <c r="C139" s="588" t="str">
        <f>IF(ISBLANK('Datos de Ensayos'!F37),"",'Datos de Ensayos'!F37)</f>
        <v/>
      </c>
      <c r="D139" s="588" t="str">
        <f>IF(ISBLANK('Datos de Ensayos'!G37),"",'Datos de Ensayos'!G37)</f>
        <v/>
      </c>
      <c r="E139" s="588" t="str">
        <f>IF(ISBLANK('Datos de Ensayos'!H37),"",'Datos de Ensayos'!H37)</f>
        <v/>
      </c>
      <c r="F139" s="588" t="str">
        <f>IF(ISBLANK('Datos de Ensayos'!I37),"",'Datos de Ensayos'!I37)</f>
        <v/>
      </c>
      <c r="G139" s="588" t="str">
        <f>IF(ISBLANK('Datos de Ensayos'!J37),"",'Datos de Ensayos'!J37)</f>
        <v/>
      </c>
    </row>
    <row r="140" spans="1:21" ht="15" customHeight="1" x14ac:dyDescent="0.2">
      <c r="A140" s="588"/>
      <c r="B140" s="1095" t="str">
        <f>'Datos de Ensayos'!E38</f>
        <v>6                                   7                                   8                                   9                                   10</v>
      </c>
      <c r="C140" s="835"/>
      <c r="D140" s="835"/>
      <c r="E140" s="835"/>
      <c r="F140" s="836"/>
      <c r="G140" s="588"/>
    </row>
    <row r="141" spans="1:21" ht="15" customHeight="1" x14ac:dyDescent="0.2">
      <c r="A141" s="588" t="str">
        <f>IF(ISBLANK('Datos de Ensayos'!D39),"",'Datos de Ensayos'!D39)</f>
        <v>Egreso</v>
      </c>
      <c r="B141" s="1086"/>
      <c r="C141" s="1075" t="str">
        <f>'Datos de Ensayos'!F39</f>
        <v>Receptor de Carga</v>
      </c>
      <c r="D141" s="1063"/>
      <c r="E141" s="1063"/>
      <c r="F141" s="1077"/>
      <c r="G141" s="588" t="str">
        <f>IF(ISBLANK('Datos de Ensayos'!J39),"",'Datos de Ensayos'!J39)</f>
        <v>Ingreso</v>
      </c>
    </row>
    <row r="142" spans="1:21" ht="15" customHeight="1" x14ac:dyDescent="0.2">
      <c r="A142" s="588"/>
      <c r="B142" s="828"/>
      <c r="C142" s="1063"/>
      <c r="D142" s="1063"/>
      <c r="E142" s="1063"/>
      <c r="F142" s="850"/>
      <c r="G142" s="588"/>
    </row>
    <row r="143" spans="1:21" ht="15" customHeight="1" thickBot="1" x14ac:dyDescent="0.25">
      <c r="A143" s="588"/>
      <c r="B143" s="1067" t="str">
        <f>'Datos de Ensayos'!E41</f>
        <v>5                                   4                                   3                                   2                                     1</v>
      </c>
      <c r="C143" s="838"/>
      <c r="D143" s="838"/>
      <c r="E143" s="838"/>
      <c r="F143" s="843"/>
      <c r="G143" s="588"/>
    </row>
    <row r="144" spans="1:21" ht="15" customHeight="1" x14ac:dyDescent="0.2">
      <c r="A144" s="588" t="str">
        <f>IF(ISBLANK('Datos de Ensayos'!D42),"",'Datos de Ensayos'!D42)</f>
        <v/>
      </c>
      <c r="B144" s="588" t="str">
        <f>IF(ISBLANK('Datos de Ensayos'!E42),"",'Datos de Ensayos'!E42)</f>
        <v/>
      </c>
      <c r="C144" s="588" t="str">
        <f>IF(ISBLANK('Datos de Ensayos'!F42),"",'Datos de Ensayos'!F42)</f>
        <v/>
      </c>
      <c r="D144" s="588" t="str">
        <f>IF(ISBLANK('Datos de Ensayos'!G42),"",'Datos de Ensayos'!G42)</f>
        <v/>
      </c>
      <c r="E144" s="588" t="str">
        <f>IF(ISBLANK('Datos de Ensayos'!H42),"",'Datos de Ensayos'!H42)</f>
        <v/>
      </c>
      <c r="F144" s="588" t="str">
        <f>IF(ISBLANK('Datos de Ensayos'!I42),"",'Datos de Ensayos'!I42)</f>
        <v/>
      </c>
      <c r="G144" s="588" t="str">
        <f>IF(ISBLANK('Datos de Ensayos'!J42),"",'Datos de Ensayos'!J42)</f>
        <v/>
      </c>
    </row>
    <row r="145" spans="1:7" ht="15" customHeight="1" x14ac:dyDescent="0.2">
      <c r="A145" s="588" t="str">
        <f>IF(ISBLANK('Datos de Ensayos'!D43),"",'Datos de Ensayos'!D43)</f>
        <v/>
      </c>
      <c r="B145" s="588" t="str">
        <f>IF(ISBLANK('Datos de Ensayos'!E43),"",'Datos de Ensayos'!E43)</f>
        <v/>
      </c>
      <c r="C145" s="588" t="str">
        <f>IF(ISBLANK('Datos de Ensayos'!F43),"",'Datos de Ensayos'!F43)</f>
        <v/>
      </c>
      <c r="D145" s="588" t="str">
        <f>IF(ISBLANK('Datos de Ensayos'!G43),"",'Datos de Ensayos'!G43)</f>
        <v/>
      </c>
      <c r="E145" s="588" t="str">
        <f>IF(ISBLANK('Datos de Ensayos'!H43),"",'Datos de Ensayos'!H43)</f>
        <v/>
      </c>
      <c r="F145" s="588" t="str">
        <f>IF(ISBLANK('Datos de Ensayos'!I43),"",'Datos de Ensayos'!I43)</f>
        <v/>
      </c>
      <c r="G145" s="588" t="str">
        <f>IF(ISBLANK('Datos de Ensayos'!J43),"",'Datos de Ensayos'!J43)</f>
        <v/>
      </c>
    </row>
    <row r="146" spans="1:7" ht="15" customHeight="1" x14ac:dyDescent="0.2">
      <c r="A146" s="588"/>
      <c r="B146" s="588"/>
      <c r="C146" s="588"/>
      <c r="D146" s="588"/>
      <c r="E146" s="588"/>
      <c r="F146" s="588"/>
      <c r="G146" s="588"/>
    </row>
    <row r="147" spans="1:7" ht="15" customHeight="1" x14ac:dyDescent="0.2">
      <c r="A147" s="1064" t="s">
        <v>662</v>
      </c>
      <c r="B147" s="1063"/>
      <c r="C147" s="1063"/>
      <c r="D147" s="1063"/>
      <c r="E147" s="1063"/>
      <c r="F147" s="1063"/>
      <c r="G147" s="1063"/>
    </row>
    <row r="148" spans="1:7" ht="15" customHeight="1" thickBot="1" x14ac:dyDescent="0.25">
      <c r="A148" s="1076" t="str">
        <f>"CAMIONES (sentido de "&amp;'Datos de Ensayos'!I87&amp;" con camión "&amp;'Datos de Ensayos'!G87&amp;"):"</f>
        <v>CAMIONES (sentido de Ingreso con camión Vacío):</v>
      </c>
      <c r="B148" s="1063"/>
      <c r="C148" s="1063"/>
      <c r="D148" s="1063"/>
      <c r="E148" s="1063"/>
      <c r="F148" s="1063"/>
      <c r="G148" s="1063"/>
    </row>
    <row r="149" spans="1:7" ht="15" customHeight="1" x14ac:dyDescent="0.2">
      <c r="A149" s="588"/>
      <c r="B149" s="1081" t="s">
        <v>663</v>
      </c>
      <c r="C149" s="1080" t="s">
        <v>664</v>
      </c>
      <c r="D149" s="835"/>
      <c r="E149" s="836"/>
      <c r="F149" s="1072" t="s">
        <v>665</v>
      </c>
      <c r="G149" s="588"/>
    </row>
    <row r="150" spans="1:7" ht="15" customHeight="1" thickBot="1" x14ac:dyDescent="0.25">
      <c r="A150" s="588"/>
      <c r="B150" s="828"/>
      <c r="C150" s="1073" t="str">
        <f>IF(COUNT('Identificación del Instrumento'!B17=1),IF('Identificación del Instrumento'!$B$17="periódica","", "Valores corregidos por error de redondeo"),"")</f>
        <v>Valores corregidos por error de redondeo</v>
      </c>
      <c r="D150" s="838"/>
      <c r="E150" s="843"/>
      <c r="F150" s="850"/>
      <c r="G150" s="588"/>
    </row>
    <row r="151" spans="1:7" ht="15" customHeight="1" thickBot="1" x14ac:dyDescent="0.25">
      <c r="A151" s="588"/>
      <c r="B151" s="871"/>
      <c r="C151" s="608" t="s">
        <v>666</v>
      </c>
      <c r="D151" s="609" t="s">
        <v>667</v>
      </c>
      <c r="E151" s="597" t="s">
        <v>666</v>
      </c>
      <c r="F151" s="843"/>
      <c r="G151" s="588"/>
    </row>
    <row r="152" spans="1:7" ht="15" customHeight="1" x14ac:dyDescent="0.2">
      <c r="A152" s="588"/>
      <c r="B152" s="610">
        <v>1</v>
      </c>
      <c r="C152" s="611">
        <f>IF(ISNUMBER('Datos de Ensayos'!$G$88),'Datos de Ensayos'!G91,"")</f>
        <v>0</v>
      </c>
      <c r="D152" s="592">
        <f>IF(ISNUMBER('Datos de Ensayos'!$G$88),'Datos de Ensayos'!J91,"")</f>
        <v>12560</v>
      </c>
      <c r="E152" s="593">
        <f>IF(ISNUMBER('Datos de Ensayos'!$G$88),'Datos de Ensayos'!M91,"")</f>
        <v>0</v>
      </c>
      <c r="F152" s="593">
        <f>IF(ISNUMBER('Datos de Ensayos'!$G$88),'Datos de Ensayos'!N91,"")</f>
        <v>12560</v>
      </c>
      <c r="G152" s="588"/>
    </row>
    <row r="153" spans="1:7" ht="15" customHeight="1" x14ac:dyDescent="0.2">
      <c r="A153" s="588"/>
      <c r="B153" s="610">
        <v>2</v>
      </c>
      <c r="C153" s="611">
        <f>IF(ISNUMBER('Datos de Ensayos'!$G$88),'Datos de Ensayos'!G92,"")</f>
        <v>0</v>
      </c>
      <c r="D153" s="592">
        <f>IF(ISNUMBER('Datos de Ensayos'!$G$88),'Datos de Ensayos'!J92,"")</f>
        <v>12560</v>
      </c>
      <c r="E153" s="593">
        <f>IF(ISNUMBER('Datos de Ensayos'!$G$88),'Datos de Ensayos'!M92,"")</f>
        <v>0</v>
      </c>
      <c r="F153" s="593">
        <f>IF(ISNUMBER('Datos de Ensayos'!$G$88),'Datos de Ensayos'!N92,"")</f>
        <v>12560</v>
      </c>
      <c r="G153" s="588"/>
    </row>
    <row r="154" spans="1:7" ht="15" customHeight="1" x14ac:dyDescent="0.2">
      <c r="A154" s="588"/>
      <c r="B154" s="612">
        <v>3</v>
      </c>
      <c r="C154" s="613">
        <f>IF(ISNUMBER('Datos de Ensayos'!$G$88),'Datos de Ensayos'!G93,"")</f>
        <v>0</v>
      </c>
      <c r="D154" s="598">
        <f>IF(ISNUMBER('Datos de Ensayos'!$G$88),'Datos de Ensayos'!J93,"")</f>
        <v>12560</v>
      </c>
      <c r="E154" s="599">
        <f>IF(ISNUMBER('Datos de Ensayos'!$G$88),'Datos de Ensayos'!M93,"")</f>
        <v>0</v>
      </c>
      <c r="F154" s="599">
        <f>IF(ISNUMBER('Datos de Ensayos'!$G$88),'Datos de Ensayos'!N93,"")</f>
        <v>12560</v>
      </c>
      <c r="G154" s="588"/>
    </row>
    <row r="155" spans="1:7" ht="15" customHeight="1" x14ac:dyDescent="0.2">
      <c r="A155" s="588"/>
      <c r="B155" s="610">
        <v>4</v>
      </c>
      <c r="C155" s="611">
        <f>IF(ISNUMBER('Datos de Ensayos'!$G$88),'Datos de Ensayos'!G94,"")</f>
        <v>0</v>
      </c>
      <c r="D155" s="592">
        <f>IF(ISNUMBER('Datos de Ensayos'!$G$88),'Datos de Ensayos'!J94,"")</f>
        <v>12560</v>
      </c>
      <c r="E155" s="593">
        <f>IF(ISNUMBER('Datos de Ensayos'!$G$88),'Datos de Ensayos'!M94,"")</f>
        <v>0</v>
      </c>
      <c r="F155" s="593">
        <f>IF(ISNUMBER('Datos de Ensayos'!$G$88),'Datos de Ensayos'!N94,"")</f>
        <v>12560</v>
      </c>
      <c r="G155" s="588"/>
    </row>
    <row r="156" spans="1:7" ht="15" customHeight="1" thickBot="1" x14ac:dyDescent="0.25">
      <c r="A156" s="588"/>
      <c r="B156" s="614">
        <v>5</v>
      </c>
      <c r="C156" s="594">
        <f>IF(ISNUMBER('Datos de Ensayos'!$G$88),'Datos de Ensayos'!G95,"")</f>
        <v>0</v>
      </c>
      <c r="D156" s="595">
        <f>IF(ISNUMBER('Datos de Ensayos'!$G$88),'Datos de Ensayos'!J95,"")</f>
        <v>12560</v>
      </c>
      <c r="E156" s="615">
        <f>IF(ISNUMBER('Datos de Ensayos'!$G$88),'Datos de Ensayos'!M95,"")</f>
        <v>0</v>
      </c>
      <c r="F156" s="604">
        <f>IF(ISNUMBER('Datos de Ensayos'!$G$88),'Datos de Ensayos'!N95,"")</f>
        <v>12560</v>
      </c>
      <c r="G156" s="588"/>
    </row>
    <row r="157" spans="1:7" ht="15" customHeight="1" x14ac:dyDescent="0.2">
      <c r="A157" s="588"/>
      <c r="B157" s="1074" t="s">
        <v>668</v>
      </c>
      <c r="C157" s="835"/>
      <c r="D157" s="836"/>
      <c r="E157" s="617">
        <f>IF(COUNT(F152:F156)=0,"",'Datos de Ensayos'!G89)</f>
        <v>20</v>
      </c>
      <c r="F157" s="588"/>
      <c r="G157" s="588"/>
    </row>
    <row r="158" spans="1:7" ht="15" customHeight="1" thickBot="1" x14ac:dyDescent="0.25">
      <c r="A158" s="588"/>
      <c r="B158" s="1065" t="s">
        <v>669</v>
      </c>
      <c r="C158" s="1063"/>
      <c r="D158" s="850"/>
      <c r="E158" s="618">
        <f>IF(COUNT(F152:F156)=0,"",MAX(F152:F156)-MIN(F152:F156))</f>
        <v>0</v>
      </c>
      <c r="F158" s="588"/>
      <c r="G158" s="588"/>
    </row>
    <row r="159" spans="1:7" ht="15" customHeight="1" x14ac:dyDescent="0.2">
      <c r="A159" s="588"/>
      <c r="B159" s="691"/>
      <c r="C159" s="691"/>
      <c r="D159" s="691"/>
      <c r="E159" s="616"/>
      <c r="F159" s="588"/>
      <c r="G159" s="588"/>
    </row>
    <row r="160" spans="1:7" ht="15" customHeight="1" thickBot="1" x14ac:dyDescent="0.25">
      <c r="A160" s="1076" t="str">
        <f>"CAMIONES (sentido de "&amp;'Datos de Ensayos'!I99&amp;" con camión "&amp;'Datos de Ensayos'!G99&amp;"):"</f>
        <v>CAMIONES (sentido de Egreso con camión Vacío):</v>
      </c>
      <c r="B160" s="1063"/>
      <c r="C160" s="1063"/>
      <c r="D160" s="1063"/>
      <c r="E160" s="1063"/>
      <c r="F160" s="1063"/>
      <c r="G160" s="1063"/>
    </row>
    <row r="161" spans="1:7" ht="15" customHeight="1" x14ac:dyDescent="0.2">
      <c r="A161" s="588"/>
      <c r="B161" s="1081" t="s">
        <v>670</v>
      </c>
      <c r="C161" s="1080" t="s">
        <v>664</v>
      </c>
      <c r="D161" s="835"/>
      <c r="E161" s="836"/>
      <c r="F161" s="1072" t="s">
        <v>665</v>
      </c>
      <c r="G161" s="588"/>
    </row>
    <row r="162" spans="1:7" ht="15" customHeight="1" thickBot="1" x14ac:dyDescent="0.25">
      <c r="A162" s="588"/>
      <c r="B162" s="828"/>
      <c r="C162" s="1073" t="str">
        <f>IF('Identificación del Instrumento'!$B$17="periódica","", "Valores corregidos por error de redondeo")</f>
        <v>Valores corregidos por error de redondeo</v>
      </c>
      <c r="D162" s="838"/>
      <c r="E162" s="843"/>
      <c r="F162" s="850"/>
      <c r="G162" s="588"/>
    </row>
    <row r="163" spans="1:7" ht="15" customHeight="1" thickBot="1" x14ac:dyDescent="0.25">
      <c r="A163" s="588"/>
      <c r="B163" s="871"/>
      <c r="C163" s="608" t="s">
        <v>666</v>
      </c>
      <c r="D163" s="609" t="s">
        <v>667</v>
      </c>
      <c r="E163" s="597" t="s">
        <v>666</v>
      </c>
      <c r="F163" s="843"/>
      <c r="G163" s="588"/>
    </row>
    <row r="164" spans="1:7" ht="15" customHeight="1" x14ac:dyDescent="0.2">
      <c r="A164" s="588"/>
      <c r="B164" s="610">
        <v>1</v>
      </c>
      <c r="C164" s="611">
        <f>IF(ISNUMBER('Datos de Ensayos'!$G$100),'Datos de Ensayos'!G103,"")</f>
        <v>0</v>
      </c>
      <c r="D164" s="592">
        <f>IF(ISNUMBER('Datos de Ensayos'!$G$100),'Datos de Ensayos'!J103,"")</f>
        <v>12560</v>
      </c>
      <c r="E164" s="593">
        <f>IF(ISNUMBER('Datos de Ensayos'!$G$100),'Datos de Ensayos'!M103,"")</f>
        <v>0</v>
      </c>
      <c r="F164" s="593">
        <f>IF(ISNUMBER('Datos de Ensayos'!$G$100),'Datos de Ensayos'!N103,"")</f>
        <v>12560</v>
      </c>
      <c r="G164" s="588"/>
    </row>
    <row r="165" spans="1:7" ht="15" customHeight="1" x14ac:dyDescent="0.2">
      <c r="A165" s="588"/>
      <c r="B165" s="612">
        <v>2</v>
      </c>
      <c r="C165" s="613">
        <f>IF(ISNUMBER('Datos de Ensayos'!$G$100),'Datos de Ensayos'!G104,"")</f>
        <v>0</v>
      </c>
      <c r="D165" s="598">
        <f>IF(ISNUMBER('Datos de Ensayos'!$G$100),'Datos de Ensayos'!J104,"")</f>
        <v>12560</v>
      </c>
      <c r="E165" s="599">
        <f>IF(ISNUMBER('Datos de Ensayos'!$G$100),'Datos de Ensayos'!M104,"")</f>
        <v>0</v>
      </c>
      <c r="F165" s="599">
        <f>IF(ISNUMBER('Datos de Ensayos'!$G$100),'Datos de Ensayos'!N104,"")</f>
        <v>12560</v>
      </c>
      <c r="G165" s="588"/>
    </row>
    <row r="166" spans="1:7" ht="15" customHeight="1" x14ac:dyDescent="0.2">
      <c r="A166" s="588"/>
      <c r="B166" s="612">
        <v>3</v>
      </c>
      <c r="C166" s="613">
        <f>IF(ISNUMBER('Datos de Ensayos'!$G$100),'Datos de Ensayos'!G105,"")</f>
        <v>0</v>
      </c>
      <c r="D166" s="598">
        <f>IF(ISNUMBER('Datos de Ensayos'!$G$100),'Datos de Ensayos'!J105,"")</f>
        <v>12560</v>
      </c>
      <c r="E166" s="599">
        <f>IF(ISNUMBER('Datos de Ensayos'!$G$100),'Datos de Ensayos'!M105,"")</f>
        <v>0</v>
      </c>
      <c r="F166" s="599">
        <f>IF(ISNUMBER('Datos de Ensayos'!$G$100),'Datos de Ensayos'!N105,"")</f>
        <v>12560</v>
      </c>
      <c r="G166" s="588"/>
    </row>
    <row r="167" spans="1:7" ht="15" customHeight="1" x14ac:dyDescent="0.2">
      <c r="A167" s="588"/>
      <c r="B167" s="610">
        <v>4</v>
      </c>
      <c r="C167" s="611">
        <f>IF(ISNUMBER('Datos de Ensayos'!$G$100),'Datos de Ensayos'!G106,"")</f>
        <v>0</v>
      </c>
      <c r="D167" s="592">
        <f>IF(ISNUMBER('Datos de Ensayos'!$G$100),'Datos de Ensayos'!J106,"")</f>
        <v>12560</v>
      </c>
      <c r="E167" s="593">
        <f>IF(ISNUMBER('Datos de Ensayos'!$G$100),'Datos de Ensayos'!M106,"")</f>
        <v>0</v>
      </c>
      <c r="F167" s="593">
        <f>IF(ISNUMBER('Datos de Ensayos'!$G$100),'Datos de Ensayos'!N106,"")</f>
        <v>12560</v>
      </c>
      <c r="G167" s="588"/>
    </row>
    <row r="168" spans="1:7" ht="15" customHeight="1" thickBot="1" x14ac:dyDescent="0.25">
      <c r="A168" s="588"/>
      <c r="B168" s="614">
        <v>5</v>
      </c>
      <c r="C168" s="594">
        <f>IF(ISNUMBER('Datos de Ensayos'!$G$100),'Datos de Ensayos'!G107,"")</f>
        <v>0</v>
      </c>
      <c r="D168" s="603">
        <f>IF(ISNUMBER('Datos de Ensayos'!$G$100),'Datos de Ensayos'!J107,"")</f>
        <v>12560</v>
      </c>
      <c r="E168" s="596">
        <f>IF(ISNUMBER('Datos de Ensayos'!$G$100),'Datos de Ensayos'!M107,"")</f>
        <v>0</v>
      </c>
      <c r="F168" s="604">
        <f>IF(ISNUMBER('Datos de Ensayos'!$G$100),'Datos de Ensayos'!N107,"")</f>
        <v>12560</v>
      </c>
      <c r="G168" s="588"/>
    </row>
    <row r="169" spans="1:7" ht="15" customHeight="1" x14ac:dyDescent="0.2">
      <c r="A169" s="588"/>
      <c r="B169" s="588" t="s">
        <v>668</v>
      </c>
      <c r="C169" s="588"/>
      <c r="D169" s="616"/>
      <c r="E169" s="617">
        <f>IF(COUNT(F164:F168)=0,"",'Datos de Ensayos'!G101)</f>
        <v>20</v>
      </c>
      <c r="F169" s="588"/>
      <c r="G169" s="588"/>
    </row>
    <row r="170" spans="1:7" ht="15" customHeight="1" thickBot="1" x14ac:dyDescent="0.25">
      <c r="A170" s="588"/>
      <c r="B170" s="588" t="s">
        <v>669</v>
      </c>
      <c r="C170" s="588"/>
      <c r="D170" s="588"/>
      <c r="E170" s="618">
        <f>IF(COUNT(F164:F168)=0,"",MAX(F164:F168)-MIN(F164:F168))</f>
        <v>0</v>
      </c>
      <c r="F170" s="588"/>
      <c r="G170" s="588"/>
    </row>
    <row r="171" spans="1:7" ht="15" customHeight="1" x14ac:dyDescent="0.2">
      <c r="A171" s="588"/>
      <c r="B171" s="588"/>
      <c r="C171" s="588"/>
      <c r="D171" s="588"/>
      <c r="E171" s="588"/>
      <c r="F171" s="588"/>
      <c r="G171" s="588"/>
    </row>
    <row r="172" spans="1:7" ht="15" customHeight="1" thickBot="1" x14ac:dyDescent="0.25">
      <c r="A172" s="1064" t="str">
        <f>"CAMIONES (sentido de "&amp;'Datos de Ensayos'!I111&amp;" con camión "&amp;'Datos de Ensayos'!G111&amp;"):"</f>
        <v>CAMIONES (sentido de Ingreso con camión Cargado):</v>
      </c>
      <c r="B172" s="1063"/>
      <c r="C172" s="1063"/>
      <c r="D172" s="1063"/>
      <c r="E172" s="1063"/>
      <c r="F172" s="1063"/>
      <c r="G172" s="1063"/>
    </row>
    <row r="173" spans="1:7" ht="15" customHeight="1" x14ac:dyDescent="0.2">
      <c r="A173" s="588"/>
      <c r="B173" s="1081" t="s">
        <v>671</v>
      </c>
      <c r="C173" s="1080" t="s">
        <v>664</v>
      </c>
      <c r="D173" s="835"/>
      <c r="E173" s="836"/>
      <c r="F173" s="1072" t="s">
        <v>665</v>
      </c>
      <c r="G173" s="588"/>
    </row>
    <row r="174" spans="1:7" ht="15" customHeight="1" thickBot="1" x14ac:dyDescent="0.25">
      <c r="A174" s="588"/>
      <c r="B174" s="828"/>
      <c r="C174" s="1073" t="str">
        <f>IF('Identificación del Instrumento'!$B$17="periódica","", "Valores corregidos por error de redondeo")</f>
        <v>Valores corregidos por error de redondeo</v>
      </c>
      <c r="D174" s="838"/>
      <c r="E174" s="843"/>
      <c r="F174" s="850"/>
      <c r="G174" s="588"/>
    </row>
    <row r="175" spans="1:7" ht="15" customHeight="1" thickBot="1" x14ac:dyDescent="0.25">
      <c r="A175" s="588"/>
      <c r="B175" s="871"/>
      <c r="C175" s="608" t="s">
        <v>666</v>
      </c>
      <c r="D175" s="609" t="s">
        <v>667</v>
      </c>
      <c r="E175" s="597" t="s">
        <v>666</v>
      </c>
      <c r="F175" s="843"/>
      <c r="G175" s="588"/>
    </row>
    <row r="176" spans="1:7" ht="15" customHeight="1" x14ac:dyDescent="0.2">
      <c r="A176" s="588"/>
      <c r="B176" s="610">
        <v>1</v>
      </c>
      <c r="C176" s="611">
        <f>IF(ISNUMBER('Datos de Ensayos'!$G$112),'Datos de Ensayos'!G115,"")</f>
        <v>0</v>
      </c>
      <c r="D176" s="592">
        <f>IF(ISNUMBER('Datos de Ensayos'!$G$112),'Datos de Ensayos'!J115,"")</f>
        <v>39560</v>
      </c>
      <c r="E176" s="593">
        <f>IF(ISNUMBER('Datos de Ensayos'!$G$112),'Datos de Ensayos'!M115,"")</f>
        <v>0</v>
      </c>
      <c r="F176" s="593">
        <f>IF(ISNUMBER('Datos de Ensayos'!$G$112),'Datos de Ensayos'!N115,"")</f>
        <v>39560</v>
      </c>
      <c r="G176" s="588"/>
    </row>
    <row r="177" spans="1:7" ht="15" customHeight="1" x14ac:dyDescent="0.2">
      <c r="A177" s="588"/>
      <c r="B177" s="612">
        <v>2</v>
      </c>
      <c r="C177" s="613">
        <f>IF(ISNUMBER('Datos de Ensayos'!$G$112),'Datos de Ensayos'!G116,"")</f>
        <v>0</v>
      </c>
      <c r="D177" s="598">
        <f>IF(ISNUMBER('Datos de Ensayos'!$G$112),'Datos de Ensayos'!J116,"")</f>
        <v>39560</v>
      </c>
      <c r="E177" s="599">
        <f>IF(ISNUMBER('Datos de Ensayos'!$G$112),'Datos de Ensayos'!M116,"")</f>
        <v>0</v>
      </c>
      <c r="F177" s="599">
        <f>IF(ISNUMBER('Datos de Ensayos'!$G$112),'Datos de Ensayos'!N116,"")</f>
        <v>39560</v>
      </c>
      <c r="G177" s="588"/>
    </row>
    <row r="178" spans="1:7" ht="15" customHeight="1" x14ac:dyDescent="0.2">
      <c r="A178" s="588"/>
      <c r="B178" s="612">
        <v>3</v>
      </c>
      <c r="C178" s="613">
        <f>IF(ISNUMBER('Datos de Ensayos'!$G$112),'Datos de Ensayos'!G117,"")</f>
        <v>0</v>
      </c>
      <c r="D178" s="598">
        <f>IF(ISNUMBER('Datos de Ensayos'!$G$112),'Datos de Ensayos'!J117,"")</f>
        <v>39560</v>
      </c>
      <c r="E178" s="599">
        <f>IF(ISNUMBER('Datos de Ensayos'!$G$112),'Datos de Ensayos'!M117,"")</f>
        <v>0</v>
      </c>
      <c r="F178" s="599">
        <f>IF(ISNUMBER('Datos de Ensayos'!$G$112),'Datos de Ensayos'!N117,"")</f>
        <v>39560</v>
      </c>
      <c r="G178" s="588"/>
    </row>
    <row r="179" spans="1:7" ht="15" customHeight="1" x14ac:dyDescent="0.2">
      <c r="A179" s="588"/>
      <c r="B179" s="610">
        <v>4</v>
      </c>
      <c r="C179" s="611">
        <f>IF(ISNUMBER('Datos de Ensayos'!$G$112),'Datos de Ensayos'!G118,"")</f>
        <v>0</v>
      </c>
      <c r="D179" s="592">
        <f>IF(ISNUMBER('Datos de Ensayos'!$G$112),'Datos de Ensayos'!J118,"")</f>
        <v>39560</v>
      </c>
      <c r="E179" s="593">
        <f>IF(ISNUMBER('Datos de Ensayos'!$G$112),'Datos de Ensayos'!M118,"")</f>
        <v>0</v>
      </c>
      <c r="F179" s="593">
        <f>IF(ISNUMBER('Datos de Ensayos'!$G$112),'Datos de Ensayos'!N118,"")</f>
        <v>39560</v>
      </c>
      <c r="G179" s="588"/>
    </row>
    <row r="180" spans="1:7" ht="15" customHeight="1" thickBot="1" x14ac:dyDescent="0.25">
      <c r="A180" s="588"/>
      <c r="B180" s="614">
        <v>5</v>
      </c>
      <c r="C180" s="594">
        <f>IF(ISNUMBER('Datos de Ensayos'!$G$112),'Datos de Ensayos'!G119,"")</f>
        <v>0</v>
      </c>
      <c r="D180" s="603">
        <f>IF(ISNUMBER('Datos de Ensayos'!$G$112),'Datos de Ensayos'!J119,"")</f>
        <v>39560</v>
      </c>
      <c r="E180" s="596">
        <f>IF(ISNUMBER('Datos de Ensayos'!$G$112),'Datos de Ensayos'!M119,"")</f>
        <v>0</v>
      </c>
      <c r="F180" s="604">
        <f>IF(ISNUMBER('Datos de Ensayos'!$G$112),'Datos de Ensayos'!N119,"")</f>
        <v>39560</v>
      </c>
      <c r="G180" s="588"/>
    </row>
    <row r="181" spans="1:7" ht="15" customHeight="1" x14ac:dyDescent="0.2">
      <c r="A181" s="588"/>
      <c r="B181" s="588" t="s">
        <v>668</v>
      </c>
      <c r="C181" s="588"/>
      <c r="D181" s="616"/>
      <c r="E181" s="617">
        <f>IF(COUNT(F176:F180)=0,"",'Datos de Ensayos'!G113)</f>
        <v>40</v>
      </c>
      <c r="F181" s="588"/>
      <c r="G181" s="588"/>
    </row>
    <row r="182" spans="1:7" ht="15" customHeight="1" thickBot="1" x14ac:dyDescent="0.25">
      <c r="A182" s="588"/>
      <c r="B182" s="588" t="s">
        <v>669</v>
      </c>
      <c r="C182" s="588"/>
      <c r="D182" s="588"/>
      <c r="E182" s="618">
        <f>IF(COUNT(F176:F180)=0,"",MAX(F176:F180)-MIN(F176:F180))</f>
        <v>0</v>
      </c>
      <c r="F182" s="588"/>
      <c r="G182" s="588"/>
    </row>
    <row r="183" spans="1:7" ht="15" customHeight="1" x14ac:dyDescent="0.2">
      <c r="A183" s="588"/>
      <c r="B183" s="588"/>
      <c r="C183" s="588"/>
      <c r="D183" s="588"/>
      <c r="E183" s="588"/>
      <c r="F183" s="588"/>
      <c r="G183" s="588"/>
    </row>
    <row r="184" spans="1:7" ht="15" customHeight="1" thickBot="1" x14ac:dyDescent="0.25">
      <c r="A184" s="1064" t="str">
        <f>"CAMIONES (sentido de "&amp;'Datos de Ensayos'!I123&amp;" con camión "&amp;'Datos de Ensayos'!G123&amp;"):"</f>
        <v>CAMIONES (sentido de Egreso con camión Cargado):</v>
      </c>
      <c r="B184" s="1063"/>
      <c r="C184" s="1063"/>
      <c r="D184" s="1063"/>
      <c r="E184" s="1063"/>
      <c r="F184" s="1063"/>
      <c r="G184" s="1063"/>
    </row>
    <row r="185" spans="1:7" ht="15" customHeight="1" x14ac:dyDescent="0.2">
      <c r="A185" s="588"/>
      <c r="B185" s="1081" t="s">
        <v>672</v>
      </c>
      <c r="C185" s="1080" t="s">
        <v>664</v>
      </c>
      <c r="D185" s="835"/>
      <c r="E185" s="836"/>
      <c r="F185" s="1072" t="s">
        <v>665</v>
      </c>
      <c r="G185" s="588"/>
    </row>
    <row r="186" spans="1:7" ht="15" customHeight="1" thickBot="1" x14ac:dyDescent="0.25">
      <c r="A186" s="588"/>
      <c r="B186" s="828"/>
      <c r="C186" s="1073" t="str">
        <f>IF('Identificación del Instrumento'!$B$17="periódica","", "Valores corregidos por error de redondeo")</f>
        <v>Valores corregidos por error de redondeo</v>
      </c>
      <c r="D186" s="838"/>
      <c r="E186" s="843"/>
      <c r="F186" s="850"/>
      <c r="G186" s="588"/>
    </row>
    <row r="187" spans="1:7" ht="15" customHeight="1" thickBot="1" x14ac:dyDescent="0.25">
      <c r="A187" s="588"/>
      <c r="B187" s="871"/>
      <c r="C187" s="608" t="s">
        <v>666</v>
      </c>
      <c r="D187" s="609" t="s">
        <v>667</v>
      </c>
      <c r="E187" s="597" t="s">
        <v>666</v>
      </c>
      <c r="F187" s="843"/>
      <c r="G187" s="588"/>
    </row>
    <row r="188" spans="1:7" ht="15" customHeight="1" x14ac:dyDescent="0.2">
      <c r="A188" s="588"/>
      <c r="B188" s="610">
        <v>1</v>
      </c>
      <c r="C188" s="611">
        <f>IF(ISNUMBER('Datos de Ensayos'!$G$124),'Datos de Ensayos'!G127,"")</f>
        <v>0</v>
      </c>
      <c r="D188" s="592">
        <f>IF(ISNUMBER('Datos de Ensayos'!$G$124),'Datos de Ensayos'!J127,"")</f>
        <v>39560</v>
      </c>
      <c r="E188" s="593">
        <f>IF(ISNUMBER('Datos de Ensayos'!$G$124),'Datos de Ensayos'!M127,"")</f>
        <v>0</v>
      </c>
      <c r="F188" s="593">
        <f>IF(ISNUMBER('Datos de Ensayos'!$G$124),'Datos de Ensayos'!N127,"")</f>
        <v>39560</v>
      </c>
      <c r="G188" s="588"/>
    </row>
    <row r="189" spans="1:7" ht="15" customHeight="1" x14ac:dyDescent="0.2">
      <c r="A189" s="588"/>
      <c r="B189" s="612">
        <v>2</v>
      </c>
      <c r="C189" s="613">
        <f>IF(ISNUMBER('Datos de Ensayos'!$G$124),'Datos de Ensayos'!G128,"")</f>
        <v>0</v>
      </c>
      <c r="D189" s="598">
        <f>IF(ISNUMBER('Datos de Ensayos'!$G$124),'Datos de Ensayos'!J128,"")</f>
        <v>39560</v>
      </c>
      <c r="E189" s="599">
        <f>IF(ISNUMBER('Datos de Ensayos'!$G$124),'Datos de Ensayos'!M128,"")</f>
        <v>0</v>
      </c>
      <c r="F189" s="599">
        <f>IF(ISNUMBER('Datos de Ensayos'!$G$124),'Datos de Ensayos'!N128,"")</f>
        <v>39560</v>
      </c>
      <c r="G189" s="588"/>
    </row>
    <row r="190" spans="1:7" ht="15" customHeight="1" x14ac:dyDescent="0.2">
      <c r="A190" s="588"/>
      <c r="B190" s="612">
        <v>3</v>
      </c>
      <c r="C190" s="613">
        <f>IF(ISNUMBER('Datos de Ensayos'!$G$124),'Datos de Ensayos'!G129,"")</f>
        <v>0</v>
      </c>
      <c r="D190" s="598">
        <f>IF(ISNUMBER('Datos de Ensayos'!$G$124),'Datos de Ensayos'!J129,"")</f>
        <v>39560</v>
      </c>
      <c r="E190" s="599">
        <f>IF(ISNUMBER('Datos de Ensayos'!$G$124),'Datos de Ensayos'!M129,"")</f>
        <v>0</v>
      </c>
      <c r="F190" s="599">
        <f>IF(ISNUMBER('Datos de Ensayos'!$G$124),'Datos de Ensayos'!N129,"")</f>
        <v>39560</v>
      </c>
      <c r="G190" s="588"/>
    </row>
    <row r="191" spans="1:7" ht="15" customHeight="1" x14ac:dyDescent="0.2">
      <c r="A191" s="588"/>
      <c r="B191" s="610">
        <v>4</v>
      </c>
      <c r="C191" s="611">
        <f>IF(ISNUMBER('Datos de Ensayos'!$G$124),'Datos de Ensayos'!G130,"")</f>
        <v>0</v>
      </c>
      <c r="D191" s="592">
        <f>IF(ISNUMBER('Datos de Ensayos'!$G$124),'Datos de Ensayos'!J130,"")</f>
        <v>39560</v>
      </c>
      <c r="E191" s="593">
        <f>IF(ISNUMBER('Datos de Ensayos'!$G$124),'Datos de Ensayos'!M130,"")</f>
        <v>0</v>
      </c>
      <c r="F191" s="593">
        <f>IF(ISNUMBER('Datos de Ensayos'!$G$124),'Datos de Ensayos'!N130,"")</f>
        <v>39560</v>
      </c>
      <c r="G191" s="588"/>
    </row>
    <row r="192" spans="1:7" ht="15" customHeight="1" thickBot="1" x14ac:dyDescent="0.25">
      <c r="A192" s="588"/>
      <c r="B192" s="614">
        <v>5</v>
      </c>
      <c r="C192" s="594">
        <f>IF(ISNUMBER('Datos de Ensayos'!$G$124),'Datos de Ensayos'!G131,"")</f>
        <v>0</v>
      </c>
      <c r="D192" s="603">
        <f>IF(ISNUMBER('Datos de Ensayos'!$G$124),'Datos de Ensayos'!J131,"")</f>
        <v>39560</v>
      </c>
      <c r="E192" s="596">
        <f>IF(ISNUMBER('Datos de Ensayos'!$G$124),'Datos de Ensayos'!M131,"")</f>
        <v>0</v>
      </c>
      <c r="F192" s="604">
        <f>IF(ISNUMBER('Datos de Ensayos'!$G$124),'Datos de Ensayos'!N131,"")</f>
        <v>39560</v>
      </c>
      <c r="G192" s="588"/>
    </row>
    <row r="193" spans="1:7" ht="15" customHeight="1" x14ac:dyDescent="0.2">
      <c r="A193" s="588"/>
      <c r="B193" s="588" t="s">
        <v>668</v>
      </c>
      <c r="C193" s="588"/>
      <c r="D193" s="616"/>
      <c r="E193" s="617">
        <f>IF(COUNT(F188:F192)=0,"",'Datos de Ensayos'!G125)</f>
        <v>40</v>
      </c>
      <c r="F193" s="588"/>
      <c r="G193" s="588"/>
    </row>
    <row r="194" spans="1:7" ht="15" customHeight="1" thickBot="1" x14ac:dyDescent="0.25">
      <c r="A194" s="588"/>
      <c r="B194" s="588" t="s">
        <v>669</v>
      </c>
      <c r="C194" s="588"/>
      <c r="D194" s="588"/>
      <c r="E194" s="618">
        <f>IF(COUNT(F188:F192)=0,"",MAX(F188:F192)-MIN(F188:F192))</f>
        <v>0</v>
      </c>
      <c r="F194" s="588"/>
      <c r="G194" s="588"/>
    </row>
    <row r="195" spans="1:7" ht="15" customHeight="1" x14ac:dyDescent="0.2">
      <c r="A195" s="588"/>
      <c r="B195" s="588"/>
      <c r="C195" s="588"/>
      <c r="D195" s="588"/>
      <c r="E195" s="588"/>
      <c r="F195" s="588"/>
      <c r="G195" s="588"/>
    </row>
    <row r="196" spans="1:7" ht="15" customHeight="1" x14ac:dyDescent="0.2">
      <c r="A196" s="588"/>
      <c r="B196" s="588"/>
      <c r="C196" s="588"/>
      <c r="D196" s="588"/>
      <c r="E196" s="588"/>
      <c r="F196" s="588"/>
      <c r="G196" s="588"/>
    </row>
    <row r="197" spans="1:7" ht="15" customHeight="1" x14ac:dyDescent="0.2">
      <c r="A197" s="1083"/>
      <c r="B197" s="821"/>
      <c r="C197" s="821"/>
      <c r="D197" s="619"/>
      <c r="E197" s="671"/>
      <c r="F197" s="671"/>
      <c r="G197" s="671"/>
    </row>
    <row r="198" spans="1:7" s="620" customFormat="1" ht="15" customHeight="1" x14ac:dyDescent="0.2">
      <c r="A198" s="1088" t="str">
        <f>'Acta Verificación '!A57</f>
        <v>Sr. Nievas Aldo Dario</v>
      </c>
      <c r="B198" s="767"/>
      <c r="C198" s="767"/>
      <c r="D198" s="588"/>
      <c r="E198" s="1078" t="str">
        <f>'Acta Verificación '!F57</f>
        <v>Tco. Pablo Javier Siklosi A.</v>
      </c>
      <c r="F198" s="1079"/>
      <c r="G198" s="1079"/>
    </row>
    <row r="199" spans="1:7" s="620" customFormat="1" ht="15" customHeight="1" x14ac:dyDescent="0.2">
      <c r="A199" s="1087" t="str">
        <f>+'Identificación del Instrumento'!C14</f>
        <v>Marolio S.A.</v>
      </c>
      <c r="B199" s="1079"/>
      <c r="C199" s="1079"/>
      <c r="D199" s="588"/>
      <c r="E199" s="1078" t="str">
        <f>+'Identificación del Instrumento'!E61</f>
        <v>Programa de Metrología Legal - INTI</v>
      </c>
      <c r="F199" s="1079"/>
      <c r="G199" s="1079"/>
    </row>
    <row r="200" spans="1:7" s="620" customFormat="1" ht="15" customHeight="1" x14ac:dyDescent="0.2">
      <c r="A200" s="1078"/>
      <c r="B200" s="1079"/>
      <c r="C200" s="1079"/>
      <c r="D200" s="588"/>
      <c r="E200" s="1090"/>
      <c r="F200" s="1079"/>
      <c r="G200" s="1079"/>
    </row>
  </sheetData>
  <mergeCells count="84">
    <mergeCell ref="N134:P134"/>
    <mergeCell ref="E5:G5"/>
    <mergeCell ref="E200:G200"/>
    <mergeCell ref="A2:G2"/>
    <mergeCell ref="E4:G4"/>
    <mergeCell ref="C162:E162"/>
    <mergeCell ref="A160:G160"/>
    <mergeCell ref="N130:P130"/>
    <mergeCell ref="F149:F151"/>
    <mergeCell ref="B83:E83"/>
    <mergeCell ref="A4:D4"/>
    <mergeCell ref="B92:E92"/>
    <mergeCell ref="A122:G122"/>
    <mergeCell ref="B140:F140"/>
    <mergeCell ref="B12:F12"/>
    <mergeCell ref="E10:F10"/>
    <mergeCell ref="A199:C199"/>
    <mergeCell ref="E199:G199"/>
    <mergeCell ref="C186:E186"/>
    <mergeCell ref="E198:G198"/>
    <mergeCell ref="A198:C198"/>
    <mergeCell ref="B185:B187"/>
    <mergeCell ref="A6:G6"/>
    <mergeCell ref="A172:G172"/>
    <mergeCell ref="A16:G16"/>
    <mergeCell ref="F173:F175"/>
    <mergeCell ref="C185:E185"/>
    <mergeCell ref="B141:B142"/>
    <mergeCell ref="A15:G15"/>
    <mergeCell ref="C174:E174"/>
    <mergeCell ref="C149:E149"/>
    <mergeCell ref="E11:F11"/>
    <mergeCell ref="B161:B163"/>
    <mergeCell ref="A7:G7"/>
    <mergeCell ref="A8:G8"/>
    <mergeCell ref="A184:G184"/>
    <mergeCell ref="B64:E64"/>
    <mergeCell ref="B173:B175"/>
    <mergeCell ref="A5:C5"/>
    <mergeCell ref="F141:F142"/>
    <mergeCell ref="A148:G148"/>
    <mergeCell ref="A200:C200"/>
    <mergeCell ref="K111:O111"/>
    <mergeCell ref="C161:E161"/>
    <mergeCell ref="B149:B151"/>
    <mergeCell ref="F185:F187"/>
    <mergeCell ref="A120:G120"/>
    <mergeCell ref="A197:C197"/>
    <mergeCell ref="A104:G104"/>
    <mergeCell ref="N125:P125"/>
    <mergeCell ref="B84:E84"/>
    <mergeCell ref="A14:G14"/>
    <mergeCell ref="C173:E173"/>
    <mergeCell ref="N136:P136"/>
    <mergeCell ref="B10:D10"/>
    <mergeCell ref="A102:G102"/>
    <mergeCell ref="F161:F163"/>
    <mergeCell ref="A147:G147"/>
    <mergeCell ref="B136:F136"/>
    <mergeCell ref="C150:E150"/>
    <mergeCell ref="B11:D11"/>
    <mergeCell ref="B65:E65"/>
    <mergeCell ref="B74:E74"/>
    <mergeCell ref="A109:G109"/>
    <mergeCell ref="B157:D157"/>
    <mergeCell ref="B75:E75"/>
    <mergeCell ref="A114:G114"/>
    <mergeCell ref="C141:E142"/>
    <mergeCell ref="N132:P132"/>
    <mergeCell ref="A9:G9"/>
    <mergeCell ref="B158:D158"/>
    <mergeCell ref="A103:G103"/>
    <mergeCell ref="B93:E93"/>
    <mergeCell ref="N133:P133"/>
    <mergeCell ref="N126:P126"/>
    <mergeCell ref="N135:P135"/>
    <mergeCell ref="B143:F143"/>
    <mergeCell ref="K110:O110"/>
    <mergeCell ref="N127:P127"/>
    <mergeCell ref="N128:P128"/>
    <mergeCell ref="N129:P129"/>
    <mergeCell ref="K103:O103"/>
    <mergeCell ref="N131:P131"/>
    <mergeCell ref="N124:O124"/>
  </mergeCells>
  <conditionalFormatting sqref="A144">
    <cfRule type="expression" dxfId="14" priority="5" stopIfTrue="1">
      <formula>$A$144&lt;&gt;""</formula>
    </cfRule>
  </conditionalFormatting>
  <conditionalFormatting sqref="A145">
    <cfRule type="expression" dxfId="13" priority="7" stopIfTrue="1">
      <formula>$A$145&lt;&gt;""</formula>
    </cfRule>
  </conditionalFormatting>
  <conditionalFormatting sqref="A137:G137 A138:A139 G138:G139">
    <cfRule type="expression" dxfId="12" priority="14" stopIfTrue="1">
      <formula>A137&lt;&gt;""</formula>
    </cfRule>
  </conditionalFormatting>
  <conditionalFormatting sqref="B144">
    <cfRule type="expression" dxfId="11" priority="1" stopIfTrue="1">
      <formula>$B$144&lt;&gt;""</formula>
    </cfRule>
  </conditionalFormatting>
  <conditionalFormatting sqref="B145">
    <cfRule type="expression" dxfId="10" priority="8" stopIfTrue="1">
      <formula>$B$145&lt;&gt;""</formula>
    </cfRule>
  </conditionalFormatting>
  <conditionalFormatting sqref="B138:F139">
    <cfRule type="expression" dxfId="9" priority="15" stopIfTrue="1">
      <formula>B138&lt;&gt;""</formula>
    </cfRule>
  </conditionalFormatting>
  <conditionalFormatting sqref="C144">
    <cfRule type="expression" dxfId="8" priority="2" stopIfTrue="1">
      <formula>$C$144&lt;&gt;""</formula>
    </cfRule>
  </conditionalFormatting>
  <conditionalFormatting sqref="C145">
    <cfRule type="expression" dxfId="7" priority="9" stopIfTrue="1">
      <formula>$C$145&lt;&gt;""</formula>
    </cfRule>
  </conditionalFormatting>
  <conditionalFormatting sqref="D144">
    <cfRule type="expression" dxfId="6" priority="3" stopIfTrue="1">
      <formula>$D$144&lt;&gt;""</formula>
    </cfRule>
  </conditionalFormatting>
  <conditionalFormatting sqref="D145">
    <cfRule type="expression" dxfId="5" priority="10" stopIfTrue="1">
      <formula>$D$145&lt;&gt;""</formula>
    </cfRule>
  </conditionalFormatting>
  <conditionalFormatting sqref="E145">
    <cfRule type="expression" dxfId="4" priority="11" stopIfTrue="1">
      <formula>$E$145&lt;&gt;""</formula>
    </cfRule>
  </conditionalFormatting>
  <conditionalFormatting sqref="E144:F144">
    <cfRule type="expression" dxfId="3" priority="4" stopIfTrue="1">
      <formula>$E$144&lt;&gt;""</formula>
    </cfRule>
  </conditionalFormatting>
  <conditionalFormatting sqref="F145">
    <cfRule type="expression" dxfId="2" priority="12" stopIfTrue="1">
      <formula>$F$145&lt;&gt;""</formula>
    </cfRule>
  </conditionalFormatting>
  <conditionalFormatting sqref="G144">
    <cfRule type="expression" dxfId="1" priority="6" stopIfTrue="1">
      <formula>$G$144&lt;&gt;""</formula>
    </cfRule>
  </conditionalFormatting>
  <conditionalFormatting sqref="G145">
    <cfRule type="expression" dxfId="0" priority="13" stopIfTrue="1">
      <formula>$G$145&lt;&gt;""</formula>
    </cfRule>
  </conditionalFormatting>
  <pageMargins left="0.98425196850393704" right="0.39370078740157483" top="0.43307086614173229" bottom="0.39370078740157483" header="0" footer="0.19685039370078741"/>
  <pageSetup paperSize="9" scale="86" orientation="portrait" horizontalDpi="300" verticalDpi="300" r:id="rId1"/>
  <headerFooter alignWithMargins="0">
    <oddFooter>&amp;R&amp;"Arial,Negrita"&amp;9 Página &amp;P de &amp;N</oddFooter>
  </headerFooter>
  <rowBreaks count="1" manualBreakCount="1">
    <brk id="119" max="6" man="1"/>
  </rowBreak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11</vt:i4>
      </vt:variant>
      <vt:variant>
        <vt:lpstr>Rangos con nombre</vt:lpstr>
      </vt:variant>
      <vt:variant>
        <vt:i4>10</vt:i4>
      </vt:variant>
    </vt:vector>
  </HeadingPairs>
  <TitlesOfParts>
    <vt:vector size="21" baseType="lpstr">
      <vt:lpstr>datos vpe</vt:lpstr>
      <vt:lpstr>Identificación del Instrumento</vt:lpstr>
      <vt:lpstr>Datos de Ensayos</vt:lpstr>
      <vt:lpstr>Acta Verificación </vt:lpstr>
      <vt:lpstr>Acta Precintos</vt:lpstr>
      <vt:lpstr>Informe</vt:lpstr>
      <vt:lpstr>Reporte</vt:lpstr>
      <vt:lpstr>certificado OC</vt:lpstr>
      <vt:lpstr>Acta Suspensión</vt:lpstr>
      <vt:lpstr>Informe Suspensión</vt:lpstr>
      <vt:lpstr>Ensayos Efectuados</vt:lpstr>
      <vt:lpstr>'Acta Precintos'!Área_de_impresión</vt:lpstr>
      <vt:lpstr>'Acta Suspensión'!Área_de_impresión</vt:lpstr>
      <vt:lpstr>'Acta Verificación '!Área_de_impresión</vt:lpstr>
      <vt:lpstr>'certificado OC'!Área_de_impresión</vt:lpstr>
      <vt:lpstr>'Datos de Ensayos'!Área_de_impresión</vt:lpstr>
      <vt:lpstr>'Ensayos Efectuados'!Área_de_impresión</vt:lpstr>
      <vt:lpstr>'Identificación del Instrumento'!Área_de_impresión</vt:lpstr>
      <vt:lpstr>Informe!Área_de_impresión</vt:lpstr>
      <vt:lpstr>'Informe Suspensión'!Área_de_impresión</vt:lpstr>
      <vt:lpstr>'Ensayos Efectuados'!Títulos_a_imprimir</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Fernando Kornblit</dc:creator>
  <cp:lastModifiedBy>Pablo Javier Siklosi Avila</cp:lastModifiedBy>
  <cp:lastPrinted>2025-12-04T15:19:54Z</cp:lastPrinted>
  <dcterms:created xsi:type="dcterms:W3CDTF">2002-11-22T14:21:35Z</dcterms:created>
  <dcterms:modified xsi:type="dcterms:W3CDTF">2025-12-19T02:52:04Z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0x010100271919A22B30B241870AA6C9D9773171</vt:lpwstr>
  </property>
</Properties>
</file>