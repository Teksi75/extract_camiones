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256" documentId="11_A652BFD88C009AA27A2DEFB33DEEFBFD99302097" xr6:coauthVersionLast="47" xr6:coauthVersionMax="47" xr10:uidLastSave="{9DA8C590-D853-4C89-A9EB-12C2B4D0B890}"/>
  <bookViews>
    <workbookView xWindow="31830" yWindow="2400" windowWidth="21600" windowHeight="11295" tabRatio="718" activeTab="5"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Informe!$A$1:$H$35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1" i="3" l="1"/>
  <c r="D152" i="3"/>
  <c r="D153" i="3"/>
  <c r="F32" i="2"/>
  <c r="B32" i="2"/>
  <c r="F31" i="2"/>
  <c r="B31" i="2"/>
  <c r="F28" i="2"/>
  <c r="B28" i="2"/>
  <c r="F27" i="2"/>
  <c r="B27" i="2"/>
  <c r="F26" i="2"/>
  <c r="B26" i="2"/>
  <c r="F25" i="2"/>
  <c r="B25" i="2"/>
  <c r="E12" i="3"/>
  <c r="F24" i="2"/>
  <c r="B24" i="2"/>
  <c r="D23" i="2"/>
  <c r="B23" i="2"/>
  <c r="B20" i="2"/>
  <c r="B19" i="2"/>
  <c r="B15" i="2"/>
  <c r="C14" i="2"/>
  <c r="A199" i="11"/>
  <c r="B5" i="2"/>
  <c r="D4" i="2"/>
  <c r="B4" i="2"/>
  <c r="A7" i="10"/>
  <c r="A11" i="6"/>
  <c r="H105" i="3"/>
  <c r="H104" i="3"/>
  <c r="H106" i="3"/>
  <c r="H107" i="3"/>
  <c r="A12" i="6"/>
  <c r="A31" i="8"/>
  <c r="G15" i="5"/>
  <c r="D15" i="5"/>
  <c r="A60" i="9"/>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c r="D108" i="11"/>
  <c r="C108" i="11"/>
  <c r="F107" i="11"/>
  <c r="E107" i="11"/>
  <c r="G107" i="11"/>
  <c r="D107" i="11"/>
  <c r="C107" i="11"/>
  <c r="F106" i="11"/>
  <c r="E106" i="11"/>
  <c r="G106" i="1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K32"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B34" i="6"/>
  <c r="B33" i="10"/>
  <c r="A30" i="6"/>
  <c r="D29" i="6"/>
  <c r="A29" i="6"/>
  <c r="A28" i="6"/>
  <c r="G26" i="6"/>
  <c r="F26" i="6"/>
  <c r="D26" i="6"/>
  <c r="G25" i="6"/>
  <c r="F25" i="6"/>
  <c r="D25" i="6"/>
  <c r="A24" i="6"/>
  <c r="I22" i="6"/>
  <c r="G22" i="6"/>
  <c r="N39" i="4"/>
  <c r="A22" i="6"/>
  <c r="B22" i="6"/>
  <c r="G21" i="6"/>
  <c r="N42" i="4"/>
  <c r="N41" i="4"/>
  <c r="D20" i="6"/>
  <c r="A14" i="6"/>
  <c r="A13" i="10"/>
  <c r="A13" i="6"/>
  <c r="A32" i="8"/>
  <c r="A10" i="6"/>
  <c r="H2" i="7"/>
  <c r="A7" i="6"/>
  <c r="A10" i="10"/>
  <c r="A4" i="6"/>
  <c r="C1" i="6"/>
  <c r="F70" i="5"/>
  <c r="A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C19" i="5"/>
  <c r="G18" i="5"/>
  <c r="D18" i="5"/>
  <c r="G17" i="5"/>
  <c r="D17" i="5"/>
  <c r="G16" i="5"/>
  <c r="B14" i="5"/>
  <c r="A59" i="4"/>
  <c r="N43" i="4"/>
  <c r="N40" i="4"/>
  <c r="N38" i="4"/>
  <c r="N44" i="4"/>
  <c r="K33" i="4"/>
  <c r="K32" i="4"/>
  <c r="K31" i="4"/>
  <c r="P30" i="4"/>
  <c r="N30" i="4"/>
  <c r="L30" i="4"/>
  <c r="J6" i="4"/>
  <c r="K30" i="4"/>
  <c r="L29" i="4"/>
  <c r="K29" i="4"/>
  <c r="J28" i="4"/>
  <c r="J27" i="9"/>
  <c r="J27" i="4"/>
  <c r="J26" i="9"/>
  <c r="J26" i="4"/>
  <c r="J25" i="9"/>
  <c r="J25" i="4"/>
  <c r="J24" i="4"/>
  <c r="K34" i="4"/>
  <c r="J23" i="4"/>
  <c r="J2"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c r="I248" i="3"/>
  <c r="E97" i="1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c r="I245" i="3"/>
  <c r="E94" i="11"/>
  <c r="D245" i="3"/>
  <c r="K244" i="3"/>
  <c r="G244" i="3"/>
  <c r="E244" i="3"/>
  <c r="D244" i="3"/>
  <c r="O234" i="3"/>
  <c r="N234" i="3"/>
  <c r="K234" i="3"/>
  <c r="J234" i="3"/>
  <c r="G234" i="3"/>
  <c r="F234" i="3"/>
  <c r="O233" i="3"/>
  <c r="N233" i="3"/>
  <c r="K233" i="3"/>
  <c r="J233" i="3"/>
  <c r="F233" i="3"/>
  <c r="G233" i="3"/>
  <c r="O232" i="3"/>
  <c r="N232" i="3"/>
  <c r="K232" i="3"/>
  <c r="J232" i="3"/>
  <c r="G232" i="3"/>
  <c r="F232" i="3"/>
  <c r="O231" i="3"/>
  <c r="N231" i="3"/>
  <c r="K231" i="3"/>
  <c r="J231" i="3"/>
  <c r="F231" i="3"/>
  <c r="G231" i="3"/>
  <c r="O230" i="3"/>
  <c r="N230" i="3"/>
  <c r="K230" i="3"/>
  <c r="J230" i="3"/>
  <c r="G230" i="3"/>
  <c r="F230" i="3"/>
  <c r="O229" i="3"/>
  <c r="N229" i="3"/>
  <c r="K229" i="3"/>
  <c r="J229" i="3"/>
  <c r="F229" i="3"/>
  <c r="G229" i="3"/>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U185" i="3"/>
  <c r="T185" i="3"/>
  <c r="R185" i="3"/>
  <c r="Q185" i="3"/>
  <c r="P185" i="3"/>
  <c r="H185" i="3"/>
  <c r="F185" i="3"/>
  <c r="L185" i="3"/>
  <c r="E60" i="11"/>
  <c r="U184" i="3"/>
  <c r="T184" i="3"/>
  <c r="M248" i="3"/>
  <c r="M244" i="3"/>
  <c r="R184" i="3"/>
  <c r="Q184" i="3"/>
  <c r="P184" i="3"/>
  <c r="H184" i="3"/>
  <c r="U183" i="3"/>
  <c r="T183" i="3"/>
  <c r="R183" i="3"/>
  <c r="Q183" i="3"/>
  <c r="P183" i="3"/>
  <c r="H183" i="3"/>
  <c r="F183" i="3"/>
  <c r="U182" i="3"/>
  <c r="T182" i="3"/>
  <c r="R182" i="3"/>
  <c r="Q182" i="3"/>
  <c r="P182" i="3"/>
  <c r="H182" i="3"/>
  <c r="M182" i="3"/>
  <c r="F182" i="3"/>
  <c r="U181" i="3"/>
  <c r="T181" i="3"/>
  <c r="R181" i="3"/>
  <c r="Q181" i="3"/>
  <c r="P181" i="3"/>
  <c r="I181" i="3"/>
  <c r="H181" i="3"/>
  <c r="F181" i="3"/>
  <c r="U180" i="3"/>
  <c r="T180" i="3"/>
  <c r="R180" i="3"/>
  <c r="Q180" i="3"/>
  <c r="P180" i="3"/>
  <c r="H180" i="3"/>
  <c r="M180" i="3"/>
  <c r="F180" i="3"/>
  <c r="U179" i="3"/>
  <c r="T179" i="3"/>
  <c r="R179" i="3"/>
  <c r="Q179" i="3"/>
  <c r="P179" i="3"/>
  <c r="H179" i="3"/>
  <c r="M179" i="3"/>
  <c r="F179" i="3"/>
  <c r="L179" i="3"/>
  <c r="E54" i="11"/>
  <c r="U178" i="3"/>
  <c r="T178" i="3"/>
  <c r="R178" i="3"/>
  <c r="Q178" i="3"/>
  <c r="P178" i="3"/>
  <c r="H178" i="3"/>
  <c r="F178" i="3"/>
  <c r="U177" i="3"/>
  <c r="T177" i="3"/>
  <c r="R177" i="3"/>
  <c r="Q177" i="3"/>
  <c r="P177" i="3"/>
  <c r="H177" i="3"/>
  <c r="M177" i="3"/>
  <c r="F177" i="3"/>
  <c r="U176" i="3"/>
  <c r="T176" i="3"/>
  <c r="R176" i="3"/>
  <c r="Q176" i="3"/>
  <c r="P176" i="3"/>
  <c r="H176" i="3"/>
  <c r="F176" i="3"/>
  <c r="U175" i="3"/>
  <c r="T175" i="3"/>
  <c r="R175" i="3"/>
  <c r="Q175" i="3"/>
  <c r="P175" i="3"/>
  <c r="H175" i="3"/>
  <c r="F175" i="3"/>
  <c r="L175" i="3"/>
  <c r="E50" i="11"/>
  <c r="U174" i="3"/>
  <c r="T174" i="3"/>
  <c r="R174" i="3"/>
  <c r="Q174" i="3"/>
  <c r="P174" i="3"/>
  <c r="H174" i="3"/>
  <c r="M174" i="3"/>
  <c r="F174" i="3"/>
  <c r="U173" i="3"/>
  <c r="T173" i="3"/>
  <c r="R173" i="3"/>
  <c r="Q173" i="3"/>
  <c r="P173" i="3"/>
  <c r="I173" i="3"/>
  <c r="H173" i="3"/>
  <c r="F173" i="3"/>
  <c r="U172" i="3"/>
  <c r="T172" i="3"/>
  <c r="R172" i="3"/>
  <c r="Q172" i="3"/>
  <c r="P172" i="3"/>
  <c r="H172" i="3"/>
  <c r="F172" i="3"/>
  <c r="U171" i="3"/>
  <c r="T171" i="3"/>
  <c r="R171" i="3"/>
  <c r="Q171" i="3"/>
  <c r="P171" i="3"/>
  <c r="H171" i="3"/>
  <c r="M171" i="3"/>
  <c r="F171" i="3"/>
  <c r="L171" i="3"/>
  <c r="E46" i="11"/>
  <c r="U170" i="3"/>
  <c r="T170" i="3"/>
  <c r="R170" i="3"/>
  <c r="Q170" i="3"/>
  <c r="P170" i="3"/>
  <c r="H170" i="3"/>
  <c r="F170" i="3"/>
  <c r="U169" i="3"/>
  <c r="T169" i="3"/>
  <c r="R169" i="3"/>
  <c r="Q169" i="3"/>
  <c r="P169" i="3"/>
  <c r="H169" i="3"/>
  <c r="F169" i="3"/>
  <c r="U168" i="3"/>
  <c r="T168" i="3"/>
  <c r="R168" i="3"/>
  <c r="Q168" i="3"/>
  <c r="P168" i="3"/>
  <c r="H168" i="3"/>
  <c r="F168" i="3"/>
  <c r="L168" i="3"/>
  <c r="E43" i="11"/>
  <c r="U167" i="3"/>
  <c r="T167" i="3"/>
  <c r="R167" i="3"/>
  <c r="Q167" i="3"/>
  <c r="P167" i="3"/>
  <c r="H167" i="3"/>
  <c r="F167" i="3"/>
  <c r="U166" i="3"/>
  <c r="T166" i="3"/>
  <c r="R166" i="3"/>
  <c r="Q166" i="3"/>
  <c r="P166" i="3"/>
  <c r="H166" i="3"/>
  <c r="M166" i="3"/>
  <c r="F166" i="3"/>
  <c r="L166" i="3"/>
  <c r="E41" i="11"/>
  <c r="U165" i="3"/>
  <c r="T165" i="3"/>
  <c r="R165" i="3"/>
  <c r="Q165" i="3"/>
  <c r="P165" i="3"/>
  <c r="J165" i="3"/>
  <c r="H165" i="3"/>
  <c r="F165" i="3"/>
  <c r="U164" i="3"/>
  <c r="T164" i="3"/>
  <c r="R164" i="3"/>
  <c r="Q164" i="3"/>
  <c r="P164" i="3"/>
  <c r="H164" i="3"/>
  <c r="F164" i="3"/>
  <c r="L164" i="3"/>
  <c r="E39" i="11"/>
  <c r="U163" i="3"/>
  <c r="T163" i="3"/>
  <c r="R163" i="3"/>
  <c r="Q163" i="3"/>
  <c r="P163" i="3"/>
  <c r="H163" i="3"/>
  <c r="M163" i="3"/>
  <c r="F163" i="3"/>
  <c r="L163" i="3"/>
  <c r="E38" i="11"/>
  <c r="U162" i="3"/>
  <c r="T162" i="3"/>
  <c r="R162" i="3"/>
  <c r="Q162" i="3"/>
  <c r="P162" i="3"/>
  <c r="H162" i="3"/>
  <c r="F162" i="3"/>
  <c r="U161" i="3"/>
  <c r="T161" i="3"/>
  <c r="R161" i="3"/>
  <c r="Q161" i="3"/>
  <c r="P161" i="3"/>
  <c r="H161" i="3"/>
  <c r="F161" i="3"/>
  <c r="L161" i="3"/>
  <c r="E36" i="11"/>
  <c r="U160" i="3"/>
  <c r="T160" i="3"/>
  <c r="R160" i="3"/>
  <c r="Q160" i="3"/>
  <c r="P160" i="3"/>
  <c r="H160" i="3"/>
  <c r="F160" i="3"/>
  <c r="H159" i="3"/>
  <c r="M159" i="3"/>
  <c r="F159" i="3"/>
  <c r="L159" i="3"/>
  <c r="E34" i="11"/>
  <c r="H158" i="3"/>
  <c r="F158" i="3"/>
  <c r="L158" i="3"/>
  <c r="E33" i="11"/>
  <c r="J157" i="3"/>
  <c r="H157" i="3"/>
  <c r="F157" i="3"/>
  <c r="L157" i="3"/>
  <c r="E32" i="11"/>
  <c r="R153" i="3"/>
  <c r="R152" i="3"/>
  <c r="R151" i="3"/>
  <c r="R150" i="3"/>
  <c r="R149" i="3"/>
  <c r="R148" i="3"/>
  <c r="R147" i="3"/>
  <c r="R146" i="3"/>
  <c r="C21" i="11"/>
  <c r="R145" i="3"/>
  <c r="R144" i="3"/>
  <c r="R143" i="3"/>
  <c r="K143" i="3"/>
  <c r="H141" i="3"/>
  <c r="F141" i="3"/>
  <c r="H139" i="3"/>
  <c r="H137" i="3"/>
  <c r="G124" i="3"/>
  <c r="H103" i="3"/>
  <c r="G100" i="3"/>
  <c r="L83" i="3"/>
  <c r="K81" i="3"/>
  <c r="I81" i="3"/>
  <c r="H81" i="3"/>
  <c r="M81" i="3"/>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I14" i="3"/>
  <c r="E14" i="3"/>
  <c r="I10" i="6"/>
  <c r="I13" i="3"/>
  <c r="E13" i="3"/>
  <c r="I12" i="3"/>
  <c r="I11" i="3"/>
  <c r="I9" i="3"/>
  <c r="E9" i="3"/>
  <c r="E8" i="3"/>
  <c r="I15" i="6"/>
  <c r="A61" i="2"/>
  <c r="E60" i="2"/>
  <c r="A60" i="2"/>
  <c r="K56" i="2"/>
  <c r="K55" i="2"/>
  <c r="B34" i="2"/>
  <c r="B2" i="7"/>
  <c r="I30" i="2"/>
  <c r="D30" i="2"/>
  <c r="E18" i="3"/>
  <c r="C30" i="2"/>
  <c r="J22" i="2"/>
  <c r="F20" i="2"/>
  <c r="J22" i="9"/>
  <c r="N4" i="9"/>
  <c r="E20" i="2"/>
  <c r="E10" i="3"/>
  <c r="A20" i="2"/>
  <c r="I19" i="2"/>
  <c r="E16" i="2"/>
  <c r="A16" i="2"/>
  <c r="A5" i="2"/>
  <c r="J3" i="2"/>
  <c r="D30" i="6"/>
  <c r="H2" i="8"/>
  <c r="J2" i="2"/>
  <c r="K6" i="3"/>
  <c r="G113" i="11"/>
  <c r="G112" i="11"/>
  <c r="M232" i="3"/>
  <c r="J29" i="4"/>
  <c r="A44" i="4"/>
  <c r="A58" i="4"/>
  <c r="B33" i="6"/>
  <c r="A8" i="6"/>
  <c r="E2" i="7"/>
  <c r="F29" i="2"/>
  <c r="C23" i="8"/>
  <c r="E7" i="3"/>
  <c r="E11" i="3"/>
  <c r="A9" i="6"/>
  <c r="F2" i="7"/>
  <c r="E50" i="3"/>
  <c r="E136" i="3"/>
  <c r="E48" i="3"/>
  <c r="E47" i="3"/>
  <c r="C66" i="11"/>
  <c r="D198" i="3"/>
  <c r="F197" i="3"/>
  <c r="G78" i="3"/>
  <c r="E49" i="3"/>
  <c r="V173" i="3"/>
  <c r="V181" i="3"/>
  <c r="K181" i="3"/>
  <c r="A19" i="6"/>
  <c r="C18" i="10"/>
  <c r="C17" i="6"/>
  <c r="I14" i="6"/>
  <c r="H215" i="3"/>
  <c r="H213" i="3"/>
  <c r="I185" i="3"/>
  <c r="J184" i="3"/>
  <c r="J183" i="3"/>
  <c r="I180" i="3"/>
  <c r="J179" i="3"/>
  <c r="I176" i="3"/>
  <c r="J175" i="3"/>
  <c r="I172" i="3"/>
  <c r="J171" i="3"/>
  <c r="I168" i="3"/>
  <c r="J167" i="3"/>
  <c r="H214" i="3"/>
  <c r="I186" i="3"/>
  <c r="J182" i="3"/>
  <c r="J181" i="3"/>
  <c r="J180" i="3"/>
  <c r="I179" i="3"/>
  <c r="J174" i="3"/>
  <c r="J173" i="3"/>
  <c r="K173" i="3"/>
  <c r="J172" i="3"/>
  <c r="I171" i="3"/>
  <c r="M169" i="3"/>
  <c r="J166" i="3"/>
  <c r="I163" i="3"/>
  <c r="J162" i="3"/>
  <c r="J158" i="3"/>
  <c r="I157" i="3"/>
  <c r="K157" i="3"/>
  <c r="I145" i="3"/>
  <c r="K145" i="3"/>
  <c r="J144" i="3"/>
  <c r="J143" i="3"/>
  <c r="H234" i="3"/>
  <c r="H230" i="3"/>
  <c r="H217" i="3"/>
  <c r="I217" i="3"/>
  <c r="E80" i="11"/>
  <c r="H216" i="3"/>
  <c r="I216" i="3"/>
  <c r="E79" i="11"/>
  <c r="H202" i="3"/>
  <c r="M186" i="3"/>
  <c r="L184" i="3"/>
  <c r="E59" i="11"/>
  <c r="I182" i="3"/>
  <c r="I183" i="3"/>
  <c r="M181" i="3"/>
  <c r="J178" i="3"/>
  <c r="J177" i="3"/>
  <c r="J176" i="3"/>
  <c r="I175" i="3"/>
  <c r="M173" i="3"/>
  <c r="J170" i="3"/>
  <c r="J169" i="3"/>
  <c r="J168" i="3"/>
  <c r="I167" i="3"/>
  <c r="I165" i="3"/>
  <c r="J164" i="3"/>
  <c r="I161" i="3"/>
  <c r="J160" i="3"/>
  <c r="I159" i="3"/>
  <c r="J156" i="3"/>
  <c r="M164" i="3"/>
  <c r="M162" i="3"/>
  <c r="M160" i="3"/>
  <c r="I156" i="3"/>
  <c r="I144" i="3"/>
  <c r="I178" i="3"/>
  <c r="I170" i="3"/>
  <c r="I166" i="3"/>
  <c r="I164" i="3"/>
  <c r="L178" i="3"/>
  <c r="E53" i="11"/>
  <c r="L174" i="3"/>
  <c r="E49" i="11"/>
  <c r="L170" i="3"/>
  <c r="E45" i="11"/>
  <c r="M158" i="3"/>
  <c r="I143" i="3"/>
  <c r="J186" i="3"/>
  <c r="L182" i="3"/>
  <c r="E57" i="11"/>
  <c r="I174" i="3"/>
  <c r="L165" i="3"/>
  <c r="E40" i="11"/>
  <c r="I162" i="3"/>
  <c r="I160" i="3"/>
  <c r="J159" i="3"/>
  <c r="J145" i="3"/>
  <c r="C126" i="11"/>
  <c r="C130" i="11"/>
  <c r="J80" i="3"/>
  <c r="E134" i="11"/>
  <c r="J163" i="3"/>
  <c r="L167" i="3"/>
  <c r="E42" i="11"/>
  <c r="M170" i="3"/>
  <c r="M178" i="3"/>
  <c r="I184" i="3"/>
  <c r="J185" i="3"/>
  <c r="A59" i="9"/>
  <c r="N8" i="9"/>
  <c r="N7" i="9"/>
  <c r="K29" i="9"/>
  <c r="J28" i="9"/>
  <c r="A44" i="9"/>
  <c r="A4" i="11"/>
  <c r="E137" i="3"/>
  <c r="J4" i="4"/>
  <c r="C125" i="11"/>
  <c r="C129" i="11"/>
  <c r="C133" i="11"/>
  <c r="G79" i="3"/>
  <c r="G80" i="3"/>
  <c r="J146" i="3"/>
  <c r="I158" i="3"/>
  <c r="K158" i="3"/>
  <c r="J161" i="3"/>
  <c r="M167" i="3"/>
  <c r="I169" i="3"/>
  <c r="M175" i="3"/>
  <c r="I177" i="3"/>
  <c r="M183" i="3"/>
  <c r="H231" i="3"/>
  <c r="H247" i="3"/>
  <c r="I247" i="3"/>
  <c r="E96" i="11"/>
  <c r="G18" i="3"/>
  <c r="G61" i="3"/>
  <c r="E111" i="11"/>
  <c r="L169" i="3"/>
  <c r="E44" i="11"/>
  <c r="L172" i="3"/>
  <c r="E47" i="11"/>
  <c r="L173" i="3"/>
  <c r="E48" i="11"/>
  <c r="L176" i="3"/>
  <c r="E51" i="11"/>
  <c r="L177" i="3"/>
  <c r="E52" i="11"/>
  <c r="L180" i="3"/>
  <c r="E55" i="11"/>
  <c r="L181" i="3"/>
  <c r="E56" i="11"/>
  <c r="O212" i="3"/>
  <c r="J212" i="3"/>
  <c r="H212" i="3"/>
  <c r="N212" i="3"/>
  <c r="H246" i="3"/>
  <c r="I246" i="3"/>
  <c r="E95" i="11"/>
  <c r="C98" i="11"/>
  <c r="D98" i="11"/>
  <c r="C85" i="11"/>
  <c r="D85" i="11"/>
  <c r="D230" i="3"/>
  <c r="A16" i="6"/>
  <c r="I2" i="7"/>
  <c r="B35" i="6"/>
  <c r="B34" i="10"/>
  <c r="J81" i="3"/>
  <c r="E135" i="11"/>
  <c r="I146" i="3"/>
  <c r="K146" i="3"/>
  <c r="D147" i="3"/>
  <c r="I147" i="3"/>
  <c r="M157" i="3"/>
  <c r="L160" i="3"/>
  <c r="E35" i="11"/>
  <c r="M161" i="3"/>
  <c r="L162" i="3"/>
  <c r="E37" i="11"/>
  <c r="M165" i="3"/>
  <c r="M168" i="3"/>
  <c r="M172" i="3"/>
  <c r="M176" i="3"/>
  <c r="L183" i="3"/>
  <c r="E58" i="11"/>
  <c r="M184" i="3"/>
  <c r="P218" i="3"/>
  <c r="G218" i="3"/>
  <c r="H218" i="3"/>
  <c r="I218" i="3"/>
  <c r="E81" i="11"/>
  <c r="H232" i="3"/>
  <c r="H249" i="3"/>
  <c r="I249" i="3"/>
  <c r="E98" i="11"/>
  <c r="J5" i="4"/>
  <c r="L186" i="3"/>
  <c r="E61" i="11"/>
  <c r="M196" i="3"/>
  <c r="M197" i="3"/>
  <c r="M198" i="3"/>
  <c r="M199" i="3"/>
  <c r="M200" i="3"/>
  <c r="I202" i="3"/>
  <c r="E71" i="11"/>
  <c r="M217" i="3"/>
  <c r="I228" i="3"/>
  <c r="H229" i="3"/>
  <c r="I229" i="3"/>
  <c r="E85" i="11"/>
  <c r="H233" i="3"/>
  <c r="H250" i="3"/>
  <c r="I250" i="3"/>
  <c r="E99" i="11"/>
  <c r="M215" i="3"/>
  <c r="M213" i="3"/>
  <c r="M214" i="3"/>
  <c r="M212" i="3"/>
  <c r="M202" i="3"/>
  <c r="F196" i="3"/>
  <c r="H203" i="3"/>
  <c r="M216" i="3"/>
  <c r="O228" i="3"/>
  <c r="J228" i="3"/>
  <c r="K228" i="3"/>
  <c r="M230" i="3"/>
  <c r="M234" i="3"/>
  <c r="O244" i="3"/>
  <c r="J244" i="3"/>
  <c r="F244" i="3"/>
  <c r="N244" i="3"/>
  <c r="H244" i="3"/>
  <c r="I244" i="3"/>
  <c r="A30" i="8"/>
  <c r="M249" i="3"/>
  <c r="M247" i="3"/>
  <c r="M245" i="3"/>
  <c r="M233" i="3"/>
  <c r="M231" i="3"/>
  <c r="M229" i="3"/>
  <c r="M250" i="3"/>
  <c r="M246" i="3"/>
  <c r="M228" i="3"/>
  <c r="M185" i="3"/>
  <c r="M201" i="3"/>
  <c r="I203" i="3"/>
  <c r="E72" i="11"/>
  <c r="M203" i="3"/>
  <c r="I212" i="3"/>
  <c r="D213" i="3"/>
  <c r="N228" i="3"/>
  <c r="C94" i="11"/>
  <c r="D94" i="11"/>
  <c r="F57" i="4"/>
  <c r="G111" i="11"/>
  <c r="B32" i="10"/>
  <c r="B27" i="8"/>
  <c r="C76" i="11"/>
  <c r="D76" i="11"/>
  <c r="D214" i="3"/>
  <c r="I213" i="3"/>
  <c r="E76" i="11"/>
  <c r="C86" i="11"/>
  <c r="D86" i="11"/>
  <c r="D231" i="3"/>
  <c r="I230" i="3"/>
  <c r="E86" i="11"/>
  <c r="E198" i="11"/>
  <c r="F69" i="5"/>
  <c r="H79" i="3"/>
  <c r="G63" i="3"/>
  <c r="E113" i="11"/>
  <c r="K61" i="3"/>
  <c r="G62" i="3"/>
  <c r="E112" i="11"/>
  <c r="K63" i="3"/>
  <c r="H78" i="3"/>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I231" i="3"/>
  <c r="E87" i="11"/>
  <c r="J148" i="3"/>
  <c r="D133" i="11"/>
  <c r="M79" i="3"/>
  <c r="J79" i="3"/>
  <c r="E133" i="11"/>
  <c r="C77" i="11"/>
  <c r="D77" i="11"/>
  <c r="D215" i="3"/>
  <c r="I214" i="3"/>
  <c r="E77" i="11"/>
  <c r="D132" i="11"/>
  <c r="M78" i="3"/>
  <c r="J78" i="3"/>
  <c r="E132" i="11"/>
  <c r="I78" i="3"/>
  <c r="F132" i="11"/>
  <c r="I79" i="3"/>
  <c r="F133" i="11"/>
  <c r="K78" i="3"/>
  <c r="C78" i="11"/>
  <c r="D78" i="11"/>
  <c r="D216" i="3"/>
  <c r="I215" i="3"/>
  <c r="E78" i="11"/>
  <c r="I232" i="3"/>
  <c r="E88" i="11"/>
  <c r="C88" i="11"/>
  <c r="D88" i="11"/>
  <c r="D233" i="3"/>
  <c r="K79" i="3"/>
  <c r="C69" i="11"/>
  <c r="F200" i="3"/>
  <c r="C89" i="11"/>
  <c r="D89" i="11"/>
  <c r="D234" i="3"/>
  <c r="I233" i="3"/>
  <c r="E89" i="11"/>
  <c r="C79" i="11"/>
  <c r="D79" i="11"/>
  <c r="C90" i="11"/>
  <c r="D90" i="11"/>
  <c r="I234" i="3"/>
  <c r="E90" i="11"/>
  <c r="C26" i="11"/>
  <c r="I151" i="3"/>
  <c r="J151" i="3"/>
  <c r="C27" i="11"/>
  <c r="J152" i="3"/>
  <c r="I152" i="3"/>
  <c r="F24" i="6"/>
  <c r="K144" i="3"/>
  <c r="K152" i="3"/>
  <c r="K147" i="3"/>
  <c r="K151" i="3"/>
  <c r="K156" i="3"/>
  <c r="C28" i="11"/>
  <c r="I153" i="3"/>
  <c r="J153" i="3"/>
  <c r="D154" i="3"/>
  <c r="D149" i="3"/>
  <c r="I148" i="3"/>
  <c r="K148" i="3"/>
  <c r="D24" i="6"/>
  <c r="N6" i="9"/>
  <c r="E84" i="3"/>
  <c r="D16" i="5"/>
  <c r="J3" i="4"/>
  <c r="N5" i="9"/>
  <c r="E4" i="11"/>
  <c r="B13" i="5"/>
  <c r="A12" i="8"/>
  <c r="A19" i="8"/>
  <c r="G2" i="7"/>
  <c r="A16" i="8"/>
  <c r="P151" i="3"/>
  <c r="P150" i="3"/>
  <c r="A50" i="8"/>
  <c r="P146" i="3"/>
  <c r="A6" i="6"/>
  <c r="H136" i="3"/>
  <c r="P145" i="3"/>
  <c r="J198" i="3"/>
  <c r="P149" i="3"/>
  <c r="G71" i="3"/>
  <c r="H71" i="3"/>
  <c r="G74" i="3"/>
  <c r="H74" i="3"/>
  <c r="P148" i="3"/>
  <c r="G72" i="3"/>
  <c r="H72" i="3"/>
  <c r="J196" i="3"/>
  <c r="G75" i="3"/>
  <c r="H75" i="3"/>
  <c r="J201" i="3"/>
  <c r="G70" i="3"/>
  <c r="H70" i="3"/>
  <c r="G73" i="3"/>
  <c r="H73" i="3"/>
  <c r="J200" i="3"/>
  <c r="P147" i="3"/>
  <c r="P144" i="3"/>
  <c r="P153" i="3"/>
  <c r="G76" i="3"/>
  <c r="H76" i="3"/>
  <c r="P143" i="3"/>
  <c r="P152" i="3"/>
  <c r="G77" i="3"/>
  <c r="H77" i="3"/>
  <c r="J199" i="3"/>
  <c r="J197" i="3"/>
  <c r="E51" i="3"/>
  <c r="A8" i="10"/>
  <c r="F130" i="3"/>
  <c r="G130" i="3"/>
  <c r="F118" i="3"/>
  <c r="G118" i="3"/>
  <c r="I92" i="3"/>
  <c r="J92" i="3"/>
  <c r="D153" i="11"/>
  <c r="F105" i="3"/>
  <c r="G105" i="3"/>
  <c r="I128" i="3"/>
  <c r="J128" i="3"/>
  <c r="D189" i="11"/>
  <c r="F155" i="3"/>
  <c r="F156" i="3"/>
  <c r="L156" i="3"/>
  <c r="E31" i="11"/>
  <c r="F127" i="3"/>
  <c r="G127" i="3"/>
  <c r="L118" i="3"/>
  <c r="M118" i="3"/>
  <c r="E179" i="11"/>
  <c r="I119" i="3"/>
  <c r="J119" i="3"/>
  <c r="D180" i="11"/>
  <c r="F94" i="3"/>
  <c r="G94" i="3"/>
  <c r="H144" i="3"/>
  <c r="M144" i="3"/>
  <c r="H143" i="3"/>
  <c r="M143" i="3"/>
  <c r="I95" i="3"/>
  <c r="J95" i="3"/>
  <c r="D156" i="11"/>
  <c r="L106" i="3"/>
  <c r="M106" i="3"/>
  <c r="E167" i="11"/>
  <c r="G199" i="3"/>
  <c r="I105" i="3"/>
  <c r="J105" i="3"/>
  <c r="D166" i="11"/>
  <c r="F106" i="3"/>
  <c r="G106" i="3"/>
  <c r="H146" i="3"/>
  <c r="M146" i="3"/>
  <c r="H152" i="3"/>
  <c r="M152" i="3"/>
  <c r="F119" i="3"/>
  <c r="G119" i="3"/>
  <c r="L130" i="3"/>
  <c r="M130" i="3"/>
  <c r="E191" i="11"/>
  <c r="L129" i="3"/>
  <c r="M129" i="3"/>
  <c r="E190" i="11"/>
  <c r="I94" i="3"/>
  <c r="J94" i="3"/>
  <c r="D155" i="11"/>
  <c r="F91" i="3"/>
  <c r="G91" i="3"/>
  <c r="F92" i="3"/>
  <c r="G92" i="3"/>
  <c r="I106" i="3"/>
  <c r="J106" i="3"/>
  <c r="D167" i="11"/>
  <c r="I116" i="3"/>
  <c r="J116" i="3"/>
  <c r="D177" i="11"/>
  <c r="L94" i="3"/>
  <c r="M94" i="3"/>
  <c r="E155" i="11"/>
  <c r="F107" i="3"/>
  <c r="G107" i="3"/>
  <c r="F151" i="3"/>
  <c r="L151" i="3"/>
  <c r="L103" i="3"/>
  <c r="M103" i="3"/>
  <c r="E164" i="11"/>
  <c r="L107" i="3"/>
  <c r="M107" i="3"/>
  <c r="E168" i="11"/>
  <c r="H148" i="3"/>
  <c r="M148" i="3"/>
  <c r="A33" i="9"/>
  <c r="G197" i="3"/>
  <c r="L95" i="3"/>
  <c r="M95" i="3"/>
  <c r="E156" i="11"/>
  <c r="I130" i="3"/>
  <c r="J130" i="3"/>
  <c r="D191" i="11"/>
  <c r="H154" i="3"/>
  <c r="I91" i="3"/>
  <c r="J91" i="3"/>
  <c r="D152" i="11"/>
  <c r="L119" i="3"/>
  <c r="M119" i="3"/>
  <c r="E180" i="11"/>
  <c r="H151" i="3"/>
  <c r="M151" i="3"/>
  <c r="I131" i="3"/>
  <c r="J131" i="3"/>
  <c r="D192" i="11"/>
  <c r="G200" i="3"/>
  <c r="H150" i="3"/>
  <c r="F95" i="3"/>
  <c r="G95" i="3"/>
  <c r="L131" i="3"/>
  <c r="M131" i="3"/>
  <c r="E192" i="11"/>
  <c r="F144" i="3"/>
  <c r="L144" i="3"/>
  <c r="F103" i="3"/>
  <c r="G103" i="3"/>
  <c r="F116" i="3"/>
  <c r="G116" i="3"/>
  <c r="H155" i="3"/>
  <c r="F115" i="3"/>
  <c r="G115" i="3"/>
  <c r="H153" i="3"/>
  <c r="M153" i="3"/>
  <c r="F146" i="3"/>
  <c r="L146" i="3"/>
  <c r="H145" i="3"/>
  <c r="M145" i="3"/>
  <c r="I104" i="3"/>
  <c r="J104" i="3"/>
  <c r="D165" i="11"/>
  <c r="H147" i="3"/>
  <c r="M147" i="3"/>
  <c r="F93" i="3"/>
  <c r="G93" i="3"/>
  <c r="L104" i="3"/>
  <c r="M104" i="3"/>
  <c r="E165" i="11"/>
  <c r="F153" i="3"/>
  <c r="L153" i="3"/>
  <c r="F148" i="3"/>
  <c r="L148" i="3"/>
  <c r="I93" i="3"/>
  <c r="J93" i="3"/>
  <c r="D154" i="11"/>
  <c r="I115" i="3"/>
  <c r="J115" i="3"/>
  <c r="D176" i="11"/>
  <c r="F149" i="3"/>
  <c r="L149" i="3"/>
  <c r="F104" i="3"/>
  <c r="G104" i="3"/>
  <c r="L127" i="3"/>
  <c r="M127" i="3"/>
  <c r="E188" i="11"/>
  <c r="F150" i="3"/>
  <c r="I103" i="3"/>
  <c r="J103" i="3"/>
  <c r="D164" i="11"/>
  <c r="F143" i="3"/>
  <c r="L143" i="3"/>
  <c r="L91" i="3"/>
  <c r="M91" i="3"/>
  <c r="E152" i="11"/>
  <c r="L128" i="3"/>
  <c r="M128" i="3"/>
  <c r="E189" i="11"/>
  <c r="L116" i="3"/>
  <c r="M116" i="3"/>
  <c r="E177" i="11"/>
  <c r="L117" i="3"/>
  <c r="M117" i="3"/>
  <c r="E178" i="11"/>
  <c r="L115" i="3"/>
  <c r="M115" i="3"/>
  <c r="E176" i="11"/>
  <c r="F152" i="3"/>
  <c r="L152" i="3"/>
  <c r="G198" i="3"/>
  <c r="I129" i="3"/>
  <c r="J129" i="3"/>
  <c r="D190" i="11"/>
  <c r="L92" i="3"/>
  <c r="M92" i="3"/>
  <c r="E153" i="11"/>
  <c r="F117" i="3"/>
  <c r="G117" i="3"/>
  <c r="L93" i="3"/>
  <c r="M93" i="3"/>
  <c r="E154" i="11"/>
  <c r="L105" i="3"/>
  <c r="M105" i="3"/>
  <c r="E166" i="11"/>
  <c r="I127" i="3"/>
  <c r="J127" i="3"/>
  <c r="D188" i="11"/>
  <c r="F154" i="3"/>
  <c r="L154" i="3"/>
  <c r="E29" i="11"/>
  <c r="A18" i="8"/>
  <c r="A12" i="10"/>
  <c r="A11" i="10"/>
  <c r="A17" i="8"/>
  <c r="A14" i="8"/>
  <c r="A41" i="9"/>
  <c r="A26" i="8"/>
  <c r="A17" i="10"/>
  <c r="A40" i="4"/>
  <c r="E6" i="3"/>
  <c r="I5" i="6"/>
  <c r="A5" i="6"/>
  <c r="L2" i="7"/>
  <c r="A16" i="4"/>
  <c r="A20" i="5"/>
  <c r="A16" i="9"/>
  <c r="B36" i="8"/>
  <c r="J1" i="4"/>
  <c r="A18" i="4"/>
  <c r="N3" i="9"/>
  <c r="A18" i="9"/>
  <c r="D28" i="6"/>
  <c r="I154" i="3"/>
  <c r="J154" i="3"/>
  <c r="C29" i="11"/>
  <c r="D29" i="11"/>
  <c r="D155" i="3"/>
  <c r="M155" i="3"/>
  <c r="K153" i="3"/>
  <c r="M154" i="3"/>
  <c r="C24" i="11"/>
  <c r="I149" i="3"/>
  <c r="D150" i="3"/>
  <c r="J149" i="3"/>
  <c r="I107" i="3"/>
  <c r="J107" i="3"/>
  <c r="D168" i="11"/>
  <c r="F129" i="3"/>
  <c r="G129" i="3"/>
  <c r="F145" i="3"/>
  <c r="L145" i="3"/>
  <c r="E20" i="11"/>
  <c r="I117" i="3"/>
  <c r="J117" i="3"/>
  <c r="D178" i="11"/>
  <c r="I118" i="3"/>
  <c r="J118" i="3"/>
  <c r="D179" i="11"/>
  <c r="F131" i="3"/>
  <c r="G131" i="3"/>
  <c r="C192" i="11"/>
  <c r="H149" i="3"/>
  <c r="M149" i="3"/>
  <c r="F128" i="3"/>
  <c r="G128" i="3"/>
  <c r="C189" i="11"/>
  <c r="F147" i="3"/>
  <c r="L147" i="3"/>
  <c r="E22" i="11"/>
  <c r="E26" i="11"/>
  <c r="D125" i="11"/>
  <c r="M71" i="3"/>
  <c r="J71" i="3"/>
  <c r="N104" i="3"/>
  <c r="F165" i="11"/>
  <c r="C165" i="11"/>
  <c r="N107" i="3"/>
  <c r="F168" i="11"/>
  <c r="C168" i="11"/>
  <c r="C167" i="11"/>
  <c r="N106" i="3"/>
  <c r="F167" i="11"/>
  <c r="J76" i="3"/>
  <c r="D130" i="11"/>
  <c r="M76" i="3"/>
  <c r="N115" i="3"/>
  <c r="C176" i="11"/>
  <c r="H200" i="3"/>
  <c r="I200" i="3"/>
  <c r="E24" i="11"/>
  <c r="E27" i="11"/>
  <c r="H199" i="3"/>
  <c r="I199" i="3"/>
  <c r="N105" i="3"/>
  <c r="F166" i="11"/>
  <c r="C166" i="11"/>
  <c r="C177" i="11"/>
  <c r="N116" i="3"/>
  <c r="F177" i="11"/>
  <c r="J73" i="3"/>
  <c r="D127" i="11"/>
  <c r="M73" i="3"/>
  <c r="H201" i="3"/>
  <c r="I201" i="3"/>
  <c r="I196" i="3"/>
  <c r="M156" i="3"/>
  <c r="H196" i="3"/>
  <c r="C180" i="11"/>
  <c r="N119" i="3"/>
  <c r="F180" i="11"/>
  <c r="E23" i="11"/>
  <c r="C164" i="11"/>
  <c r="N103" i="3"/>
  <c r="N92" i="3"/>
  <c r="F153" i="11"/>
  <c r="C153" i="11"/>
  <c r="C179" i="11"/>
  <c r="N118" i="3"/>
  <c r="F179" i="11"/>
  <c r="F48" i="3"/>
  <c r="I49" i="3"/>
  <c r="F50" i="3"/>
  <c r="F49" i="3"/>
  <c r="I51" i="3"/>
  <c r="I50" i="3"/>
  <c r="H83" i="3"/>
  <c r="D124" i="11"/>
  <c r="H84" i="3"/>
  <c r="M70" i="3"/>
  <c r="J70" i="3"/>
  <c r="A15" i="8"/>
  <c r="D2" i="7"/>
  <c r="E28" i="11"/>
  <c r="E19" i="11"/>
  <c r="N91" i="3"/>
  <c r="C152" i="11"/>
  <c r="N130" i="3"/>
  <c r="F191" i="11"/>
  <c r="C191" i="11"/>
  <c r="E21" i="11"/>
  <c r="H197" i="3"/>
  <c r="I197" i="3"/>
  <c r="M75" i="3"/>
  <c r="D129" i="11"/>
  <c r="J75" i="3"/>
  <c r="N117" i="3"/>
  <c r="F178" i="11"/>
  <c r="C178" i="11"/>
  <c r="D128" i="11"/>
  <c r="M74" i="3"/>
  <c r="J74" i="3"/>
  <c r="C154" i="11"/>
  <c r="N93" i="3"/>
  <c r="F154" i="11"/>
  <c r="C156" i="11"/>
  <c r="N95" i="3"/>
  <c r="F156" i="11"/>
  <c r="C155" i="11"/>
  <c r="N94" i="3"/>
  <c r="F155" i="11"/>
  <c r="D131" i="11"/>
  <c r="M77" i="3"/>
  <c r="J77" i="3"/>
  <c r="N127" i="3"/>
  <c r="C188" i="11"/>
  <c r="H198" i="3"/>
  <c r="I198" i="3"/>
  <c r="E18" i="11"/>
  <c r="V143" i="3"/>
  <c r="N131" i="3"/>
  <c r="F192" i="11"/>
  <c r="M72" i="3"/>
  <c r="J72" i="3"/>
  <c r="D126" i="11"/>
  <c r="B29" i="8"/>
  <c r="D24" i="10"/>
  <c r="K154" i="3"/>
  <c r="I155" i="3"/>
  <c r="C30" i="11"/>
  <c r="D30" i="11"/>
  <c r="J155" i="3"/>
  <c r="L155" i="3"/>
  <c r="E30" i="11"/>
  <c r="C25" i="11"/>
  <c r="I150" i="3"/>
  <c r="J150" i="3"/>
  <c r="K149" i="3"/>
  <c r="B94" i="11"/>
  <c r="B95" i="11"/>
  <c r="B96" i="11"/>
  <c r="B97" i="11"/>
  <c r="B98" i="11"/>
  <c r="B99" i="11"/>
  <c r="B66" i="11"/>
  <c r="B67" i="11"/>
  <c r="B68" i="11"/>
  <c r="B69" i="11"/>
  <c r="B70" i="11"/>
  <c r="B71" i="11"/>
  <c r="B72" i="11"/>
  <c r="B85" i="11"/>
  <c r="B86" i="11"/>
  <c r="B87" i="11"/>
  <c r="B88" i="11"/>
  <c r="B89" i="11"/>
  <c r="B90" i="11"/>
  <c r="L150" i="3"/>
  <c r="E25" i="11"/>
  <c r="M150" i="3"/>
  <c r="N128" i="3"/>
  <c r="F189" i="11"/>
  <c r="C190" i="11"/>
  <c r="N129" i="3"/>
  <c r="F190" i="11"/>
  <c r="E129" i="11"/>
  <c r="E124" i="11"/>
  <c r="E70" i="11"/>
  <c r="E126" i="11"/>
  <c r="E68" i="11"/>
  <c r="F176" i="11"/>
  <c r="N120" i="3"/>
  <c r="K120" i="3"/>
  <c r="E67" i="11"/>
  <c r="K96" i="3"/>
  <c r="F152" i="11"/>
  <c r="N96" i="3"/>
  <c r="E127" i="11"/>
  <c r="K71" i="3"/>
  <c r="E125" i="11"/>
  <c r="E130" i="11"/>
  <c r="E131" i="11"/>
  <c r="E66" i="11"/>
  <c r="E128" i="11"/>
  <c r="N61" i="3"/>
  <c r="U146" i="3"/>
  <c r="U150" i="3"/>
  <c r="O198" i="3"/>
  <c r="D67" i="11"/>
  <c r="G113" i="3"/>
  <c r="O196" i="3"/>
  <c r="P196" i="3"/>
  <c r="N62" i="3"/>
  <c r="I75" i="3"/>
  <c r="F129" i="11"/>
  <c r="U149" i="3"/>
  <c r="U152" i="3"/>
  <c r="O200" i="3"/>
  <c r="D69" i="11"/>
  <c r="G89" i="3"/>
  <c r="N63" i="3"/>
  <c r="G101" i="3"/>
  <c r="I71" i="3"/>
  <c r="F125" i="11"/>
  <c r="I76" i="3"/>
  <c r="F130" i="11"/>
  <c r="U153" i="3"/>
  <c r="I73" i="3"/>
  <c r="F127" i="11"/>
  <c r="O199" i="3"/>
  <c r="D68" i="11"/>
  <c r="I74" i="3"/>
  <c r="F128" i="11"/>
  <c r="O197" i="3"/>
  <c r="D66" i="11"/>
  <c r="U151" i="3"/>
  <c r="I77" i="3"/>
  <c r="F131" i="11"/>
  <c r="U148" i="3"/>
  <c r="O201" i="3"/>
  <c r="D70" i="11"/>
  <c r="I70" i="3"/>
  <c r="F124" i="11"/>
  <c r="I72" i="3"/>
  <c r="F126" i="11"/>
  <c r="U144" i="3"/>
  <c r="U147" i="3"/>
  <c r="U145" i="3"/>
  <c r="G125" i="3"/>
  <c r="K108" i="3"/>
  <c r="F164" i="11"/>
  <c r="N108" i="3"/>
  <c r="N132" i="3"/>
  <c r="K132" i="3"/>
  <c r="F188" i="11"/>
  <c r="E69" i="11"/>
  <c r="K155" i="3"/>
  <c r="B76" i="11"/>
  <c r="B77" i="11"/>
  <c r="B78" i="11"/>
  <c r="B79" i="11"/>
  <c r="B80" i="11"/>
  <c r="B81" i="11"/>
  <c r="K150" i="3"/>
  <c r="H187" i="3"/>
  <c r="P199" i="3"/>
  <c r="K72" i="3"/>
  <c r="K73" i="3"/>
  <c r="K74" i="3"/>
  <c r="P197" i="3"/>
  <c r="E194" i="11"/>
  <c r="E193" i="11"/>
  <c r="N133" i="3"/>
  <c r="D133" i="3"/>
  <c r="D26" i="11"/>
  <c r="V151" i="3"/>
  <c r="E182" i="11"/>
  <c r="E181" i="11"/>
  <c r="N97" i="3"/>
  <c r="D97" i="3"/>
  <c r="P201" i="3"/>
  <c r="D23" i="11"/>
  <c r="V148" i="3"/>
  <c r="E158" i="11"/>
  <c r="E157" i="11"/>
  <c r="K77" i="3"/>
  <c r="D20" i="11"/>
  <c r="V145" i="3"/>
  <c r="K76" i="3"/>
  <c r="Q152" i="3"/>
  <c r="T152" i="3"/>
  <c r="Q146" i="3"/>
  <c r="T146" i="3"/>
  <c r="K198" i="3"/>
  <c r="N198" i="3"/>
  <c r="Q150" i="3"/>
  <c r="T150" i="3"/>
  <c r="K197" i="3"/>
  <c r="N197" i="3"/>
  <c r="K199" i="3"/>
  <c r="N199" i="3"/>
  <c r="Q145" i="3"/>
  <c r="T145" i="3"/>
  <c r="K200" i="3"/>
  <c r="N200" i="3"/>
  <c r="K201" i="3"/>
  <c r="N201" i="3"/>
  <c r="K196" i="3"/>
  <c r="N196" i="3"/>
  <c r="Q147" i="3"/>
  <c r="T147" i="3"/>
  <c r="Q151" i="3"/>
  <c r="T151" i="3"/>
  <c r="Q149" i="3"/>
  <c r="T149" i="3"/>
  <c r="Q143" i="3"/>
  <c r="T143" i="3"/>
  <c r="Q144" i="3"/>
  <c r="T144" i="3"/>
  <c r="Q148" i="3"/>
  <c r="T148" i="3"/>
  <c r="Q153" i="3"/>
  <c r="T153" i="3"/>
  <c r="K70" i="3"/>
  <c r="D22" i="11"/>
  <c r="V147" i="3"/>
  <c r="D28" i="11"/>
  <c r="V153" i="3"/>
  <c r="P198" i="3"/>
  <c r="D27" i="11"/>
  <c r="V152" i="3"/>
  <c r="D24" i="11"/>
  <c r="V149" i="3"/>
  <c r="K75" i="3"/>
  <c r="D109" i="3"/>
  <c r="N109" i="3"/>
  <c r="D25" i="11"/>
  <c r="V150" i="3"/>
  <c r="E170" i="11"/>
  <c r="E169" i="11"/>
  <c r="D19" i="11"/>
  <c r="V144" i="3"/>
  <c r="P200" i="3"/>
  <c r="D21" i="11"/>
  <c r="V146" i="3"/>
  <c r="D121" i="3"/>
  <c r="N121" i="3"/>
  <c r="N135" i="3"/>
  <c r="P219" i="3"/>
  <c r="P204" i="3"/>
  <c r="P235" i="3"/>
  <c r="P251" i="3"/>
  <c r="K82" i="3"/>
  <c r="F22" i="6"/>
  <c r="D82" i="3"/>
  <c r="D22" i="6"/>
  <c r="D23" i="6"/>
  <c r="F23" i="6"/>
  <c r="A27" i="6"/>
  <c r="A31" i="4"/>
  <c r="A1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family val="2"/>
          </rPr>
          <t>datos de la constacia de CUIT</t>
        </r>
      </text>
    </comment>
    <comment ref="C18" authorId="0" shapeId="0" xr:uid="{00000000-0006-0000-0100-000002000000}">
      <text>
        <r>
          <rPr>
            <sz val="10"/>
            <rFont val="Arial"/>
            <family val="2"/>
          </rPr>
          <t>(*) ubicación del instrumento!!</t>
        </r>
      </text>
    </comment>
    <comment ref="B31" authorId="1" shapeId="0" xr:uid="{00000000-0006-0000-0100-000003000000}">
      <text>
        <r>
          <rPr>
            <sz val="10"/>
            <rFont val="Arial"/>
            <family val="2"/>
          </rPr>
          <t>Usuario:
Número de disposción de AM que se baja del SOL.</t>
        </r>
      </text>
    </comment>
    <comment ref="F31" authorId="1" shapeId="0" xr:uid="{00000000-0006-0000-0100-000004000000}">
      <text>
        <r>
          <rPr>
            <sz val="10"/>
            <rFont val="Arial"/>
            <family val="2"/>
          </rPr>
          <t>Usuario:
Número de disposición de AM que se baja del SOL</t>
        </r>
      </text>
    </comment>
    <comment ref="B32" authorId="1" shapeId="0" xr:uid="{00000000-0006-0000-0100-000005000000}">
      <text>
        <r>
          <rPr>
            <sz val="10"/>
            <rFont val="Arial"/>
            <family val="2"/>
          </rPr>
          <t>Usuario:
Fecha de la disposición de AM que de baja del SOL.</t>
        </r>
      </text>
    </comment>
    <comment ref="F32" authorId="1" shapeId="0" xr:uid="{00000000-0006-0000-0100-000006000000}">
      <text>
        <r>
          <rPr>
            <sz val="10"/>
            <rFont val="Arial"/>
            <family val="2"/>
          </rPr>
          <t>Usuario:
Fecha de la disposición de AM que se baja del SOL.</t>
        </r>
      </text>
    </comment>
    <comment ref="B33" authorId="2" shapeId="0" xr:uid="{00000000-0006-0000-0100-000007000000}">
      <text>
        <r>
          <rPr>
            <sz val="10"/>
            <rFont val="Arial"/>
            <family val="2"/>
          </rPr>
          <t>El listado está en la columna I completar los datos cuando sea necesario</t>
        </r>
      </text>
    </comment>
    <comment ref="I33" authorId="2" shapeId="0" xr:uid="{00000000-0006-0000-0100-000008000000}">
      <text>
        <r>
          <rPr>
            <sz val="10"/>
            <rFont val="Arial"/>
            <family val="2"/>
          </rPr>
          <t>Razón social del solicitante de la OT</t>
        </r>
      </text>
    </comment>
    <comment ref="J33" authorId="2" shapeId="0" xr:uid="{00000000-0006-0000-0100-000009000000}">
      <text>
        <r>
          <rPr>
            <sz val="10"/>
            <rFont val="Arial"/>
            <family val="2"/>
          </rPr>
          <t>CUIT corespondiente al solicitante de OT</t>
        </r>
      </text>
    </comment>
    <comment ref="C44" authorId="2" shapeId="0" xr:uid="{00000000-0006-0000-0100-00000A000000}">
      <text>
        <r>
          <rPr>
            <sz val="10"/>
            <rFont val="Arial"/>
            <family val="2"/>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family val="2"/>
          </rPr>
          <t>Colocar:
INGRESO o
EGRESO</t>
        </r>
      </text>
    </comment>
    <comment ref="J39" authorId="0" shapeId="0" xr:uid="{00000000-0006-0000-0200-000002000000}">
      <text>
        <r>
          <rPr>
            <sz val="10"/>
            <rFont val="Arial"/>
            <family val="2"/>
          </rPr>
          <t>Idem: INGRESO o EGRESO</t>
        </r>
      </text>
    </comment>
    <comment ref="E68" authorId="1" shapeId="0" xr:uid="{00000000-0006-0000-0200-000003000000}">
      <text>
        <r>
          <rPr>
            <sz val="10"/>
            <rFont val="Arial"/>
            <family val="2"/>
          </rPr>
          <t>Carga Aplicada:
En caso que la carga utilizada para este ensayo difiera del cociente entre Máx./Cant. Apoyos, ingrese el valor manualmente.</t>
        </r>
      </text>
    </comment>
    <comment ref="G69" authorId="1" shapeId="0" xr:uid="{00000000-0006-0000-0200-000004000000}">
      <text>
        <r>
          <rPr>
            <sz val="10"/>
            <rFont val="Arial"/>
            <family val="2"/>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family val="2"/>
          </rPr>
          <t>Mariela:
se muestra el el valor nominal de la carga sustituta, teniendo en cuenta el error de indicación que arrastramos</t>
        </r>
      </text>
    </comment>
    <comment ref="F208" authorId="0" shapeId="0" xr:uid="{00000000-0006-0000-0200-000006000000}">
      <text>
        <r>
          <rPr>
            <sz val="10"/>
            <rFont val="Arial"/>
            <family val="2"/>
          </rPr>
          <t>Mariela:
idem: se toma la indicación luego de ajustar para que salte con la misma sobrecarga que en la etapa anterior.</t>
        </r>
      </text>
    </comment>
    <comment ref="F209" authorId="0" shapeId="0" xr:uid="{00000000-0006-0000-0200-000007000000}">
      <text>
        <r>
          <rPr>
            <sz val="10"/>
            <rFont val="Arial"/>
            <family val="2"/>
          </rPr>
          <t>Mariela:
Idem: se toma el último valor de la columna F de la etapa anterior</t>
        </r>
      </text>
    </comment>
    <comment ref="H209" authorId="0" shapeId="0" xr:uid="{00000000-0006-0000-0200-000008000000}">
      <text>
        <r>
          <rPr>
            <sz val="10"/>
            <rFont val="Arial"/>
            <family val="2"/>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family val="2"/>
          </rPr>
          <t>Seleccionar el ensayo que no pasa (según tipo de balanza). O seleccionar "Otro" para otro motivo de suspensión.</t>
        </r>
      </text>
    </comment>
    <comment ref="J18" authorId="0" shapeId="0" xr:uid="{00000000-0006-0000-0800-000002000000}">
      <text>
        <r>
          <rPr>
            <sz val="10"/>
            <rFont val="Arial"/>
            <family val="2"/>
          </rPr>
          <t xml:space="preserve">colocar: HORA SIN MINUTOS (ej 15 ó 16)
</t>
        </r>
      </text>
    </comment>
  </commentList>
</comments>
</file>

<file path=xl/sharedStrings.xml><?xml version="1.0" encoding="utf-8"?>
<sst xmlns="http://schemas.openxmlformats.org/spreadsheetml/2006/main" count="1092" uniqueCount="743">
  <si>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</si>
  <si>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</si>
  <si>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</si>
  <si>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</si>
  <si>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</si>
  <si>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</si>
  <si>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</si>
  <si>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</si>
  <si>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</si>
  <si>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</si>
  <si>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</si>
  <si>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</si>
  <si>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</si>
  <si>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</si>
  <si>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</si>
  <si>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</si>
  <si>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</si>
  <si>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</si>
  <si>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</si>
  <si>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</si>
  <si>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</si>
  <si>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</si>
  <si>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</si>
  <si>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</si>
  <si>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</si>
  <si>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</si>
  <si>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</si>
  <si>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</si>
  <si>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</si>
  <si>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</si>
  <si>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</si>
  <si>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</si>
  <si>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</si>
  <si>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</si>
  <si>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</si>
  <si>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</si>
  <si>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</si>
  <si>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</si>
  <si>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</si>
  <si>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</si>
  <si>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</si>
  <si>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</si>
  <si>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</si>
  <si>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</si>
  <si>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</si>
  <si>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</si>
  <si>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</si>
  <si>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</si>
  <si>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</si>
  <si>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</si>
  <si>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</si>
  <si>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</si>
  <si>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</si>
  <si>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</si>
  <si>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</si>
  <si>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</si>
  <si>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</si>
  <si>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</si>
  <si>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</si>
  <si>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</si>
  <si>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</si>
  <si>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</si>
  <si>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</si>
  <si>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</si>
  <si>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</si>
  <si>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</si>
  <si>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</si>
  <si>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</si>
  <si>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</si>
  <si>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</si>
  <si>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</si>
  <si>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</si>
  <si>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</si>
  <si>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</si>
  <si>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</si>
  <si>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</si>
  <si>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</si>
  <si>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</si>
  <si>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</si>
  <si>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</si>
  <si>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</si>
  <si>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</si>
  <si>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</si>
  <si>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</si>
  <si>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</si>
  <si>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3-071679479-9</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</si>
  <si>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</si>
  <si>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</si>
  <si>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</si>
  <si>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</si>
  <si>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</si>
  <si>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Básculas Guitart</t>
  </si>
  <si>
    <t>34-50083873-3</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</si>
  <si>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</si>
  <si>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</si>
  <si>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</si>
  <si>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</si>
  <si>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</si>
  <si>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</si>
  <si>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</si>
  <si>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</si>
  <si>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</si>
  <si>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</si>
  <si>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</si>
  <si>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</si>
  <si>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</si>
  <si>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</si>
  <si>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</si>
  <si>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</si>
  <si>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</si>
  <si>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</si>
  <si>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</si>
  <si>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</si>
  <si>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</si>
  <si>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</si>
  <si>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</si>
  <si>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</si>
  <si>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</si>
  <si>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</si>
  <si>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</si>
  <si>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</si>
  <si>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</si>
  <si>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</si>
  <si>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</si>
  <si>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</si>
  <si>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</si>
  <si>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</si>
  <si>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</si>
  <si>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</si>
  <si>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</si>
  <si>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</si>
  <si>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</si>
  <si>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</si>
  <si>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</si>
  <si>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</si>
  <si>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</si>
  <si>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</si>
  <si>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</si>
  <si>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</si>
  <si>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</si>
  <si>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</si>
  <si>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</si>
  <si>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</si>
  <si>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</si>
  <si>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</si>
  <si>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</si>
  <si>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</si>
  <si>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</si>
  <si>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</si>
  <si>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</si>
  <si>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</si>
  <si>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</si>
  <si>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</si>
  <si>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</si>
  <si>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</si>
  <si>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</si>
  <si>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</si>
  <si>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</si>
  <si>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</si>
  <si>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</si>
  <si>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</si>
  <si>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</si>
  <si>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</si>
  <si>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</si>
  <si>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</si>
  <si>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</si>
  <si>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</si>
  <si>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</si>
  <si>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</si>
  <si>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</si>
  <si>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</si>
  <si>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</si>
  <si>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</si>
  <si>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</si>
  <si>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</si>
  <si>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</si>
  <si>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</si>
  <si>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</si>
  <si>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</si>
  <si>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</si>
  <si>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</si>
  <si>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</si>
  <si>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</si>
  <si>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</si>
  <si>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</si>
  <si>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</si>
  <si>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</si>
  <si>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</si>
  <si>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</si>
  <si>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</si>
  <si>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</si>
  <si>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</si>
  <si>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</si>
  <si>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</si>
  <si>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</si>
  <si>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</si>
  <si>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</si>
  <si>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</si>
  <si>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</si>
  <si>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</si>
  <si>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</si>
  <si>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</si>
  <si>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</si>
  <si>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</si>
  <si>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</si>
  <si>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</si>
  <si>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</si>
  <si>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</si>
  <si>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</si>
  <si>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</si>
  <si>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</si>
  <si>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</si>
  <si>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</si>
  <si>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</si>
  <si>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</si>
  <si>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</si>
  <si>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</si>
  <si>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</si>
  <si>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</si>
  <si>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</si>
  <si>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</si>
  <si>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</si>
  <si>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</si>
  <si>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</si>
  <si>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</si>
  <si>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</si>
  <si>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</si>
  <si>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</si>
  <si>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</si>
  <si>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</si>
  <si>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</si>
  <si>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</si>
  <si>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</si>
  <si>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</si>
  <si>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</si>
  <si>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</si>
  <si>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</si>
  <si>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</si>
  <si>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</si>
  <si>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</si>
  <si>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</si>
  <si>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</si>
  <si>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</si>
  <si>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</si>
  <si>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</si>
  <si>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</si>
  <si>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</si>
  <si>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</si>
  <si>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</si>
  <si>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</si>
  <si>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</si>
  <si>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</si>
  <si>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</si>
  <si>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</si>
  <si>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</si>
  <si>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</si>
  <si>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</si>
  <si>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</si>
  <si>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</si>
  <si>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</si>
  <si>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</si>
  <si>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</si>
  <si>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</si>
  <si>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</si>
  <si>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</si>
  <si>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</si>
  <si>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</si>
  <si>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</si>
  <si>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</si>
  <si>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</si>
  <si>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</si>
  <si>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</si>
  <si>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</si>
  <si>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</si>
  <si>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</si>
  <si>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</si>
  <si>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</si>
  <si>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</si>
  <si>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</si>
  <si>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</si>
  <si>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</si>
  <si>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</si>
  <si>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</si>
  <si>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</si>
  <si>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</si>
  <si>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</si>
  <si>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</si>
  <si>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</si>
  <si>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</si>
  <si>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</si>
  <si>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</si>
  <si>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</si>
  <si>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</si>
  <si>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</si>
  <si>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</si>
  <si>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</si>
  <si>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</si>
  <si>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</si>
  <si>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</si>
  <si>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</si>
  <si>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</si>
  <si>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</si>
  <si>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</si>
  <si>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</si>
  <si>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</si>
  <si>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</si>
  <si>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</si>
  <si>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</si>
  <si>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</si>
  <si>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</si>
  <si>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</si>
  <si>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</si>
  <si>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</si>
  <si>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</si>
  <si>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</si>
  <si>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</si>
  <si>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</si>
  <si>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</si>
  <si>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</si>
  <si>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</si>
  <si>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</si>
  <si>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</si>
  <si>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</si>
  <si>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</si>
  <si>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</si>
  <si>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</si>
  <si>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</si>
  <si>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</si>
  <si>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</si>
  <si>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</si>
  <si>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</si>
  <si>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</si>
  <si>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</si>
  <si>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</si>
  <si>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</si>
  <si>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</si>
  <si>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</si>
  <si>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</si>
  <si>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</si>
  <si>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</si>
  <si>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</si>
  <si>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</si>
  <si>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</si>
  <si>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</si>
  <si>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</si>
  <si>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</si>
  <si>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</si>
  <si>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</si>
  <si>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</si>
  <si>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</si>
  <si>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</si>
  <si>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</si>
  <si>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</si>
  <si>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</si>
  <si>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</si>
  <si>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</si>
  <si>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</si>
  <si>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</si>
  <si>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</si>
  <si>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</si>
  <si>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</si>
  <si>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</si>
  <si>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</si>
  <si>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</si>
  <si>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</si>
  <si>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</si>
  <si>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</si>
  <si>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</si>
  <si>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</si>
  <si>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</si>
  <si>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</si>
  <si>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</si>
  <si>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</si>
  <si>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</si>
  <si>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</si>
  <si>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</si>
  <si>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</si>
  <si>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</si>
  <si>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</si>
  <si>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</si>
  <si>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</si>
  <si>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</si>
  <si>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</si>
  <si>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</si>
  <si>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</si>
  <si>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</si>
  <si>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</si>
  <si>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</si>
  <si>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</si>
  <si>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</si>
  <si>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</si>
  <si>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</si>
  <si>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</si>
  <si>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</si>
  <si>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</si>
  <si>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</si>
  <si>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</si>
  <si>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</si>
  <si>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</si>
  <si>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</si>
  <si>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</si>
  <si>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</si>
  <si>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</si>
  <si>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</si>
  <si>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</si>
  <si>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</si>
  <si>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</si>
  <si>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</si>
  <si>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</si>
  <si>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</si>
  <si>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</si>
  <si>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</si>
  <si>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</si>
  <si>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</si>
  <si>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</si>
  <si>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</si>
  <si>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</si>
  <si>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</si>
  <si>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</si>
  <si>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</si>
  <si>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</si>
  <si>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</si>
  <si>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</si>
  <si>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</si>
  <si>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</si>
  <si>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</si>
  <si>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</si>
  <si>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</si>
  <si>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</si>
  <si>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</si>
  <si>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</si>
  <si>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</si>
  <si>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</si>
  <si>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</si>
  <si>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</si>
  <si>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</si>
  <si>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</si>
  <si>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</si>
  <si>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</si>
  <si>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</si>
  <si>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</si>
  <si>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</si>
  <si>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</si>
  <si>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</si>
  <si>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</si>
  <si>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</si>
  <si>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</si>
  <si>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</si>
  <si>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</si>
  <si>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</si>
  <si>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</si>
  <si>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</si>
  <si>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</si>
  <si>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</si>
  <si>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</si>
  <si>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</si>
  <si>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</si>
  <si>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</si>
  <si>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</si>
  <si>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</si>
  <si>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</si>
  <si>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</si>
  <si>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</si>
  <si>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</si>
  <si>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</si>
  <si>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</si>
  <si>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</si>
  <si>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</si>
  <si>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</si>
  <si>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</si>
  <si>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</si>
  <si>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</si>
  <si>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</si>
  <si>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</si>
  <si>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</si>
  <si>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</si>
  <si>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</si>
  <si>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</si>
  <si>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</si>
  <si>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</si>
  <si>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</si>
  <si>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</si>
  <si>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</si>
  <si>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</si>
  <si>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</si>
  <si>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</si>
  <si>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</si>
  <si>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</si>
  <si>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</si>
  <si>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</si>
  <si>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</si>
  <si>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</si>
  <si>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</si>
  <si>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</si>
  <si>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</si>
  <si>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</si>
  <si>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</si>
  <si>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</si>
  <si>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</si>
  <si>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</si>
  <si>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</si>
  <si>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</si>
  <si>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</si>
  <si>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</si>
  <si>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</si>
  <si>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</si>
  <si>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</si>
  <si>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</si>
  <si>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</si>
  <si>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</si>
  <si>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</si>
  <si>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</si>
  <si>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</si>
  <si>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</si>
  <si>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</si>
  <si>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</si>
  <si>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</si>
  <si>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</si>
  <si>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</si>
  <si>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</si>
  <si>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</si>
  <si>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</si>
  <si>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</si>
  <si>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</si>
  <si>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</si>
  <si>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</si>
  <si>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</si>
  <si>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</si>
  <si>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</si>
  <si>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</si>
  <si>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</si>
  <si>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</si>
  <si>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</si>
  <si>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</si>
  <si>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</si>
  <si>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</si>
  <si>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</si>
  <si>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</si>
  <si>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</si>
  <si>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</si>
  <si>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</si>
  <si>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</si>
  <si>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</si>
  <si>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</si>
  <si>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</si>
  <si>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</si>
  <si>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</si>
  <si>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</si>
  <si>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</si>
  <si>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</si>
  <si>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</si>
  <si>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</si>
  <si>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</si>
  <si>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</si>
  <si>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</si>
  <si>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</si>
  <si>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</si>
  <si>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</si>
  <si>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</si>
  <si>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</si>
  <si>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</si>
  <si>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</si>
  <si>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</si>
  <si>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</si>
  <si>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</si>
  <si>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</si>
  <si>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</si>
  <si>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</si>
  <si>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</si>
  <si>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</si>
  <si>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</si>
  <si>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</si>
  <si>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</si>
  <si>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</si>
  <si>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</si>
  <si>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</si>
  <si>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</si>
  <si>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</si>
  <si>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</si>
  <si>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</si>
  <si>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</si>
  <si>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</si>
  <si>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</si>
  <si>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</si>
  <si>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</si>
  <si>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</si>
  <si>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</si>
  <si>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</si>
  <si>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</si>
  <si>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</si>
  <si>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</si>
  <si>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</si>
  <si>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</si>
  <si>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</si>
  <si>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</si>
  <si>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</si>
  <si>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</si>
  <si>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</si>
  <si>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</si>
  <si>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</si>
  <si>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</si>
  <si>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</si>
  <si>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</si>
  <si>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</si>
  <si>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</si>
  <si>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</si>
  <si>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</si>
  <si>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</si>
  <si>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</si>
  <si>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</si>
  <si>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</si>
  <si>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</si>
  <si>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</si>
  <si>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</si>
  <si>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</si>
  <si>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</si>
  <si>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</si>
  <si>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</si>
  <si>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</si>
  <si>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</si>
  <si>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</si>
  <si>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</si>
  <si>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</si>
  <si>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</si>
  <si>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</si>
  <si>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</si>
  <si>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</si>
  <si>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</si>
  <si>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</si>
  <si>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</si>
  <si>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</si>
  <si>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</si>
  <si>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</si>
  <si>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</si>
  <si>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</si>
  <si>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</si>
  <si>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</si>
  <si>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</si>
  <si>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</si>
  <si>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</si>
  <si>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</si>
  <si>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</si>
  <si>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</si>
  <si>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</si>
  <si>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</si>
  <si>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</si>
  <si>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</si>
  <si>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</si>
  <si>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</si>
  <si>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</si>
  <si>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</si>
  <si>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</si>
  <si>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</si>
  <si>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</si>
  <si>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</si>
  <si>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</si>
  <si>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</si>
  <si>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</si>
  <si>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</si>
  <si>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</si>
  <si>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</si>
  <si>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</si>
  <si>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</si>
  <si>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</si>
  <si>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</si>
  <si>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</si>
  <si>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</si>
  <si>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</si>
  <si>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</si>
  <si>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</si>
  <si>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</si>
  <si>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</si>
  <si>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</si>
  <si>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</si>
  <si>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</si>
  <si>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</si>
  <si>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</si>
  <si>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</si>
  <si>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</si>
  <si>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</si>
  <si>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</si>
  <si>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</si>
  <si>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</si>
  <si>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</si>
  <si>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</si>
  <si>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</si>
  <si>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</si>
  <si>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noviembre</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</si>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</sst>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4" x14ac:knownFonts="1">
    <font>
      <sz val="10"/>
      <name val="Arial"/>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amily val="2"/>
    </font>
    <font>
      <b/>
      <sz val="11"/>
      <color rgb="FFFFFFFF"/>
      <name val="Calibri"/>
      <family val="2"/>
      <scheme val="minor"/>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right/>
      <top style="thin">
        <color indexed="64"/>
      </top>
      <bottom style="thin">
        <color indexed="64"/>
      </bottom>
      <diagonal/>
    </border>
  </borders>
  <cellStyleXfs count="6">
    <xf numFmtId="0" fontId="0" fillId="0" borderId="0"/>
    <xf numFmtId="0" fontId="7" fillId="0" borderId="0">
      <alignment vertical="top"/>
      <protection locked="0"/>
    </xf>
    <xf numFmtId="43" fontId="53" fillId="0" borderId="0"/>
    <xf numFmtId="0" fontId="112" fillId="0" borderId="0"/>
    <xf numFmtId="0" fontId="2" fillId="0" borderId="0"/>
    <xf numFmtId="0" fontId="1" fillId="0" borderId="0"/>
  </cellStyleXfs>
  <cellXfs count="1093">
    <xf numFmtId="0" fontId="0" fillId="0" borderId="0" xfId="0"/>
    <xf numFmtId="0" fontId="10" fillId="0" borderId="0" xfId="0" applyFont="1"/>
    <xf numFmtId="0" fontId="11" fillId="0" borderId="0" xfId="0" applyFont="1"/>
    <xf numFmtId="0" fontId="10" fillId="0" borderId="0" xfId="0" applyFont="1" applyAlignment="1">
      <alignment horizontal="left"/>
    </xf>
    <xf numFmtId="0" fontId="11" fillId="0" borderId="0" xfId="0" applyFont="1" applyAlignment="1">
      <alignment horizontal="center" vertical="center" wrapText="1"/>
    </xf>
    <xf numFmtId="1" fontId="10" fillId="0" borderId="0" xfId="0" applyNumberFormat="1" applyFont="1" applyAlignment="1">
      <alignment horizontal="right"/>
    </xf>
    <xf numFmtId="0" fontId="10" fillId="0" borderId="0" xfId="0" applyFont="1" applyAlignment="1">
      <alignment horizontal="left" vertical="top" wrapText="1"/>
    </xf>
    <xf numFmtId="0" fontId="11"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1" fillId="0" borderId="0" xfId="0" applyFont="1" applyAlignment="1">
      <alignment horizontal="justify" vertical="top" wrapText="1"/>
    </xf>
    <xf numFmtId="0" fontId="11" fillId="0" borderId="0" xfId="0" applyFont="1" applyAlignment="1">
      <alignment horizontal="justify"/>
    </xf>
    <xf numFmtId="166" fontId="11" fillId="0" borderId="0" xfId="0" applyNumberFormat="1" applyFont="1"/>
    <xf numFmtId="0" fontId="16" fillId="0" borderId="0" xfId="0" applyFont="1"/>
    <xf numFmtId="1" fontId="6" fillId="0" borderId="0" xfId="0" applyNumberFormat="1" applyFont="1" applyAlignment="1">
      <alignment horizontal="center"/>
    </xf>
    <xf numFmtId="2" fontId="12" fillId="0" borderId="0" xfId="0" applyNumberFormat="1" applyFont="1" applyAlignment="1">
      <alignment horizontal="right"/>
    </xf>
    <xf numFmtId="0" fontId="4" fillId="0" borderId="0" xfId="0" applyFont="1" applyAlignment="1">
      <alignment horizontal="center" vertical="center" wrapText="1"/>
    </xf>
    <xf numFmtId="0" fontId="13" fillId="0" borderId="0" xfId="0" applyFont="1" applyAlignment="1">
      <alignment horizontal="center" vertical="top" wrapText="1"/>
    </xf>
    <xf numFmtId="0" fontId="14" fillId="0" borderId="0" xfId="0" applyFont="1" applyAlignment="1">
      <alignment horizontal="center" vertical="top" wrapText="1"/>
    </xf>
    <xf numFmtId="0" fontId="17" fillId="0" borderId="0" xfId="0" applyFont="1" applyAlignment="1">
      <alignment vertical="top" wrapText="1"/>
    </xf>
    <xf numFmtId="0" fontId="6" fillId="0" borderId="0" xfId="0" applyFont="1" applyAlignment="1">
      <alignment vertical="top" wrapText="1"/>
    </xf>
    <xf numFmtId="0" fontId="6" fillId="0" borderId="0" xfId="0" applyFont="1" applyAlignment="1">
      <alignment horizontal="right" vertical="top" wrapText="1"/>
    </xf>
    <xf numFmtId="0" fontId="6" fillId="0" borderId="0" xfId="0" applyFont="1" applyAlignment="1">
      <alignment horizontal="left" vertical="top" wrapText="1"/>
    </xf>
    <xf numFmtId="0" fontId="0" fillId="0" borderId="0" xfId="0" applyAlignment="1">
      <alignment vertical="top" wrapText="1"/>
    </xf>
    <xf numFmtId="0" fontId="17" fillId="0" borderId="0" xfId="0" applyFont="1"/>
    <xf numFmtId="1" fontId="17" fillId="0" borderId="0" xfId="0" applyNumberFormat="1" applyFont="1"/>
    <xf numFmtId="0" fontId="17" fillId="0" borderId="0" xfId="0" applyFont="1" applyAlignment="1">
      <alignment horizontal="center"/>
    </xf>
    <xf numFmtId="1" fontId="13" fillId="0" borderId="0" xfId="0" applyNumberFormat="1" applyFont="1" applyAlignment="1">
      <alignment horizontal="right"/>
    </xf>
    <xf numFmtId="0" fontId="17" fillId="0" borderId="0" xfId="0" applyFont="1" applyAlignment="1" applyProtection="1">
      <alignment horizontal="left"/>
      <protection locked="0"/>
    </xf>
    <xf numFmtId="1" fontId="19" fillId="0" borderId="0" xfId="0" applyNumberFormat="1" applyFont="1" applyAlignment="1">
      <alignment vertical="center" wrapText="1"/>
    </xf>
    <xf numFmtId="49" fontId="17" fillId="0" borderId="0" xfId="0" applyNumberFormat="1" applyFont="1" applyAlignment="1">
      <alignment horizontal="center"/>
    </xf>
    <xf numFmtId="2" fontId="17" fillId="0" borderId="0" xfId="0" applyNumberFormat="1" applyFont="1" applyAlignment="1">
      <alignment horizontal="center"/>
    </xf>
    <xf numFmtId="2" fontId="17" fillId="0" borderId="0" xfId="2" applyNumberFormat="1" applyFont="1" applyAlignment="1">
      <alignment horizontal="center"/>
    </xf>
    <xf numFmtId="167" fontId="17" fillId="0" borderId="0" xfId="2" applyNumberFormat="1" applyFont="1" applyAlignment="1">
      <alignment horizontal="center"/>
    </xf>
    <xf numFmtId="1" fontId="0" fillId="0" borderId="0" xfId="0" applyNumberFormat="1"/>
    <xf numFmtId="0" fontId="10" fillId="0" borderId="0" xfId="0" applyFont="1" applyAlignment="1">
      <alignment horizontal="center"/>
    </xf>
    <xf numFmtId="0" fontId="10"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right"/>
    </xf>
    <xf numFmtId="0" fontId="11" fillId="0" borderId="0" xfId="0" applyFont="1" applyAlignment="1">
      <alignment horizontal="right" vertical="center" wrapText="1"/>
    </xf>
    <xf numFmtId="0" fontId="11" fillId="0" borderId="0" xfId="0" applyFont="1" applyAlignment="1">
      <alignment horizontal="left"/>
    </xf>
    <xf numFmtId="1" fontId="9" fillId="0" borderId="0" xfId="0" applyNumberFormat="1" applyFont="1" applyAlignment="1">
      <alignment horizontal="left" vertical="center" wrapText="1"/>
    </xf>
    <xf numFmtId="0" fontId="4" fillId="3" borderId="1" xfId="0" applyFont="1" applyFill="1" applyBorder="1" applyAlignment="1">
      <alignment horizontal="center" vertical="center" wrapText="1"/>
    </xf>
    <xf numFmtId="2" fontId="9" fillId="3" borderId="1" xfId="0" applyNumberFormat="1" applyFont="1" applyFill="1" applyBorder="1" applyAlignment="1">
      <alignment horizontal="center" vertical="center"/>
    </xf>
    <xf numFmtId="1" fontId="9" fillId="3" borderId="1" xfId="0" quotePrefix="1" applyNumberFormat="1" applyFont="1" applyFill="1" applyBorder="1" applyAlignment="1">
      <alignment horizontal="center" vertical="center"/>
    </xf>
    <xf numFmtId="0" fontId="6" fillId="0" borderId="0" xfId="0" applyFont="1" applyAlignment="1">
      <alignment horizontal="center" vertical="top" wrapText="1"/>
    </xf>
    <xf numFmtId="165" fontId="0" fillId="0" borderId="0" xfId="0" applyNumberFormat="1"/>
    <xf numFmtId="165" fontId="4" fillId="3" borderId="1" xfId="0" applyNumberFormat="1" applyFont="1" applyFill="1" applyBorder="1" applyAlignment="1">
      <alignment horizontal="center" vertical="center" wrapText="1"/>
    </xf>
    <xf numFmtId="0" fontId="11" fillId="0" borderId="0" xfId="0" applyFont="1" applyAlignment="1">
      <alignment horizontal="left" vertical="center" wrapText="1"/>
    </xf>
    <xf numFmtId="0" fontId="16" fillId="0" borderId="0" xfId="0" applyFont="1" applyAlignment="1">
      <alignment horizontal="left" vertical="top" wrapText="1"/>
    </xf>
    <xf numFmtId="0" fontId="6" fillId="0" borderId="0" xfId="0" applyFont="1" applyAlignment="1">
      <alignment horizontal="left" vertical="top" wrapText="1" shrinkToFit="1"/>
    </xf>
    <xf numFmtId="0" fontId="21" fillId="4" borderId="0" xfId="0" applyFont="1" applyFill="1" applyAlignment="1">
      <alignment horizontal="center"/>
    </xf>
    <xf numFmtId="0" fontId="24" fillId="4" borderId="0" xfId="0" applyFont="1" applyFill="1" applyAlignment="1">
      <alignment horizontal="left" vertical="center"/>
    </xf>
    <xf numFmtId="0" fontId="21" fillId="4" borderId="0" xfId="0" applyFont="1" applyFill="1" applyAlignment="1">
      <alignment horizontal="center" vertical="center"/>
    </xf>
    <xf numFmtId="0" fontId="9" fillId="0" borderId="0" xfId="0" applyFont="1" applyAlignment="1">
      <alignment horizontal="center" vertical="center" wrapText="1"/>
    </xf>
    <xf numFmtId="0" fontId="28" fillId="0" borderId="0" xfId="0" applyFont="1"/>
    <xf numFmtId="0" fontId="27" fillId="0" borderId="0" xfId="0" applyFont="1" applyAlignment="1">
      <alignment vertical="top" wrapText="1"/>
    </xf>
    <xf numFmtId="0" fontId="17"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9" fillId="0" borderId="0" xfId="0" applyFont="1"/>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vertical="center"/>
    </xf>
    <xf numFmtId="0" fontId="6" fillId="0" borderId="4" xfId="0" applyFont="1" applyBorder="1" applyAlignment="1">
      <alignment horizontal="right" vertical="top" wrapText="1"/>
    </xf>
    <xf numFmtId="1" fontId="4" fillId="0" borderId="0" xfId="0" applyNumberFormat="1" applyFont="1" applyAlignment="1">
      <alignment horizontal="center" vertical="top" wrapText="1"/>
    </xf>
    <xf numFmtId="0" fontId="4" fillId="0" borderId="0" xfId="0" applyFont="1"/>
    <xf numFmtId="0" fontId="6" fillId="0" borderId="0" xfId="0" applyFont="1"/>
    <xf numFmtId="0" fontId="29" fillId="0" borderId="1" xfId="0" applyFont="1" applyBorder="1" applyAlignment="1">
      <alignment horizontal="center" vertical="center" wrapText="1"/>
    </xf>
    <xf numFmtId="166" fontId="6" fillId="0" borderId="0" xfId="0" applyNumberFormat="1" applyFont="1" applyAlignment="1">
      <alignment horizontal="left"/>
    </xf>
    <xf numFmtId="1" fontId="34" fillId="0" borderId="0" xfId="0" applyNumberFormat="1" applyFont="1" applyAlignment="1">
      <alignment horizontal="center"/>
    </xf>
    <xf numFmtId="2" fontId="9" fillId="0" borderId="0" xfId="0" applyNumberFormat="1" applyFont="1" applyAlignment="1">
      <alignment horizontal="center" vertical="center"/>
    </xf>
    <xf numFmtId="165" fontId="9" fillId="0" borderId="0" xfId="0" applyNumberFormat="1" applyFont="1" applyAlignment="1">
      <alignment horizontal="center" vertical="center"/>
    </xf>
    <xf numFmtId="1" fontId="9" fillId="0" borderId="0" xfId="0" quotePrefix="1" applyNumberFormat="1" applyFont="1" applyAlignment="1">
      <alignment horizontal="center" vertical="center"/>
    </xf>
    <xf numFmtId="0" fontId="43" fillId="5" borderId="5" xfId="0" applyFont="1" applyFill="1" applyBorder="1" applyAlignment="1">
      <alignment horizontal="left"/>
    </xf>
    <xf numFmtId="0" fontId="43" fillId="5" borderId="6" xfId="0" applyFont="1" applyFill="1" applyBorder="1" applyAlignment="1">
      <alignment horizontal="left"/>
    </xf>
    <xf numFmtId="0" fontId="0" fillId="0" borderId="0" xfId="0" applyAlignment="1">
      <alignment horizontal="center" vertical="top" wrapText="1"/>
    </xf>
    <xf numFmtId="0" fontId="45" fillId="5" borderId="7" xfId="0" applyFont="1" applyFill="1" applyBorder="1"/>
    <xf numFmtId="1" fontId="45" fillId="5" borderId="0" xfId="0" applyNumberFormat="1" applyFont="1" applyFill="1"/>
    <xf numFmtId="165" fontId="43" fillId="5" borderId="0" xfId="0" applyNumberFormat="1" applyFont="1" applyFill="1"/>
    <xf numFmtId="1" fontId="43" fillId="5" borderId="8" xfId="0" applyNumberFormat="1" applyFont="1" applyFill="1" applyBorder="1"/>
    <xf numFmtId="0" fontId="43" fillId="5" borderId="9" xfId="0" applyFont="1" applyFill="1" applyBorder="1" applyAlignment="1">
      <alignment horizontal="right"/>
    </xf>
    <xf numFmtId="1" fontId="43" fillId="5" borderId="10" xfId="0" applyNumberFormat="1" applyFont="1" applyFill="1" applyBorder="1" applyAlignment="1">
      <alignment horizontal="right"/>
    </xf>
    <xf numFmtId="0" fontId="43" fillId="5" borderId="11" xfId="0" applyFont="1" applyFill="1" applyBorder="1" applyAlignment="1">
      <alignment horizontal="right"/>
    </xf>
    <xf numFmtId="1" fontId="43" fillId="5" borderId="9" xfId="0" applyNumberFormat="1" applyFont="1" applyFill="1" applyBorder="1" applyAlignment="1">
      <alignment horizontal="right"/>
    </xf>
    <xf numFmtId="165" fontId="43" fillId="5" borderId="10" xfId="0" applyNumberFormat="1" applyFont="1" applyFill="1" applyBorder="1" applyAlignment="1">
      <alignment horizontal="right"/>
    </xf>
    <xf numFmtId="1" fontId="43" fillId="5" borderId="6" xfId="0" applyNumberFormat="1" applyFont="1" applyFill="1" applyBorder="1" applyAlignment="1">
      <alignment horizontal="left"/>
    </xf>
    <xf numFmtId="1" fontId="5" fillId="5" borderId="6" xfId="0" applyNumberFormat="1" applyFont="1" applyFill="1" applyBorder="1" applyAlignment="1">
      <alignment horizontal="left"/>
    </xf>
    <xf numFmtId="1" fontId="43" fillId="5" borderId="5" xfId="0" applyNumberFormat="1" applyFont="1" applyFill="1" applyBorder="1" applyAlignment="1">
      <alignment horizontal="right"/>
    </xf>
    <xf numFmtId="165" fontId="45" fillId="5" borderId="0" xfId="0" applyNumberFormat="1" applyFont="1" applyFill="1"/>
    <xf numFmtId="1" fontId="45" fillId="5" borderId="8" xfId="0" applyNumberFormat="1" applyFont="1" applyFill="1" applyBorder="1"/>
    <xf numFmtId="0" fontId="43" fillId="5" borderId="12" xfId="0" applyFont="1" applyFill="1" applyBorder="1"/>
    <xf numFmtId="1" fontId="45" fillId="5" borderId="13" xfId="0" applyNumberFormat="1" applyFont="1" applyFill="1" applyBorder="1"/>
    <xf numFmtId="165" fontId="45" fillId="5" borderId="13" xfId="0" applyNumberFormat="1" applyFont="1" applyFill="1" applyBorder="1"/>
    <xf numFmtId="1" fontId="45" fillId="5" borderId="14" xfId="0" applyNumberFormat="1" applyFont="1" applyFill="1" applyBorder="1"/>
    <xf numFmtId="0" fontId="41" fillId="2" borderId="1" xfId="0" applyFont="1" applyFill="1" applyBorder="1" applyAlignment="1" applyProtection="1">
      <alignment horizontal="center" vertical="center"/>
      <protection locked="0"/>
    </xf>
    <xf numFmtId="1" fontId="41" fillId="2" borderId="9" xfId="0" applyNumberFormat="1" applyFont="1" applyFill="1" applyBorder="1" applyAlignment="1" applyProtection="1">
      <alignment horizontal="center" vertical="center"/>
      <protection locked="0"/>
    </xf>
    <xf numFmtId="0" fontId="5"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2" fontId="4" fillId="0" borderId="0" xfId="2" applyNumberFormat="1" applyFont="1"/>
    <xf numFmtId="168" fontId="4" fillId="0" borderId="0" xfId="2" applyNumberFormat="1" applyFont="1"/>
    <xf numFmtId="0" fontId="13" fillId="0" borderId="0" xfId="0" applyFont="1" applyAlignment="1">
      <alignment horizontal="left"/>
    </xf>
    <xf numFmtId="0" fontId="47" fillId="0" borderId="0" xfId="0" applyFont="1"/>
    <xf numFmtId="1" fontId="49" fillId="0" borderId="0" xfId="0" applyNumberFormat="1" applyFont="1" applyAlignment="1">
      <alignment vertical="center" wrapText="1"/>
    </xf>
    <xf numFmtId="1" fontId="47" fillId="0" borderId="0" xfId="0" applyNumberFormat="1" applyFont="1"/>
    <xf numFmtId="1" fontId="48" fillId="0" borderId="0" xfId="0" applyNumberFormat="1" applyFont="1" applyAlignment="1">
      <alignment horizontal="right"/>
    </xf>
    <xf numFmtId="0" fontId="47" fillId="0" borderId="0" xfId="0" applyFont="1" applyAlignment="1">
      <alignment horizontal="center"/>
    </xf>
    <xf numFmtId="2" fontId="47" fillId="0" borderId="0" xfId="0" applyNumberFormat="1" applyFont="1" applyAlignment="1">
      <alignment horizontal="center"/>
    </xf>
    <xf numFmtId="2" fontId="47" fillId="0" borderId="0" xfId="2" applyNumberFormat="1" applyFont="1" applyAlignment="1">
      <alignment horizontal="center"/>
    </xf>
    <xf numFmtId="167" fontId="47" fillId="0" borderId="0" xfId="2" applyNumberFormat="1" applyFont="1" applyAlignment="1">
      <alignment horizontal="center"/>
    </xf>
    <xf numFmtId="1" fontId="48" fillId="0" borderId="0" xfId="0" applyNumberFormat="1" applyFont="1"/>
    <xf numFmtId="169" fontId="47" fillId="0" borderId="0" xfId="0" applyNumberFormat="1" applyFont="1" applyAlignment="1">
      <alignment horizontal="left"/>
    </xf>
    <xf numFmtId="2" fontId="47" fillId="0" borderId="0" xfId="2" applyNumberFormat="1" applyFont="1"/>
    <xf numFmtId="168" fontId="47" fillId="0" borderId="0" xfId="2" applyNumberFormat="1" applyFont="1"/>
    <xf numFmtId="0" fontId="48" fillId="0" borderId="0" xfId="0" applyFont="1" applyAlignment="1">
      <alignment horizontal="center"/>
    </xf>
    <xf numFmtId="0" fontId="48" fillId="0" borderId="0" xfId="0" applyFont="1"/>
    <xf numFmtId="1" fontId="15"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4" fillId="0" borderId="0" xfId="0" applyFont="1" applyAlignment="1">
      <alignment horizontal="left" vertical="top" wrapText="1"/>
    </xf>
    <xf numFmtId="1" fontId="0" fillId="0" borderId="7" xfId="0" applyNumberFormat="1" applyBorder="1"/>
    <xf numFmtId="170" fontId="4" fillId="0" borderId="0" xfId="0" applyNumberFormat="1" applyFont="1"/>
    <xf numFmtId="165" fontId="4" fillId="0" borderId="0" xfId="0" applyNumberFormat="1" applyFont="1"/>
    <xf numFmtId="165" fontId="41" fillId="0" borderId="0" xfId="0" applyNumberFormat="1" applyFont="1"/>
    <xf numFmtId="1" fontId="42" fillId="0" borderId="0" xfId="0" applyNumberFormat="1" applyFont="1"/>
    <xf numFmtId="0" fontId="42" fillId="0" borderId="0" xfId="0" applyFont="1"/>
    <xf numFmtId="0" fontId="42" fillId="0" borderId="0" xfId="0" applyFont="1" applyAlignment="1">
      <alignment horizontal="center"/>
    </xf>
    <xf numFmtId="2" fontId="42" fillId="0" borderId="0" xfId="0" applyNumberFormat="1" applyFont="1" applyAlignment="1">
      <alignment horizontal="center"/>
    </xf>
    <xf numFmtId="2" fontId="42" fillId="0" borderId="0" xfId="2" applyNumberFormat="1" applyFont="1" applyAlignment="1">
      <alignment horizontal="center"/>
    </xf>
    <xf numFmtId="167" fontId="42" fillId="0" borderId="0" xfId="2" applyNumberFormat="1" applyFont="1" applyAlignment="1">
      <alignment horizontal="center"/>
    </xf>
    <xf numFmtId="0" fontId="43" fillId="5" borderId="7" xfId="0" applyFont="1" applyFill="1" applyBorder="1" applyAlignment="1">
      <alignment horizontal="right" vertical="center"/>
    </xf>
    <xf numFmtId="0" fontId="43" fillId="5" borderId="0" xfId="0" applyFont="1" applyFill="1" applyAlignment="1">
      <alignment vertical="center"/>
    </xf>
    <xf numFmtId="0" fontId="43" fillId="5" borderId="15" xfId="0" applyFont="1" applyFill="1" applyBorder="1" applyAlignment="1">
      <alignment horizontal="right" vertical="center"/>
    </xf>
    <xf numFmtId="0" fontId="43" fillId="5" borderId="16" xfId="0" applyFont="1" applyFill="1" applyBorder="1" applyAlignment="1">
      <alignment vertical="center"/>
    </xf>
    <xf numFmtId="0" fontId="45" fillId="5" borderId="17" xfId="0" applyFont="1" applyFill="1" applyBorder="1" applyAlignment="1">
      <alignment vertical="center"/>
    </xf>
    <xf numFmtId="0" fontId="45" fillId="5" borderId="4" xfId="0" quotePrefix="1" applyFont="1" applyFill="1" applyBorder="1" applyAlignment="1">
      <alignment vertical="center"/>
    </xf>
    <xf numFmtId="0" fontId="45" fillId="5" borderId="18" xfId="0" applyFont="1" applyFill="1" applyBorder="1" applyAlignment="1">
      <alignment vertical="center"/>
    </xf>
    <xf numFmtId="1" fontId="43" fillId="5" borderId="15" xfId="0" applyNumberFormat="1" applyFont="1" applyFill="1" applyBorder="1" applyAlignment="1">
      <alignment horizontal="right" vertical="center"/>
    </xf>
    <xf numFmtId="0" fontId="43" fillId="5" borderId="19" xfId="0" applyFont="1" applyFill="1" applyBorder="1" applyAlignment="1">
      <alignment horizontal="right" vertical="center"/>
    </xf>
    <xf numFmtId="1" fontId="43" fillId="5" borderId="20" xfId="0" applyNumberFormat="1" applyFont="1" applyFill="1" applyBorder="1" applyAlignment="1">
      <alignment horizontal="center" vertical="center"/>
    </xf>
    <xf numFmtId="0" fontId="45" fillId="5" borderId="21" xfId="0" applyFont="1" applyFill="1" applyBorder="1" applyAlignment="1">
      <alignment vertical="center"/>
    </xf>
    <xf numFmtId="0" fontId="43" fillId="5" borderId="22" xfId="0" applyFont="1" applyFill="1" applyBorder="1" applyAlignment="1">
      <alignment horizontal="right" vertical="center"/>
    </xf>
    <xf numFmtId="1" fontId="43" fillId="5" borderId="23" xfId="0" applyNumberFormat="1" applyFont="1" applyFill="1" applyBorder="1" applyAlignment="1">
      <alignment horizontal="left" vertical="center"/>
    </xf>
    <xf numFmtId="1" fontId="43" fillId="5" borderId="24" xfId="0" applyNumberFormat="1" applyFont="1" applyFill="1" applyBorder="1" applyAlignment="1">
      <alignment horizontal="right" vertical="center"/>
    </xf>
    <xf numFmtId="0" fontId="43" fillId="5" borderId="25" xfId="0" applyFont="1" applyFill="1" applyBorder="1" applyAlignment="1">
      <alignment vertical="center"/>
    </xf>
    <xf numFmtId="0" fontId="43" fillId="5" borderId="26" xfId="0" applyFont="1" applyFill="1" applyBorder="1" applyAlignment="1">
      <alignment horizontal="right" vertical="center"/>
    </xf>
    <xf numFmtId="1" fontId="43" fillId="5" borderId="27" xfId="0" applyNumberFormat="1" applyFont="1" applyFill="1" applyBorder="1" applyAlignment="1">
      <alignment horizontal="center" vertical="center"/>
    </xf>
    <xf numFmtId="0" fontId="45" fillId="5" borderId="28" xfId="0" applyFont="1" applyFill="1" applyBorder="1" applyAlignment="1">
      <alignment vertical="center"/>
    </xf>
    <xf numFmtId="165" fontId="42" fillId="0" borderId="0" xfId="0" applyNumberFormat="1" applyFont="1"/>
    <xf numFmtId="0" fontId="4" fillId="0" borderId="0" xfId="0" applyFont="1" applyAlignment="1">
      <alignment horizontal="right"/>
    </xf>
    <xf numFmtId="1" fontId="4" fillId="0" borderId="0" xfId="0" applyNumberFormat="1" applyFont="1" applyAlignment="1">
      <alignment horizontal="left"/>
    </xf>
    <xf numFmtId="1" fontId="4" fillId="0" borderId="0" xfId="0" applyNumberFormat="1" applyFont="1" applyAlignment="1">
      <alignment horizontal="right"/>
    </xf>
    <xf numFmtId="1" fontId="4" fillId="0" borderId="0" xfId="0" applyNumberFormat="1" applyFont="1" applyAlignment="1">
      <alignment horizontal="center"/>
    </xf>
    <xf numFmtId="0" fontId="42" fillId="5" borderId="8" xfId="0" applyFont="1" applyFill="1" applyBorder="1"/>
    <xf numFmtId="1" fontId="42" fillId="5" borderId="0" xfId="0" applyNumberFormat="1" applyFont="1" applyFill="1" applyAlignment="1">
      <alignment horizontal="left" vertical="top" wrapText="1"/>
    </xf>
    <xf numFmtId="1" fontId="42" fillId="5" borderId="8" xfId="0" applyNumberFormat="1" applyFont="1" applyFill="1" applyBorder="1" applyAlignment="1">
      <alignment horizontal="left" vertical="top" wrapText="1"/>
    </xf>
    <xf numFmtId="1" fontId="26"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4" fillId="5" borderId="14" xfId="0" applyFont="1" applyFill="1" applyBorder="1" applyAlignment="1">
      <alignment horizontal="left" vertical="top" wrapText="1"/>
    </xf>
    <xf numFmtId="165" fontId="4" fillId="0" borderId="0" xfId="0" applyNumberFormat="1" applyFont="1" applyAlignment="1">
      <alignment horizontal="left" vertical="top" wrapText="1"/>
    </xf>
    <xf numFmtId="0" fontId="31" fillId="0" borderId="0" xfId="0" applyFont="1" applyAlignment="1">
      <alignment horizontal="left" vertical="top" wrapText="1"/>
    </xf>
    <xf numFmtId="0" fontId="31" fillId="0" borderId="0" xfId="0" applyFont="1"/>
    <xf numFmtId="0" fontId="11" fillId="0" borderId="0" xfId="0" applyFont="1" applyAlignment="1">
      <alignment horizontal="left" vertical="top" wrapText="1"/>
    </xf>
    <xf numFmtId="172" fontId="4" fillId="0" borderId="0" xfId="0" applyNumberFormat="1" applyFont="1" applyAlignment="1">
      <alignment horizontal="center"/>
    </xf>
    <xf numFmtId="0" fontId="4" fillId="0" borderId="0" xfId="0" applyFont="1" applyAlignment="1">
      <alignment horizontal="left"/>
    </xf>
    <xf numFmtId="49" fontId="4" fillId="0" borderId="0" xfId="0" applyNumberFormat="1" applyFont="1" applyAlignment="1">
      <alignment horizontal="center"/>
    </xf>
    <xf numFmtId="2" fontId="4" fillId="0" borderId="0" xfId="0" applyNumberFormat="1" applyFont="1" applyAlignment="1">
      <alignment horizontal="center"/>
    </xf>
    <xf numFmtId="2" fontId="4" fillId="0" borderId="0" xfId="2" applyNumberFormat="1" applyFont="1" applyAlignment="1">
      <alignment horizontal="center"/>
    </xf>
    <xf numFmtId="167" fontId="4" fillId="0" borderId="0" xfId="2" applyNumberFormat="1" applyFont="1" applyAlignment="1">
      <alignment horizontal="center"/>
    </xf>
    <xf numFmtId="0" fontId="18" fillId="0" borderId="0" xfId="0" applyFont="1" applyAlignment="1">
      <alignment horizontal="left" vertical="top" wrapText="1"/>
    </xf>
    <xf numFmtId="0" fontId="18" fillId="0" borderId="0" xfId="0" applyFont="1"/>
    <xf numFmtId="0" fontId="32" fillId="0" borderId="0" xfId="0" applyFont="1"/>
    <xf numFmtId="0" fontId="33" fillId="0" borderId="0" xfId="0" applyFont="1"/>
    <xf numFmtId="2" fontId="0" fillId="0" borderId="0" xfId="2" applyNumberFormat="1" applyFont="1"/>
    <xf numFmtId="168" fontId="0" fillId="0" borderId="0" xfId="2" applyNumberFormat="1" applyFont="1"/>
    <xf numFmtId="0" fontId="22" fillId="0" borderId="0" xfId="0" applyFont="1" applyAlignment="1">
      <alignment horizontal="center" vertical="top" wrapText="1"/>
    </xf>
    <xf numFmtId="0" fontId="22" fillId="0" borderId="0" xfId="0" applyFont="1" applyAlignment="1">
      <alignment horizontal="center"/>
    </xf>
    <xf numFmtId="0" fontId="34" fillId="0" borderId="0" xfId="0" applyFont="1" applyAlignment="1">
      <alignment horizontal="center"/>
    </xf>
    <xf numFmtId="0" fontId="20" fillId="0" borderId="0" xfId="0" applyFont="1" applyAlignment="1">
      <alignment horizontal="center"/>
    </xf>
    <xf numFmtId="0" fontId="38"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4" fillId="0" borderId="0" xfId="0" applyNumberFormat="1" applyFont="1" applyAlignment="1">
      <alignment horizontal="left" vertical="top" wrapText="1"/>
    </xf>
    <xf numFmtId="1" fontId="4" fillId="0" borderId="0" xfId="0" applyNumberFormat="1" applyFont="1"/>
    <xf numFmtId="0" fontId="5" fillId="0" borderId="22" xfId="0" applyFont="1" applyBorder="1" applyAlignment="1">
      <alignment horizontal="center"/>
    </xf>
    <xf numFmtId="0" fontId="5" fillId="0" borderId="23" xfId="0" applyFont="1" applyBorder="1" applyAlignment="1">
      <alignment horizontal="center"/>
    </xf>
    <xf numFmtId="0" fontId="9" fillId="0" borderId="0" xfId="0" applyFont="1" applyAlignment="1">
      <alignment horizontal="center" vertical="center"/>
    </xf>
    <xf numFmtId="0" fontId="9" fillId="3" borderId="1" xfId="0" applyFont="1" applyFill="1" applyBorder="1" applyAlignment="1">
      <alignment horizontal="center" vertical="center"/>
    </xf>
    <xf numFmtId="165" fontId="9" fillId="0" borderId="0" xfId="0" quotePrefix="1" applyNumberFormat="1" applyFont="1" applyAlignment="1">
      <alignment horizontal="center" vertical="center"/>
    </xf>
    <xf numFmtId="164" fontId="9" fillId="0" borderId="0" xfId="0" applyNumberFormat="1" applyFont="1" applyAlignment="1">
      <alignment horizontal="center" vertical="center"/>
    </xf>
    <xf numFmtId="0" fontId="9" fillId="0" borderId="0" xfId="0" quotePrefix="1" applyFont="1" applyAlignment="1">
      <alignment horizontal="center" vertical="center"/>
    </xf>
    <xf numFmtId="0" fontId="9" fillId="0" borderId="13" xfId="0" applyFont="1" applyBorder="1" applyAlignment="1">
      <alignment horizontal="center" vertical="center"/>
    </xf>
    <xf numFmtId="0" fontId="0" fillId="0" borderId="23" xfId="0" applyBorder="1"/>
    <xf numFmtId="165" fontId="11"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2" fillId="6" borderId="30" xfId="0" applyNumberFormat="1" applyFont="1" applyFill="1" applyBorder="1" applyAlignment="1">
      <alignment horizontal="center"/>
    </xf>
    <xf numFmtId="1" fontId="42" fillId="7" borderId="31" xfId="0" applyNumberFormat="1" applyFont="1" applyFill="1" applyBorder="1" applyAlignment="1">
      <alignment horizontal="center" vertical="center" wrapText="1"/>
    </xf>
    <xf numFmtId="1" fontId="42"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1" fillId="7" borderId="9" xfId="0" applyFont="1" applyFill="1" applyBorder="1" applyAlignment="1">
      <alignment horizontal="center" vertical="center"/>
    </xf>
    <xf numFmtId="0" fontId="51" fillId="0" borderId="0" xfId="0" applyFont="1" applyAlignment="1">
      <alignment horizontal="center" vertical="top" wrapText="1"/>
    </xf>
    <xf numFmtId="0" fontId="11" fillId="0" borderId="0" xfId="0" applyFont="1" applyAlignment="1">
      <alignment horizontal="right"/>
    </xf>
    <xf numFmtId="0" fontId="0" fillId="0" borderId="0" xfId="0" applyAlignment="1">
      <alignment vertical="top"/>
    </xf>
    <xf numFmtId="0" fontId="6"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6" fillId="0" borderId="34" xfId="0" applyFont="1" applyBorder="1" applyAlignment="1">
      <alignment horizontal="center" vertical="top" wrapText="1"/>
    </xf>
    <xf numFmtId="1" fontId="45" fillId="5" borderId="23" xfId="0" applyNumberFormat="1" applyFont="1" applyFill="1" applyBorder="1"/>
    <xf numFmtId="166" fontId="6" fillId="0" borderId="0" xfId="0" applyNumberFormat="1" applyFont="1" applyAlignment="1" applyProtection="1">
      <alignment horizontal="left" vertical="top" wrapText="1"/>
      <protection locked="0"/>
    </xf>
    <xf numFmtId="1" fontId="43" fillId="5" borderId="35" xfId="0" applyNumberFormat="1" applyFont="1" applyFill="1" applyBorder="1" applyAlignment="1">
      <alignment horizontal="right"/>
    </xf>
    <xf numFmtId="1" fontId="43" fillId="5" borderId="36" xfId="0" applyNumberFormat="1" applyFont="1" applyFill="1" applyBorder="1" applyAlignment="1">
      <alignment horizontal="right"/>
    </xf>
    <xf numFmtId="49" fontId="0" fillId="0" borderId="0" xfId="0" applyNumberFormat="1" applyAlignment="1">
      <alignment horizontal="center" vertical="top" wrapText="1"/>
    </xf>
    <xf numFmtId="0" fontId="6" fillId="0" borderId="7" xfId="0" applyFont="1" applyBorder="1" applyAlignment="1">
      <alignment horizontal="center" vertical="top" wrapText="1"/>
    </xf>
    <xf numFmtId="0" fontId="6"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7" fillId="0" borderId="0" xfId="0" applyFont="1" applyAlignment="1">
      <alignment horizontal="center" vertical="top" wrapText="1"/>
    </xf>
    <xf numFmtId="0" fontId="0" fillId="9" borderId="0" xfId="0" applyFill="1"/>
    <xf numFmtId="0" fontId="43" fillId="0" borderId="0" xfId="0" applyFont="1" applyAlignment="1">
      <alignment horizontal="right" vertical="center"/>
    </xf>
    <xf numFmtId="1" fontId="43" fillId="0" borderId="0" xfId="0" applyNumberFormat="1" applyFont="1" applyAlignment="1">
      <alignment horizontal="left" vertical="center"/>
    </xf>
    <xf numFmtId="1" fontId="43" fillId="0" borderId="0" xfId="0" applyNumberFormat="1" applyFont="1" applyAlignment="1">
      <alignment horizontal="right" vertical="center"/>
    </xf>
    <xf numFmtId="0" fontId="43" fillId="0" borderId="0" xfId="0" applyFont="1" applyAlignment="1">
      <alignment vertical="center"/>
    </xf>
    <xf numFmtId="1" fontId="43" fillId="0" borderId="0" xfId="0" applyNumberFormat="1" applyFont="1" applyAlignment="1">
      <alignment horizontal="center" vertical="center"/>
    </xf>
    <xf numFmtId="0" fontId="45" fillId="0" borderId="0" xfId="0" applyFont="1" applyAlignment="1">
      <alignment vertical="center"/>
    </xf>
    <xf numFmtId="0" fontId="42" fillId="0" borderId="1" xfId="0" applyFont="1" applyBorder="1" applyAlignment="1">
      <alignment horizontal="center"/>
    </xf>
    <xf numFmtId="3" fontId="42" fillId="0" borderId="1" xfId="0" applyNumberFormat="1" applyFont="1" applyBorder="1" applyAlignment="1">
      <alignment horizontal="center"/>
    </xf>
    <xf numFmtId="49" fontId="42" fillId="0" borderId="1" xfId="0" applyNumberFormat="1" applyFont="1" applyBorder="1" applyAlignment="1">
      <alignment horizontal="center"/>
    </xf>
    <xf numFmtId="0" fontId="42" fillId="0" borderId="38" xfId="0" applyFont="1" applyBorder="1" applyAlignment="1">
      <alignment horizontal="center"/>
    </xf>
    <xf numFmtId="0" fontId="42" fillId="0" borderId="39" xfId="0" applyFont="1" applyBorder="1" applyAlignment="1">
      <alignment horizontal="center"/>
    </xf>
    <xf numFmtId="0" fontId="42" fillId="0" borderId="40" xfId="0" applyFont="1" applyBorder="1" applyAlignment="1">
      <alignment horizontal="center"/>
    </xf>
    <xf numFmtId="0" fontId="42" fillId="0" borderId="2" xfId="0" applyFont="1" applyBorder="1" applyAlignment="1">
      <alignment horizontal="center"/>
    </xf>
    <xf numFmtId="49" fontId="42" fillId="0" borderId="2" xfId="0" applyNumberFormat="1" applyFont="1" applyBorder="1" applyAlignment="1">
      <alignment horizontal="center"/>
    </xf>
    <xf numFmtId="0" fontId="42" fillId="0" borderId="41" xfId="0" applyFont="1" applyBorder="1" applyAlignment="1">
      <alignment horizontal="center"/>
    </xf>
    <xf numFmtId="0" fontId="54" fillId="5" borderId="42" xfId="0" applyFont="1" applyFill="1" applyBorder="1" applyAlignment="1">
      <alignment horizontal="center" vertical="center"/>
    </xf>
    <xf numFmtId="0" fontId="54" fillId="5" borderId="31" xfId="0" applyFont="1" applyFill="1" applyBorder="1" applyAlignment="1">
      <alignment horizontal="center" vertical="center"/>
    </xf>
    <xf numFmtId="0" fontId="54" fillId="5" borderId="43" xfId="0" applyFont="1" applyFill="1" applyBorder="1" applyAlignment="1">
      <alignment horizontal="center" vertical="center"/>
    </xf>
    <xf numFmtId="1" fontId="41" fillId="2" borderId="35" xfId="0" quotePrefix="1" applyNumberFormat="1" applyFont="1" applyFill="1" applyBorder="1" applyAlignment="1" applyProtection="1">
      <alignment horizontal="center" vertical="center"/>
      <protection locked="0"/>
    </xf>
    <xf numFmtId="0" fontId="39" fillId="0" borderId="0" xfId="0" applyFont="1"/>
    <xf numFmtId="1" fontId="41" fillId="2" borderId="36" xfId="0" applyNumberFormat="1" applyFont="1" applyFill="1" applyBorder="1" applyAlignment="1" applyProtection="1">
      <alignment horizontal="center" vertical="center"/>
      <protection locked="0"/>
    </xf>
    <xf numFmtId="0" fontId="41" fillId="2" borderId="9" xfId="0" applyFont="1" applyFill="1" applyBorder="1" applyAlignment="1" applyProtection="1">
      <alignment horizontal="center" vertical="center"/>
      <protection locked="0"/>
    </xf>
    <xf numFmtId="0" fontId="41" fillId="10" borderId="28" xfId="0" applyFont="1" applyFill="1" applyBorder="1" applyAlignment="1">
      <alignment horizontal="left" vertical="center"/>
    </xf>
    <xf numFmtId="0" fontId="43" fillId="7" borderId="30" xfId="0" applyFont="1" applyFill="1" applyBorder="1"/>
    <xf numFmtId="0" fontId="43" fillId="7" borderId="37" xfId="0" applyFont="1" applyFill="1" applyBorder="1"/>
    <xf numFmtId="0" fontId="43" fillId="7" borderId="36" xfId="0" applyFont="1" applyFill="1" applyBorder="1"/>
    <xf numFmtId="0" fontId="56" fillId="3" borderId="1" xfId="0" applyFont="1" applyFill="1" applyBorder="1" applyAlignment="1">
      <alignment horizontal="center" vertical="center" wrapText="1"/>
    </xf>
    <xf numFmtId="165" fontId="56"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9" fillId="0" borderId="44" xfId="0" applyFont="1" applyBorder="1" applyAlignment="1">
      <alignment horizontal="center" vertical="center"/>
    </xf>
    <xf numFmtId="1" fontId="55" fillId="4" borderId="13" xfId="0" applyNumberFormat="1" applyFont="1" applyFill="1" applyBorder="1" applyAlignment="1">
      <alignment horizontal="left"/>
    </xf>
    <xf numFmtId="165" fontId="39" fillId="4" borderId="13" xfId="0" applyNumberFormat="1" applyFont="1" applyFill="1" applyBorder="1"/>
    <xf numFmtId="1" fontId="39" fillId="4" borderId="13" xfId="0" applyNumberFormat="1" applyFont="1" applyFill="1" applyBorder="1"/>
    <xf numFmtId="1" fontId="39" fillId="4" borderId="14" xfId="0" applyNumberFormat="1" applyFont="1" applyFill="1" applyBorder="1"/>
    <xf numFmtId="0" fontId="57" fillId="4" borderId="7" xfId="0" applyFont="1" applyFill="1" applyBorder="1" applyAlignment="1">
      <alignment horizontal="right"/>
    </xf>
    <xf numFmtId="1" fontId="39" fillId="4" borderId="0" xfId="0" applyNumberFormat="1" applyFont="1" applyFill="1"/>
    <xf numFmtId="165" fontId="39" fillId="4" borderId="0" xfId="0" applyNumberFormat="1" applyFont="1" applyFill="1"/>
    <xf numFmtId="1" fontId="39" fillId="4" borderId="8" xfId="0" applyNumberFormat="1" applyFont="1" applyFill="1" applyBorder="1"/>
    <xf numFmtId="1" fontId="39" fillId="4" borderId="23" xfId="0" applyNumberFormat="1" applyFont="1" applyFill="1" applyBorder="1"/>
    <xf numFmtId="165" fontId="39" fillId="4" borderId="23" xfId="0" applyNumberFormat="1" applyFont="1" applyFill="1" applyBorder="1"/>
    <xf numFmtId="0" fontId="41" fillId="4" borderId="42" xfId="0" applyFont="1" applyFill="1" applyBorder="1" applyAlignment="1">
      <alignment horizontal="center" vertical="center" wrapText="1"/>
    </xf>
    <xf numFmtId="1" fontId="58" fillId="4" borderId="9" xfId="0" applyNumberFormat="1" applyFont="1" applyFill="1" applyBorder="1" applyAlignment="1">
      <alignment horizontal="center" vertical="center" wrapText="1"/>
    </xf>
    <xf numFmtId="0" fontId="41" fillId="4" borderId="7" xfId="0" applyFont="1" applyFill="1" applyBorder="1" applyAlignment="1">
      <alignment horizontal="right" vertical="center"/>
    </xf>
    <xf numFmtId="1" fontId="59" fillId="4" borderId="6" xfId="0" applyNumberFormat="1" applyFont="1" applyFill="1" applyBorder="1" applyAlignment="1">
      <alignment horizontal="center" vertical="center" wrapText="1"/>
    </xf>
    <xf numFmtId="0" fontId="41" fillId="4" borderId="7" xfId="0" applyFont="1" applyFill="1" applyBorder="1"/>
    <xf numFmtId="0" fontId="42" fillId="4" borderId="7" xfId="0" applyFont="1" applyFill="1" applyBorder="1"/>
    <xf numFmtId="1" fontId="42" fillId="4" borderId="0" xfId="0" applyNumberFormat="1" applyFont="1" applyFill="1"/>
    <xf numFmtId="0" fontId="41" fillId="4" borderId="0" xfId="0" applyFont="1" applyFill="1" applyAlignment="1">
      <alignment horizontal="right"/>
    </xf>
    <xf numFmtId="1" fontId="41" fillId="4" borderId="13" xfId="0" applyNumberFormat="1" applyFont="1" applyFill="1" applyBorder="1" applyAlignment="1">
      <alignment horizontal="right"/>
    </xf>
    <xf numFmtId="1" fontId="41" fillId="4" borderId="42" xfId="0" applyNumberFormat="1" applyFont="1" applyFill="1" applyBorder="1" applyAlignment="1">
      <alignment horizontal="center" vertical="center"/>
    </xf>
    <xf numFmtId="1" fontId="41" fillId="4" borderId="31" xfId="0" applyNumberFormat="1" applyFont="1" applyFill="1" applyBorder="1" applyAlignment="1">
      <alignment horizontal="center" vertical="center"/>
    </xf>
    <xf numFmtId="1" fontId="41" fillId="2" borderId="43" xfId="0" applyNumberFormat="1" applyFont="1" applyFill="1" applyBorder="1" applyAlignment="1" applyProtection="1">
      <alignment horizontal="center" vertical="center"/>
      <protection locked="0"/>
    </xf>
    <xf numFmtId="1" fontId="41" fillId="4" borderId="0" xfId="0" applyNumberFormat="1" applyFont="1" applyFill="1"/>
    <xf numFmtId="1" fontId="41" fillId="4" borderId="13" xfId="0" applyNumberFormat="1" applyFont="1" applyFill="1" applyBorder="1" applyAlignment="1">
      <alignment horizontal="left"/>
    </xf>
    <xf numFmtId="165" fontId="42" fillId="4" borderId="13" xfId="0" applyNumberFormat="1" applyFont="1" applyFill="1" applyBorder="1"/>
    <xf numFmtId="1" fontId="42" fillId="4" borderId="13" xfId="0" applyNumberFormat="1" applyFont="1" applyFill="1" applyBorder="1"/>
    <xf numFmtId="1" fontId="42" fillId="4" borderId="14" xfId="0" applyNumberFormat="1" applyFont="1" applyFill="1" applyBorder="1"/>
    <xf numFmtId="0" fontId="58" fillId="4" borderId="7" xfId="0" applyFont="1" applyFill="1" applyBorder="1" applyAlignment="1">
      <alignment horizontal="right"/>
    </xf>
    <xf numFmtId="165" fontId="42" fillId="4" borderId="0" xfId="0" applyNumberFormat="1" applyFont="1" applyFill="1"/>
    <xf numFmtId="1" fontId="42" fillId="4" borderId="8" xfId="0" applyNumberFormat="1" applyFont="1" applyFill="1" applyBorder="1"/>
    <xf numFmtId="1" fontId="42" fillId="4" borderId="23" xfId="0" applyNumberFormat="1" applyFont="1" applyFill="1" applyBorder="1"/>
    <xf numFmtId="165" fontId="42" fillId="4" borderId="23" xfId="0" applyNumberFormat="1" applyFont="1" applyFill="1" applyBorder="1"/>
    <xf numFmtId="1" fontId="39" fillId="0" borderId="0" xfId="0" applyNumberFormat="1" applyFont="1"/>
    <xf numFmtId="165" fontId="39" fillId="0" borderId="0" xfId="0" applyNumberFormat="1" applyFont="1"/>
    <xf numFmtId="1" fontId="41" fillId="10" borderId="12" xfId="0" applyNumberFormat="1" applyFont="1" applyFill="1" applyBorder="1" applyAlignment="1">
      <alignment horizontal="right"/>
    </xf>
    <xf numFmtId="0" fontId="41" fillId="10" borderId="45" xfId="0" applyFont="1" applyFill="1" applyBorder="1" applyAlignment="1">
      <alignment horizontal="center"/>
    </xf>
    <xf numFmtId="1" fontId="41" fillId="10" borderId="13" xfId="0" applyNumberFormat="1" applyFont="1" applyFill="1" applyBorder="1"/>
    <xf numFmtId="1" fontId="41" fillId="10" borderId="13" xfId="0" applyNumberFormat="1" applyFont="1" applyFill="1" applyBorder="1" applyAlignment="1">
      <alignment horizontal="right"/>
    </xf>
    <xf numFmtId="1" fontId="41" fillId="10" borderId="46" xfId="0" applyNumberFormat="1" applyFont="1" applyFill="1" applyBorder="1" applyAlignment="1">
      <alignment horizontal="center"/>
    </xf>
    <xf numFmtId="1" fontId="41" fillId="10" borderId="22" xfId="0" applyNumberFormat="1" applyFont="1" applyFill="1" applyBorder="1" applyAlignment="1">
      <alignment horizontal="right"/>
    </xf>
    <xf numFmtId="1" fontId="41" fillId="10" borderId="23" xfId="0" applyNumberFormat="1" applyFont="1" applyFill="1" applyBorder="1"/>
    <xf numFmtId="1" fontId="41" fillId="10" borderId="23" xfId="0" applyNumberFormat="1" applyFont="1" applyFill="1" applyBorder="1" applyAlignment="1">
      <alignment horizontal="right"/>
    </xf>
    <xf numFmtId="164" fontId="39" fillId="0" borderId="0" xfId="0" applyNumberFormat="1" applyFont="1" applyAlignment="1">
      <alignment horizontal="center"/>
    </xf>
    <xf numFmtId="0" fontId="60" fillId="10" borderId="6" xfId="0" applyFont="1" applyFill="1" applyBorder="1" applyAlignment="1">
      <alignment horizontal="center" vertical="top" wrapText="1"/>
    </xf>
    <xf numFmtId="164" fontId="39" fillId="0" borderId="0" xfId="0" applyNumberFormat="1" applyFont="1" applyAlignment="1">
      <alignment horizontal="center" vertical="center"/>
    </xf>
    <xf numFmtId="165" fontId="39" fillId="0" borderId="0" xfId="0" applyNumberFormat="1" applyFont="1" applyAlignment="1">
      <alignment horizontal="center" vertical="center"/>
    </xf>
    <xf numFmtId="0" fontId="60" fillId="5" borderId="12" xfId="0" applyFont="1" applyFill="1" applyBorder="1"/>
    <xf numFmtId="0" fontId="41" fillId="5" borderId="7" xfId="0" applyFont="1" applyFill="1" applyBorder="1" applyAlignment="1">
      <alignment horizontal="right"/>
    </xf>
    <xf numFmtId="1" fontId="39" fillId="5" borderId="0" xfId="0" applyNumberFormat="1" applyFont="1" applyFill="1"/>
    <xf numFmtId="0" fontId="55" fillId="5" borderId="0" xfId="0" applyFont="1" applyFill="1" applyAlignment="1">
      <alignment horizontal="left" vertical="top" wrapText="1"/>
    </xf>
    <xf numFmtId="0" fontId="55" fillId="5" borderId="8" xfId="0" applyFont="1" applyFill="1" applyBorder="1" applyAlignment="1">
      <alignment horizontal="left" vertical="top" wrapText="1"/>
    </xf>
    <xf numFmtId="0" fontId="55" fillId="0" borderId="0" xfId="0" applyFont="1" applyAlignment="1">
      <alignment horizontal="left" vertical="top" wrapText="1"/>
    </xf>
    <xf numFmtId="165" fontId="55" fillId="0" borderId="0" xfId="0" applyNumberFormat="1" applyFont="1" applyAlignment="1">
      <alignment horizontal="left" vertical="top" wrapText="1"/>
    </xf>
    <xf numFmtId="1" fontId="55" fillId="5" borderId="0" xfId="0" applyNumberFormat="1" applyFont="1" applyFill="1"/>
    <xf numFmtId="1" fontId="41" fillId="5" borderId="38" xfId="0" applyNumberFormat="1" applyFont="1" applyFill="1" applyBorder="1" applyAlignment="1">
      <alignment horizontal="center" vertical="center" wrapText="1"/>
    </xf>
    <xf numFmtId="1" fontId="41" fillId="5" borderId="1" xfId="0" applyNumberFormat="1" applyFont="1" applyFill="1" applyBorder="1" applyAlignment="1">
      <alignment horizontal="center" vertical="center" wrapText="1"/>
    </xf>
    <xf numFmtId="0" fontId="41" fillId="5" borderId="1" xfId="0" applyFont="1" applyFill="1" applyBorder="1" applyAlignment="1">
      <alignment horizontal="center" vertical="center" wrapText="1"/>
    </xf>
    <xf numFmtId="165" fontId="41" fillId="5" borderId="1" xfId="0" applyNumberFormat="1" applyFont="1" applyFill="1" applyBorder="1" applyAlignment="1">
      <alignment horizontal="center" vertical="center" wrapText="1"/>
    </xf>
    <xf numFmtId="0" fontId="41" fillId="10" borderId="46" xfId="0" applyFont="1" applyFill="1" applyBorder="1" applyAlignment="1">
      <alignment horizontal="center" vertical="center" wrapText="1"/>
    </xf>
    <xf numFmtId="0" fontId="39" fillId="5" borderId="38" xfId="0" applyFont="1" applyFill="1" applyBorder="1" applyAlignment="1">
      <alignment horizontal="center"/>
    </xf>
    <xf numFmtId="165" fontId="55" fillId="10" borderId="39" xfId="0" applyNumberFormat="1" applyFont="1" applyFill="1" applyBorder="1" applyAlignment="1">
      <alignment horizontal="center" vertical="top" wrapText="1"/>
    </xf>
    <xf numFmtId="0" fontId="55" fillId="10" borderId="39" xfId="0" applyFont="1" applyFill="1" applyBorder="1" applyAlignment="1">
      <alignment horizontal="center" vertical="top" wrapText="1"/>
    </xf>
    <xf numFmtId="1" fontId="39" fillId="5" borderId="23" xfId="0" applyNumberFormat="1" applyFont="1" applyFill="1" applyBorder="1"/>
    <xf numFmtId="1" fontId="39" fillId="11" borderId="0" xfId="0" applyNumberFormat="1" applyFont="1" applyFill="1"/>
    <xf numFmtId="0" fontId="58" fillId="0" borderId="0" xfId="0" applyFont="1" applyAlignment="1">
      <alignment horizontal="center"/>
    </xf>
    <xf numFmtId="0" fontId="58" fillId="0" borderId="0" xfId="0" applyFont="1" applyAlignment="1">
      <alignment horizontal="right"/>
    </xf>
    <xf numFmtId="1" fontId="55" fillId="5" borderId="9" xfId="0" applyNumberFormat="1" applyFont="1" applyFill="1" applyBorder="1" applyAlignment="1">
      <alignment horizontal="center" vertical="center" wrapText="1"/>
    </xf>
    <xf numFmtId="1" fontId="55" fillId="0" borderId="0" xfId="0" applyNumberFormat="1" applyFont="1" applyAlignment="1">
      <alignment horizontal="center" vertical="top" wrapText="1"/>
    </xf>
    <xf numFmtId="1" fontId="55" fillId="10" borderId="9" xfId="0" applyNumberFormat="1" applyFont="1" applyFill="1" applyBorder="1" applyAlignment="1">
      <alignment horizontal="center" vertical="center" wrapText="1"/>
    </xf>
    <xf numFmtId="0" fontId="60" fillId="4" borderId="12" xfId="0" applyFont="1" applyFill="1" applyBorder="1" applyAlignment="1">
      <alignment vertical="center"/>
    </xf>
    <xf numFmtId="1" fontId="41" fillId="10" borderId="9" xfId="0" applyNumberFormat="1" applyFont="1" applyFill="1" applyBorder="1" applyAlignment="1">
      <alignment horizontal="center" vertical="center"/>
    </xf>
    <xf numFmtId="0" fontId="0" fillId="2" borderId="0" xfId="0" applyFill="1"/>
    <xf numFmtId="0" fontId="62" fillId="2" borderId="0" xfId="0" applyFont="1" applyFill="1"/>
    <xf numFmtId="0" fontId="4" fillId="2" borderId="9" xfId="0" applyFont="1" applyFill="1" applyBorder="1" applyAlignment="1">
      <alignment horizontal="center" vertical="center"/>
    </xf>
    <xf numFmtId="0" fontId="61" fillId="2" borderId="35" xfId="0" applyFont="1" applyFill="1" applyBorder="1" applyAlignment="1">
      <alignment horizontal="center" vertical="center"/>
    </xf>
    <xf numFmtId="0" fontId="61"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3" fillId="0" borderId="0" xfId="0" applyFont="1" applyAlignment="1">
      <alignment vertical="top" wrapText="1"/>
    </xf>
    <xf numFmtId="1" fontId="63" fillId="0" borderId="0" xfId="0" applyNumberFormat="1" applyFont="1" applyAlignment="1">
      <alignment vertical="center" wrapText="1"/>
    </xf>
    <xf numFmtId="1" fontId="47" fillId="0" borderId="0" xfId="0" applyNumberFormat="1" applyFont="1" applyProtection="1">
      <protection locked="0"/>
    </xf>
    <xf numFmtId="0" fontId="6" fillId="0" borderId="0" xfId="0" applyFont="1" applyAlignment="1">
      <alignment horizontal="right" wrapText="1"/>
    </xf>
    <xf numFmtId="0" fontId="43" fillId="12" borderId="6" xfId="0" applyFont="1" applyFill="1" applyBorder="1" applyAlignment="1">
      <alignment horizontal="right"/>
    </xf>
    <xf numFmtId="1" fontId="41" fillId="4" borderId="0" xfId="0" applyNumberFormat="1" applyFont="1" applyFill="1" applyAlignment="1">
      <alignment horizontal="right"/>
    </xf>
    <xf numFmtId="1" fontId="9" fillId="3" borderId="19" xfId="0" quotePrefix="1" applyNumberFormat="1" applyFont="1" applyFill="1" applyBorder="1" applyAlignment="1">
      <alignment horizontal="center" vertical="center"/>
    </xf>
    <xf numFmtId="0" fontId="11" fillId="6" borderId="1" xfId="0" applyFont="1" applyFill="1" applyBorder="1" applyAlignment="1">
      <alignment horizontal="center"/>
    </xf>
    <xf numFmtId="0" fontId="55" fillId="11" borderId="47" xfId="0" applyFont="1" applyFill="1" applyBorder="1" applyAlignment="1">
      <alignment horizontal="left" vertical="top" wrapText="1"/>
    </xf>
    <xf numFmtId="0" fontId="41" fillId="10" borderId="48" xfId="0" applyFont="1" applyFill="1" applyBorder="1" applyAlignment="1">
      <alignment horizontal="center" vertical="center" wrapText="1"/>
    </xf>
    <xf numFmtId="0" fontId="55" fillId="2" borderId="38" xfId="0" applyFont="1" applyFill="1" applyBorder="1" applyAlignment="1" applyProtection="1">
      <alignment horizontal="center" vertical="top" wrapText="1"/>
      <protection locked="0"/>
    </xf>
    <xf numFmtId="1" fontId="41" fillId="6" borderId="39" xfId="0" applyNumberFormat="1" applyFont="1" applyFill="1" applyBorder="1" applyAlignment="1">
      <alignment horizontal="center" vertical="center" wrapText="1"/>
    </xf>
    <xf numFmtId="1" fontId="55" fillId="8" borderId="41" xfId="0" applyNumberFormat="1" applyFont="1" applyFill="1" applyBorder="1" applyAlignment="1">
      <alignment horizontal="center" vertical="top" wrapText="1"/>
    </xf>
    <xf numFmtId="1" fontId="55" fillId="8" borderId="23" xfId="0" applyNumberFormat="1" applyFont="1" applyFill="1" applyBorder="1" applyAlignment="1">
      <alignment horizontal="right"/>
    </xf>
    <xf numFmtId="1" fontId="41" fillId="6" borderId="9" xfId="0" applyNumberFormat="1" applyFont="1" applyFill="1" applyBorder="1" applyAlignment="1">
      <alignment horizontal="center"/>
    </xf>
    <xf numFmtId="1" fontId="42" fillId="6" borderId="9" xfId="0" applyNumberFormat="1" applyFont="1" applyFill="1" applyBorder="1" applyAlignment="1">
      <alignment horizontal="center" vertical="center" wrapText="1"/>
    </xf>
    <xf numFmtId="1" fontId="41" fillId="4" borderId="10" xfId="0" applyNumberFormat="1" applyFont="1" applyFill="1" applyBorder="1" applyAlignment="1">
      <alignment horizontal="center" vertical="center"/>
    </xf>
    <xf numFmtId="1" fontId="41" fillId="4" borderId="32" xfId="0" applyNumberFormat="1" applyFont="1" applyFill="1" applyBorder="1" applyAlignment="1">
      <alignment horizontal="center" vertical="center"/>
    </xf>
    <xf numFmtId="1" fontId="43" fillId="4" borderId="49" xfId="0" applyNumberFormat="1" applyFont="1" applyFill="1" applyBorder="1" applyAlignment="1">
      <alignment horizontal="center"/>
    </xf>
    <xf numFmtId="0" fontId="13" fillId="0" borderId="0" xfId="0" applyFont="1" applyAlignment="1" applyProtection="1">
      <alignment horizontal="left"/>
      <protection locked="0"/>
    </xf>
    <xf numFmtId="1" fontId="40" fillId="7" borderId="1" xfId="0" applyNumberFormat="1" applyFont="1" applyFill="1" applyBorder="1" applyAlignment="1">
      <alignment horizontal="center" vertical="center"/>
    </xf>
    <xf numFmtId="1" fontId="43" fillId="4" borderId="29" xfId="0" applyNumberFormat="1" applyFont="1" applyFill="1" applyBorder="1" applyAlignment="1">
      <alignment horizontal="center" vertical="center"/>
    </xf>
    <xf numFmtId="1" fontId="9" fillId="10" borderId="9" xfId="0" applyNumberFormat="1" applyFont="1" applyFill="1" applyBorder="1" applyAlignment="1">
      <alignment horizontal="center" vertical="center"/>
    </xf>
    <xf numFmtId="0" fontId="6" fillId="0" borderId="40" xfId="0" applyFont="1" applyBorder="1" applyAlignment="1">
      <alignment vertical="top" wrapText="1"/>
    </xf>
    <xf numFmtId="0" fontId="4" fillId="0" borderId="0" xfId="0" applyFont="1" applyAlignment="1">
      <alignment horizontal="center" vertical="top" wrapText="1"/>
    </xf>
    <xf numFmtId="1" fontId="0" fillId="6" borderId="10" xfId="0" applyNumberFormat="1" applyFill="1" applyBorder="1"/>
    <xf numFmtId="1" fontId="4" fillId="6" borderId="5" xfId="0" applyNumberFormat="1" applyFont="1" applyFill="1" applyBorder="1" applyAlignment="1">
      <alignment horizontal="right"/>
    </xf>
    <xf numFmtId="1" fontId="4" fillId="6" borderId="9" xfId="0" applyNumberFormat="1" applyFont="1" applyFill="1" applyBorder="1" applyAlignment="1">
      <alignment horizontal="center"/>
    </xf>
    <xf numFmtId="0" fontId="9" fillId="13" borderId="0" xfId="0" applyFont="1" applyFill="1" applyAlignment="1">
      <alignment vertical="center"/>
    </xf>
    <xf numFmtId="1" fontId="9" fillId="13" borderId="0" xfId="0" applyNumberFormat="1" applyFont="1" applyFill="1" applyAlignment="1">
      <alignment vertical="center"/>
    </xf>
    <xf numFmtId="1" fontId="9" fillId="13" borderId="0" xfId="0" applyNumberFormat="1" applyFont="1" applyFill="1" applyAlignment="1">
      <alignment horizontal="left" vertical="center"/>
    </xf>
    <xf numFmtId="0" fontId="9" fillId="13" borderId="0" xfId="0" applyFont="1" applyFill="1" applyAlignment="1">
      <alignment horizontal="left" vertical="center"/>
    </xf>
    <xf numFmtId="1" fontId="41" fillId="4" borderId="50" xfId="0" applyNumberFormat="1" applyFont="1" applyFill="1" applyBorder="1" applyAlignment="1">
      <alignment horizontal="center" vertical="center"/>
    </xf>
    <xf numFmtId="1" fontId="41" fillId="4" borderId="1" xfId="0" applyNumberFormat="1" applyFont="1" applyFill="1" applyBorder="1" applyAlignment="1">
      <alignment horizontal="center" vertical="center"/>
    </xf>
    <xf numFmtId="1" fontId="41" fillId="6" borderId="22" xfId="0" applyNumberFormat="1" applyFont="1" applyFill="1" applyBorder="1" applyAlignment="1">
      <alignment horizontal="center"/>
    </xf>
    <xf numFmtId="1" fontId="41" fillId="6" borderId="51" xfId="0" applyNumberFormat="1" applyFont="1" applyFill="1" applyBorder="1" applyAlignment="1">
      <alignment horizontal="center"/>
    </xf>
    <xf numFmtId="1" fontId="41" fillId="4" borderId="52" xfId="0" applyNumberFormat="1" applyFont="1" applyFill="1" applyBorder="1" applyAlignment="1">
      <alignment horizontal="center" vertical="center"/>
    </xf>
    <xf numFmtId="0" fontId="41" fillId="4" borderId="1" xfId="0" applyFont="1" applyFill="1" applyBorder="1" applyAlignment="1">
      <alignment horizontal="right"/>
    </xf>
    <xf numFmtId="1" fontId="41" fillId="4" borderId="33" xfId="0" applyNumberFormat="1" applyFont="1" applyFill="1" applyBorder="1" applyAlignment="1">
      <alignment horizontal="center" vertical="center"/>
    </xf>
    <xf numFmtId="1" fontId="41" fillId="4" borderId="16" xfId="0" applyNumberFormat="1" applyFont="1" applyFill="1" applyBorder="1" applyAlignment="1">
      <alignment horizontal="center" vertical="center"/>
    </xf>
    <xf numFmtId="0" fontId="41" fillId="4" borderId="29" xfId="0" applyFont="1" applyFill="1" applyBorder="1" applyAlignment="1">
      <alignment horizontal="right"/>
    </xf>
    <xf numFmtId="0" fontId="6" fillId="2" borderId="0" xfId="0" applyFont="1" applyFill="1"/>
    <xf numFmtId="0" fontId="65" fillId="2" borderId="0" xfId="1" applyFont="1" applyFill="1" applyAlignment="1" applyProtection="1"/>
    <xf numFmtId="0" fontId="37" fillId="2" borderId="0" xfId="0" applyFont="1" applyFill="1"/>
    <xf numFmtId="0" fontId="6" fillId="13" borderId="0" xfId="0" applyFont="1" applyFill="1" applyAlignment="1">
      <alignment vertical="center"/>
    </xf>
    <xf numFmtId="0" fontId="0" fillId="8" borderId="37" xfId="0" applyFill="1" applyBorder="1" applyAlignment="1">
      <alignment vertical="center"/>
    </xf>
    <xf numFmtId="0" fontId="4"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3" fillId="0" borderId="0" xfId="0" quotePrefix="1" applyNumberFormat="1" applyFont="1" applyAlignment="1">
      <alignment vertical="top" wrapText="1"/>
    </xf>
    <xf numFmtId="1" fontId="42" fillId="2" borderId="53" xfId="0" applyNumberFormat="1" applyFont="1" applyFill="1" applyBorder="1" applyAlignment="1" applyProtection="1">
      <alignment horizontal="center"/>
      <protection locked="0"/>
    </xf>
    <xf numFmtId="1" fontId="42" fillId="2" borderId="54" xfId="0" applyNumberFormat="1" applyFont="1" applyFill="1" applyBorder="1" applyAlignment="1" applyProtection="1">
      <alignment horizontal="center"/>
      <protection locked="0"/>
    </xf>
    <xf numFmtId="0" fontId="42"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6" fillId="0" borderId="12" xfId="0" applyFont="1" applyBorder="1" applyAlignment="1">
      <alignment horizontal="center" vertical="top" wrapText="1"/>
    </xf>
    <xf numFmtId="0" fontId="6" fillId="0" borderId="13" xfId="0" applyFont="1" applyBorder="1" applyAlignment="1">
      <alignment horizontal="center" vertical="top" wrapText="1"/>
    </xf>
    <xf numFmtId="0" fontId="6" fillId="0" borderId="14" xfId="0" applyFont="1" applyBorder="1" applyAlignment="1">
      <alignment horizontal="center" vertical="top" wrapText="1"/>
    </xf>
    <xf numFmtId="0" fontId="80" fillId="0" borderId="0" xfId="0" applyFont="1" applyAlignment="1">
      <alignment vertical="top" wrapText="1"/>
    </xf>
    <xf numFmtId="1" fontId="81" fillId="0" borderId="0" xfId="0" applyNumberFormat="1" applyFont="1" applyAlignment="1">
      <alignment vertical="center" wrapText="1"/>
    </xf>
    <xf numFmtId="0" fontId="9" fillId="0" borderId="0" xfId="0" applyFont="1" applyAlignment="1">
      <alignment horizontal="right"/>
    </xf>
    <xf numFmtId="0" fontId="9" fillId="0" borderId="0" xfId="0" applyFont="1" applyAlignment="1">
      <alignment horizontal="left"/>
    </xf>
    <xf numFmtId="0" fontId="3" fillId="0" borderId="0" xfId="0" applyFont="1"/>
    <xf numFmtId="0" fontId="9" fillId="0" borderId="0" xfId="0" applyFont="1" applyAlignment="1">
      <alignment horizontal="left" vertical="top" wrapText="1"/>
    </xf>
    <xf numFmtId="0" fontId="17" fillId="0" borderId="0" xfId="0" applyFont="1" applyAlignment="1">
      <alignment horizontal="left"/>
    </xf>
    <xf numFmtId="0" fontId="82" fillId="0" borderId="0" xfId="0" applyFont="1"/>
    <xf numFmtId="0" fontId="83" fillId="0" borderId="0" xfId="0" applyFont="1" applyAlignment="1">
      <alignment horizontal="left" vertical="top" wrapText="1"/>
    </xf>
    <xf numFmtId="0" fontId="3" fillId="0" borderId="0" xfId="0" applyFont="1" applyAlignment="1">
      <alignment horizontal="center" vertical="top" wrapText="1"/>
    </xf>
    <xf numFmtId="0" fontId="3" fillId="0" borderId="0" xfId="0" applyFont="1" applyAlignment="1">
      <alignment horizontal="left" vertical="top"/>
    </xf>
    <xf numFmtId="0" fontId="83" fillId="0" borderId="0" xfId="0" applyFont="1" applyAlignment="1">
      <alignment horizontal="left" vertical="top"/>
    </xf>
    <xf numFmtId="1" fontId="3" fillId="0" borderId="0" xfId="0" applyNumberFormat="1" applyFont="1" applyAlignment="1">
      <alignment horizontal="center"/>
    </xf>
    <xf numFmtId="1" fontId="9"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1" fillId="4" borderId="29" xfId="0" applyNumberFormat="1" applyFont="1" applyFill="1" applyBorder="1" applyAlignment="1">
      <alignment horizontal="center" vertical="center"/>
    </xf>
    <xf numFmtId="1" fontId="58" fillId="4" borderId="5" xfId="0" applyNumberFormat="1" applyFont="1" applyFill="1" applyBorder="1" applyAlignment="1">
      <alignment horizontal="center" vertical="center" wrapText="1"/>
    </xf>
    <xf numFmtId="1" fontId="64" fillId="4" borderId="56" xfId="0" applyNumberFormat="1" applyFont="1" applyFill="1" applyBorder="1" applyAlignment="1">
      <alignment horizontal="center" vertical="center"/>
    </xf>
    <xf numFmtId="1" fontId="64" fillId="4" borderId="20" xfId="0" applyNumberFormat="1" applyFont="1" applyFill="1" applyBorder="1" applyAlignment="1">
      <alignment horizontal="center" vertical="center"/>
    </xf>
    <xf numFmtId="1" fontId="64" fillId="4" borderId="3" xfId="0" applyNumberFormat="1" applyFont="1" applyFill="1" applyBorder="1" applyAlignment="1">
      <alignment horizontal="center" vertical="center"/>
    </xf>
    <xf numFmtId="1" fontId="64" fillId="4" borderId="27" xfId="0" applyNumberFormat="1" applyFont="1" applyFill="1" applyBorder="1" applyAlignment="1">
      <alignment horizontal="center" vertical="center"/>
    </xf>
    <xf numFmtId="0" fontId="41" fillId="4" borderId="43" xfId="0" applyFont="1" applyFill="1" applyBorder="1" applyAlignment="1">
      <alignment horizontal="center" vertical="center" wrapText="1"/>
    </xf>
    <xf numFmtId="0" fontId="41" fillId="4" borderId="10" xfId="0" applyFont="1" applyFill="1" applyBorder="1" applyAlignment="1">
      <alignment horizontal="center" vertical="center" wrapText="1"/>
    </xf>
    <xf numFmtId="1" fontId="55" fillId="2" borderId="39" xfId="0" applyNumberFormat="1" applyFont="1" applyFill="1" applyBorder="1" applyAlignment="1">
      <alignment horizontal="center" vertical="center"/>
    </xf>
    <xf numFmtId="1" fontId="55" fillId="2" borderId="41" xfId="0" applyNumberFormat="1" applyFont="1" applyFill="1" applyBorder="1" applyAlignment="1">
      <alignment horizontal="center" vertical="center"/>
    </xf>
    <xf numFmtId="1" fontId="64" fillId="4" borderId="35" xfId="0" applyNumberFormat="1" applyFont="1" applyFill="1" applyBorder="1" applyAlignment="1">
      <alignment horizontal="center" vertical="center"/>
    </xf>
    <xf numFmtId="1" fontId="64" fillId="4" borderId="37" xfId="0" applyNumberFormat="1" applyFont="1" applyFill="1" applyBorder="1" applyAlignment="1">
      <alignment horizontal="center" vertical="center"/>
    </xf>
    <xf numFmtId="1" fontId="64"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1" fillId="0" borderId="12" xfId="0" applyFont="1" applyBorder="1" applyAlignment="1">
      <alignment horizontal="justify" vertical="top" wrapText="1"/>
    </xf>
    <xf numFmtId="0" fontId="9" fillId="0" borderId="13" xfId="0" applyFont="1" applyBorder="1"/>
    <xf numFmtId="0" fontId="10" fillId="0" borderId="13" xfId="0" applyFont="1" applyBorder="1"/>
    <xf numFmtId="0" fontId="9" fillId="0" borderId="14" xfId="0" applyFont="1" applyBorder="1"/>
    <xf numFmtId="0" fontId="10" fillId="0" borderId="7" xfId="0" applyFont="1" applyBorder="1"/>
    <xf numFmtId="0" fontId="10" fillId="0" borderId="8" xfId="0" applyFont="1" applyBorder="1"/>
    <xf numFmtId="0" fontId="9" fillId="0" borderId="7" xfId="0" applyFont="1" applyBorder="1"/>
    <xf numFmtId="0" fontId="11" fillId="0" borderId="7" xfId="0" applyFont="1" applyBorder="1" applyAlignment="1">
      <alignment horizontal="justify" vertical="top" wrapText="1"/>
    </xf>
    <xf numFmtId="0" fontId="9" fillId="0" borderId="8" xfId="0" applyFont="1" applyBorder="1"/>
    <xf numFmtId="0" fontId="85" fillId="2" borderId="0" xfId="0" applyFont="1" applyFill="1"/>
    <xf numFmtId="0" fontId="86" fillId="2" borderId="0" xfId="0" applyFont="1" applyFill="1"/>
    <xf numFmtId="0" fontId="55" fillId="2" borderId="0" xfId="0" applyFont="1" applyFill="1" applyAlignment="1" applyProtection="1">
      <alignment horizontal="center" vertical="top" wrapText="1"/>
      <protection locked="0"/>
    </xf>
    <xf numFmtId="0" fontId="55" fillId="10" borderId="47" xfId="0" applyFont="1" applyFill="1" applyBorder="1" applyAlignment="1">
      <alignment horizontal="center" vertical="top" wrapText="1"/>
    </xf>
    <xf numFmtId="1" fontId="55" fillId="8" borderId="50" xfId="0" applyNumberFormat="1" applyFont="1" applyFill="1" applyBorder="1"/>
    <xf numFmtId="0" fontId="55" fillId="2" borderId="15" xfId="0" applyFont="1" applyFill="1" applyBorder="1" applyAlignment="1" applyProtection="1">
      <alignment horizontal="center" vertical="top" wrapText="1"/>
      <protection locked="0"/>
    </xf>
    <xf numFmtId="0" fontId="87" fillId="0" borderId="14" xfId="0" applyFont="1" applyBorder="1" applyAlignment="1">
      <alignment vertical="center" wrapText="1"/>
    </xf>
    <xf numFmtId="1" fontId="42" fillId="4" borderId="7" xfId="0" applyNumberFormat="1" applyFont="1" applyFill="1" applyBorder="1" applyAlignment="1" applyProtection="1">
      <alignment horizontal="center"/>
      <protection locked="0"/>
    </xf>
    <xf numFmtId="0" fontId="42" fillId="4" borderId="0" xfId="0" applyFont="1" applyFill="1" applyAlignment="1" applyProtection="1">
      <alignment horizontal="center" vertical="center" wrapText="1"/>
      <protection locked="0"/>
    </xf>
    <xf numFmtId="0" fontId="42" fillId="4" borderId="57" xfId="0" applyFont="1" applyFill="1" applyBorder="1" applyAlignment="1" applyProtection="1">
      <alignment horizontal="center"/>
      <protection locked="0"/>
    </xf>
    <xf numFmtId="0" fontId="42" fillId="4" borderId="0" xfId="0" applyFont="1" applyFill="1" applyAlignment="1" applyProtection="1">
      <alignment horizontal="center" vertical="top" wrapText="1"/>
      <protection locked="0"/>
    </xf>
    <xf numFmtId="0" fontId="42" fillId="4" borderId="0" xfId="0" applyFont="1" applyFill="1" applyAlignment="1" applyProtection="1">
      <alignment horizontal="center"/>
      <protection locked="0"/>
    </xf>
    <xf numFmtId="1" fontId="42" fillId="4" borderId="0" xfId="0" applyNumberFormat="1" applyFont="1" applyFill="1" applyAlignment="1" applyProtection="1">
      <alignment horizontal="center"/>
      <protection locked="0"/>
    </xf>
    <xf numFmtId="1" fontId="42" fillId="4" borderId="13" xfId="0" applyNumberFormat="1" applyFont="1" applyFill="1" applyBorder="1" applyAlignment="1" applyProtection="1">
      <alignment horizontal="center"/>
      <protection locked="0"/>
    </xf>
    <xf numFmtId="165" fontId="41" fillId="4" borderId="23" xfId="0" applyNumberFormat="1" applyFont="1" applyFill="1" applyBorder="1" applyAlignment="1">
      <alignment horizontal="center"/>
    </xf>
    <xf numFmtId="1" fontId="0" fillId="4" borderId="28" xfId="0" applyNumberFormat="1" applyFill="1" applyBorder="1"/>
    <xf numFmtId="1" fontId="42" fillId="4" borderId="22" xfId="0" applyNumberFormat="1" applyFont="1" applyFill="1" applyBorder="1" applyAlignment="1">
      <alignment horizontal="center"/>
    </xf>
    <xf numFmtId="1" fontId="42" fillId="4" borderId="23" xfId="0" applyNumberFormat="1" applyFont="1" applyFill="1" applyBorder="1" applyAlignment="1">
      <alignment horizontal="center"/>
    </xf>
    <xf numFmtId="0" fontId="42" fillId="4" borderId="23" xfId="0" applyFont="1" applyFill="1" applyBorder="1" applyAlignment="1">
      <alignment horizontal="center"/>
    </xf>
    <xf numFmtId="170" fontId="41" fillId="4" borderId="23" xfId="0" applyNumberFormat="1" applyFont="1" applyFill="1" applyBorder="1" applyAlignment="1">
      <alignment horizontal="center"/>
    </xf>
    <xf numFmtId="1" fontId="4" fillId="8" borderId="1" xfId="0" applyNumberFormat="1" applyFont="1" applyFill="1" applyBorder="1" applyAlignment="1">
      <alignment vertical="center"/>
    </xf>
    <xf numFmtId="1" fontId="11" fillId="8" borderId="16" xfId="0" applyNumberFormat="1" applyFont="1" applyFill="1" applyBorder="1" applyAlignment="1">
      <alignment horizontal="center" vertical="center"/>
    </xf>
    <xf numFmtId="1" fontId="11" fillId="8" borderId="1" xfId="0" applyNumberFormat="1" applyFont="1" applyFill="1" applyBorder="1" applyAlignment="1">
      <alignment horizontal="center"/>
    </xf>
    <xf numFmtId="1" fontId="4" fillId="8" borderId="19" xfId="0" applyNumberFormat="1" applyFont="1" applyFill="1" applyBorder="1"/>
    <xf numFmtId="1" fontId="6" fillId="7" borderId="9" xfId="0" applyNumberFormat="1" applyFont="1" applyFill="1" applyBorder="1" applyAlignment="1">
      <alignment horizontal="center" vertical="center" wrapText="1"/>
    </xf>
    <xf numFmtId="1" fontId="11" fillId="8" borderId="1" xfId="0" applyNumberFormat="1" applyFont="1" applyFill="1" applyBorder="1" applyAlignment="1">
      <alignment horizontal="center" vertical="center"/>
    </xf>
    <xf numFmtId="0" fontId="83" fillId="0" borderId="0" xfId="0" applyFont="1"/>
    <xf numFmtId="1" fontId="42" fillId="9" borderId="12" xfId="0" applyNumberFormat="1" applyFont="1" applyFill="1" applyBorder="1" applyAlignment="1" applyProtection="1">
      <alignment horizontal="center"/>
      <protection locked="0"/>
    </xf>
    <xf numFmtId="0" fontId="42" fillId="9" borderId="13" xfId="0" applyFont="1" applyFill="1" applyBorder="1" applyAlignment="1" applyProtection="1">
      <alignment horizontal="center" vertical="center" wrapText="1"/>
      <protection locked="0"/>
    </xf>
    <xf numFmtId="0" fontId="42" fillId="9" borderId="58" xfId="0" applyFont="1" applyFill="1" applyBorder="1" applyAlignment="1" applyProtection="1">
      <alignment horizontal="center"/>
      <protection locked="0"/>
    </xf>
    <xf numFmtId="165" fontId="41" fillId="4" borderId="13" xfId="0" applyNumberFormat="1" applyFont="1" applyFill="1" applyBorder="1" applyAlignment="1">
      <alignment horizontal="center"/>
    </xf>
    <xf numFmtId="0" fontId="4"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5" fillId="2" borderId="38" xfId="0" applyNumberFormat="1" applyFont="1" applyFill="1" applyBorder="1" applyAlignment="1" applyProtection="1">
      <alignment horizontal="center" vertical="center"/>
      <protection locked="0"/>
    </xf>
    <xf numFmtId="1" fontId="55" fillId="2" borderId="59" xfId="0" applyNumberFormat="1" applyFont="1" applyFill="1" applyBorder="1" applyAlignment="1" applyProtection="1">
      <alignment horizontal="center" vertical="center"/>
      <protection locked="0"/>
    </xf>
    <xf numFmtId="0" fontId="3" fillId="0" borderId="0" xfId="0" applyFont="1" applyAlignment="1">
      <alignment horizontal="right" vertical="top" wrapText="1"/>
    </xf>
    <xf numFmtId="0" fontId="7" fillId="0" borderId="0" xfId="1" applyAlignment="1" applyProtection="1">
      <alignment vertical="top" wrapText="1"/>
    </xf>
    <xf numFmtId="49" fontId="3" fillId="0" borderId="0" xfId="0" applyNumberFormat="1" applyFont="1" applyAlignment="1">
      <alignment vertical="top" wrapText="1"/>
    </xf>
    <xf numFmtId="0" fontId="61" fillId="2" borderId="51" xfId="0" applyFont="1" applyFill="1" applyBorder="1" applyAlignment="1">
      <alignment horizontal="center" vertical="center"/>
    </xf>
    <xf numFmtId="0" fontId="3" fillId="0" borderId="0" xfId="0" applyFont="1" applyAlignment="1">
      <alignment horizontal="left" wrapText="1"/>
    </xf>
    <xf numFmtId="1" fontId="61" fillId="4" borderId="35" xfId="0" applyNumberFormat="1" applyFont="1" applyFill="1" applyBorder="1" applyAlignment="1">
      <alignment horizontal="center" vertical="center"/>
    </xf>
    <xf numFmtId="1" fontId="61" fillId="4" borderId="37" xfId="0" applyNumberFormat="1" applyFont="1" applyFill="1" applyBorder="1" applyAlignment="1">
      <alignment horizontal="center" vertical="center"/>
    </xf>
    <xf numFmtId="1" fontId="61" fillId="4" borderId="36" xfId="0" applyNumberFormat="1" applyFont="1" applyFill="1" applyBorder="1" applyAlignment="1">
      <alignment horizontal="center" vertical="center"/>
    </xf>
    <xf numFmtId="0" fontId="37" fillId="0" borderId="0" xfId="0" applyFont="1" applyAlignment="1">
      <alignment vertical="top" wrapText="1"/>
    </xf>
    <xf numFmtId="0" fontId="69" fillId="0" borderId="0" xfId="1" applyFont="1" applyAlignment="1" applyProtection="1">
      <alignment vertical="top" wrapText="1"/>
    </xf>
    <xf numFmtId="49" fontId="88" fillId="0" borderId="0" xfId="0" applyNumberFormat="1" applyFont="1" applyAlignment="1">
      <alignment vertical="top" wrapText="1"/>
    </xf>
    <xf numFmtId="0" fontId="37" fillId="0" borderId="0" xfId="0" applyFont="1"/>
    <xf numFmtId="0" fontId="4" fillId="0" borderId="0" xfId="0" applyFont="1" applyAlignment="1">
      <alignment vertical="top" wrapText="1"/>
    </xf>
    <xf numFmtId="1" fontId="55" fillId="2" borderId="47" xfId="0" applyNumberFormat="1" applyFont="1" applyFill="1" applyBorder="1" applyAlignment="1">
      <alignment horizontal="center" vertical="center"/>
    </xf>
    <xf numFmtId="0" fontId="52" fillId="2" borderId="0" xfId="0" applyFont="1" applyFill="1"/>
    <xf numFmtId="0" fontId="80" fillId="0" borderId="0" xfId="0" applyFont="1" applyAlignment="1">
      <alignment horizontal="center" vertical="top" wrapText="1"/>
    </xf>
    <xf numFmtId="0" fontId="6" fillId="0" borderId="0" xfId="0" applyFont="1" applyAlignment="1" applyProtection="1">
      <alignment horizontal="right" vertical="center" wrapText="1"/>
      <protection locked="0"/>
    </xf>
    <xf numFmtId="0" fontId="17" fillId="0" borderId="4" xfId="0" applyFont="1" applyBorder="1" applyAlignment="1">
      <alignment vertical="top" wrapText="1"/>
    </xf>
    <xf numFmtId="1" fontId="41" fillId="5" borderId="1" xfId="0" applyNumberFormat="1" applyFont="1" applyFill="1" applyBorder="1" applyAlignment="1">
      <alignment horizontal="center" vertical="center"/>
    </xf>
    <xf numFmtId="0" fontId="17" fillId="0" borderId="0" xfId="0" applyFont="1" applyAlignment="1">
      <alignment horizontal="center" vertical="center"/>
    </xf>
    <xf numFmtId="0" fontId="7"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3" fillId="2" borderId="37" xfId="0" applyFont="1" applyFill="1" applyBorder="1"/>
    <xf numFmtId="0" fontId="82" fillId="8" borderId="0" xfId="0" applyFont="1" applyFill="1" applyAlignment="1">
      <alignment horizontal="center" vertical="top" wrapText="1"/>
    </xf>
    <xf numFmtId="0" fontId="60" fillId="9" borderId="11" xfId="0" applyFont="1" applyFill="1" applyBorder="1" applyAlignment="1">
      <alignment horizontal="center" vertical="center" wrapText="1"/>
    </xf>
    <xf numFmtId="1" fontId="3" fillId="2" borderId="2" xfId="0" applyNumberFormat="1" applyFont="1" applyFill="1" applyBorder="1" applyAlignment="1" applyProtection="1">
      <alignment horizontal="center"/>
      <protection locked="0"/>
    </xf>
    <xf numFmtId="1" fontId="41" fillId="2" borderId="1" xfId="0" applyNumberFormat="1" applyFont="1" applyFill="1" applyBorder="1" applyAlignment="1" applyProtection="1">
      <alignment horizontal="center" vertical="center"/>
      <protection locked="0"/>
    </xf>
    <xf numFmtId="1" fontId="38" fillId="10" borderId="1" xfId="0" applyNumberFormat="1" applyFont="1" applyFill="1" applyBorder="1" applyAlignment="1">
      <alignment horizontal="left" vertical="top" wrapText="1"/>
    </xf>
    <xf numFmtId="1" fontId="41" fillId="7" borderId="31" xfId="0" applyNumberFormat="1" applyFont="1" applyFill="1" applyBorder="1" applyAlignment="1">
      <alignment horizontal="center" vertical="center" wrapText="1"/>
    </xf>
    <xf numFmtId="3" fontId="55" fillId="7" borderId="1" xfId="0" applyNumberFormat="1" applyFont="1" applyFill="1" applyBorder="1" applyAlignment="1">
      <alignment horizontal="center" vertical="top" wrapText="1"/>
    </xf>
    <xf numFmtId="3" fontId="39" fillId="5" borderId="1" xfId="0" applyNumberFormat="1" applyFont="1" applyFill="1" applyBorder="1" applyAlignment="1">
      <alignment horizontal="center" vertical="center"/>
    </xf>
    <xf numFmtId="3" fontId="55" fillId="6" borderId="39" xfId="0" applyNumberFormat="1" applyFont="1" applyFill="1" applyBorder="1" applyAlignment="1">
      <alignment horizontal="center" vertical="center"/>
    </xf>
    <xf numFmtId="1" fontId="55" fillId="2" borderId="48" xfId="0" applyNumberFormat="1" applyFont="1" applyFill="1" applyBorder="1" applyAlignment="1" applyProtection="1">
      <alignment horizontal="center" vertical="center"/>
      <protection locked="0"/>
    </xf>
    <xf numFmtId="1" fontId="55" fillId="2" borderId="60" xfId="0" applyNumberFormat="1" applyFont="1" applyFill="1" applyBorder="1" applyAlignment="1">
      <alignment horizontal="center" vertical="center"/>
    </xf>
    <xf numFmtId="1" fontId="4" fillId="2" borderId="0" xfId="0" applyNumberFormat="1" applyFont="1" applyFill="1" applyAlignment="1">
      <alignment horizontal="center" vertical="top" wrapText="1"/>
    </xf>
    <xf numFmtId="0" fontId="4" fillId="2" borderId="3" xfId="0" applyFont="1" applyFill="1" applyBorder="1" applyAlignment="1" applyProtection="1">
      <alignment horizontal="center" vertical="top" wrapText="1"/>
      <protection locked="0"/>
    </xf>
    <xf numFmtId="1" fontId="9" fillId="3" borderId="1" xfId="0" applyNumberFormat="1" applyFont="1" applyFill="1" applyBorder="1" applyAlignment="1">
      <alignment horizontal="center" vertical="center"/>
    </xf>
    <xf numFmtId="1" fontId="11" fillId="6" borderId="29" xfId="0" applyNumberFormat="1" applyFont="1" applyFill="1" applyBorder="1" applyAlignment="1">
      <alignment horizontal="center"/>
    </xf>
    <xf numFmtId="1" fontId="9" fillId="2" borderId="9" xfId="0" applyNumberFormat="1" applyFont="1" applyFill="1" applyBorder="1" applyAlignment="1" applyProtection="1">
      <alignment horizontal="center" vertical="center"/>
      <protection locked="0"/>
    </xf>
    <xf numFmtId="1" fontId="9" fillId="2" borderId="11" xfId="0" applyNumberFormat="1" applyFont="1" applyFill="1" applyBorder="1" applyAlignment="1">
      <alignment horizontal="center" vertical="center"/>
    </xf>
    <xf numFmtId="1" fontId="11" fillId="6" borderId="1" xfId="0" applyNumberFormat="1" applyFont="1" applyFill="1" applyBorder="1" applyAlignment="1">
      <alignment horizontal="center"/>
    </xf>
    <xf numFmtId="1" fontId="9" fillId="2" borderId="9" xfId="0" applyNumberFormat="1" applyFont="1" applyFill="1" applyBorder="1" applyAlignment="1">
      <alignment horizontal="center" vertical="center"/>
    </xf>
    <xf numFmtId="1" fontId="9" fillId="10" borderId="11" xfId="0" applyNumberFormat="1" applyFont="1" applyFill="1" applyBorder="1" applyAlignment="1">
      <alignment vertical="center"/>
    </xf>
    <xf numFmtId="1" fontId="9" fillId="2" borderId="10" xfId="0" applyNumberFormat="1" applyFont="1" applyFill="1" applyBorder="1" applyAlignment="1" applyProtection="1">
      <alignment vertical="center"/>
      <protection locked="0"/>
    </xf>
    <xf numFmtId="1" fontId="9" fillId="10" borderId="9" xfId="0" applyNumberFormat="1" applyFont="1" applyFill="1" applyBorder="1" applyAlignment="1">
      <alignment vertical="center"/>
    </xf>
    <xf numFmtId="1" fontId="9" fillId="2" borderId="11" xfId="0" applyNumberFormat="1" applyFont="1" applyFill="1" applyBorder="1" applyAlignment="1">
      <alignment vertical="center"/>
    </xf>
    <xf numFmtId="1" fontId="9" fillId="2" borderId="9" xfId="0" applyNumberFormat="1" applyFont="1" applyFill="1" applyBorder="1" applyAlignment="1">
      <alignment vertical="center"/>
    </xf>
    <xf numFmtId="1" fontId="9" fillId="2" borderId="51" xfId="0" applyNumberFormat="1" applyFont="1" applyFill="1" applyBorder="1" applyAlignment="1" applyProtection="1">
      <alignment vertical="center"/>
      <protection locked="0"/>
    </xf>
    <xf numFmtId="1" fontId="9" fillId="2" borderId="9" xfId="0" applyNumberFormat="1" applyFont="1" applyFill="1" applyBorder="1" applyAlignment="1" applyProtection="1">
      <alignment vertical="center"/>
      <protection locked="0"/>
    </xf>
    <xf numFmtId="0" fontId="25" fillId="0" borderId="0" xfId="0" applyFont="1"/>
    <xf numFmtId="0" fontId="84" fillId="0" borderId="61" xfId="0" applyFont="1" applyBorder="1" applyAlignment="1">
      <alignment vertical="center"/>
    </xf>
    <xf numFmtId="0" fontId="84" fillId="0" borderId="35" xfId="0" applyFont="1" applyBorder="1" applyAlignment="1">
      <alignment horizontal="center" vertical="center"/>
    </xf>
    <xf numFmtId="0" fontId="84" fillId="0" borderId="15" xfId="0" applyFont="1" applyBorder="1" applyAlignment="1">
      <alignment vertical="center"/>
    </xf>
    <xf numFmtId="0" fontId="84" fillId="0" borderId="37" xfId="0" applyFont="1" applyBorder="1" applyAlignment="1">
      <alignment horizontal="center" vertical="center"/>
    </xf>
    <xf numFmtId="0" fontId="84" fillId="0" borderId="24" xfId="0" applyFont="1" applyBorder="1" applyAlignment="1">
      <alignment vertical="center" wrapText="1"/>
    </xf>
    <xf numFmtId="0" fontId="84"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3" fillId="0" borderId="0" xfId="0" applyFont="1"/>
    <xf numFmtId="49" fontId="61" fillId="2" borderId="9" xfId="0" applyNumberFormat="1" applyFont="1" applyFill="1" applyBorder="1" applyAlignment="1" applyProtection="1">
      <alignment horizontal="center" vertical="center"/>
      <protection locked="0"/>
    </xf>
    <xf numFmtId="0" fontId="90" fillId="0" borderId="0" xfId="0" applyFont="1" applyAlignment="1">
      <alignment vertical="center"/>
    </xf>
    <xf numFmtId="0" fontId="91" fillId="0" borderId="0" xfId="0" applyFont="1"/>
    <xf numFmtId="0" fontId="92" fillId="0" borderId="0" xfId="0" applyFont="1" applyAlignment="1">
      <alignment vertical="center"/>
    </xf>
    <xf numFmtId="0" fontId="93" fillId="0" borderId="0" xfId="0" applyFont="1"/>
    <xf numFmtId="0" fontId="94" fillId="0" borderId="0" xfId="0" applyFont="1" applyAlignment="1">
      <alignment vertical="center"/>
    </xf>
    <xf numFmtId="0" fontId="95" fillId="0" borderId="0" xfId="0" applyFont="1"/>
    <xf numFmtId="0" fontId="25" fillId="2" borderId="0" xfId="0" applyFont="1" applyFill="1"/>
    <xf numFmtId="0" fontId="3" fillId="2" borderId="20" xfId="0" applyFont="1" applyFill="1" applyBorder="1" applyAlignment="1">
      <alignment horizontal="left" vertical="top" wrapText="1"/>
    </xf>
    <xf numFmtId="1" fontId="11" fillId="13" borderId="0" xfId="0" applyNumberFormat="1" applyFont="1" applyFill="1" applyAlignment="1">
      <alignment vertical="center"/>
    </xf>
    <xf numFmtId="0" fontId="0" fillId="0" borderId="0" xfId="0" applyAlignment="1">
      <alignment horizontal="justify" vertical="top" wrapText="1"/>
    </xf>
    <xf numFmtId="0" fontId="18" fillId="2" borderId="3" xfId="0" applyFont="1" applyFill="1" applyBorder="1" applyAlignment="1" applyProtection="1">
      <alignment horizontal="left" vertical="top" wrapText="1"/>
      <protection locked="0"/>
    </xf>
    <xf numFmtId="0" fontId="9" fillId="13" borderId="0" xfId="0" applyFont="1" applyFill="1"/>
    <xf numFmtId="0" fontId="9" fillId="13" borderId="0" xfId="0" applyFont="1" applyFill="1" applyAlignment="1">
      <alignment horizontal="justify" vertical="top"/>
    </xf>
    <xf numFmtId="0" fontId="9" fillId="13" borderId="0" xfId="0" applyFont="1" applyFill="1" applyAlignment="1">
      <alignment horizontal="center" vertical="top"/>
    </xf>
    <xf numFmtId="0" fontId="9" fillId="13" borderId="0" xfId="0" applyFont="1" applyFill="1" applyAlignment="1">
      <alignment horizontal="justify" vertical="top" wrapText="1"/>
    </xf>
    <xf numFmtId="0" fontId="11" fillId="13" borderId="0" xfId="0" applyFont="1" applyFill="1" applyAlignment="1">
      <alignment vertical="center"/>
    </xf>
    <xf numFmtId="0" fontId="11" fillId="13" borderId="0" xfId="0" applyFont="1" applyFill="1" applyAlignment="1">
      <alignment horizontal="left" vertical="center"/>
    </xf>
    <xf numFmtId="0" fontId="9" fillId="13" borderId="0" xfId="0" applyFont="1" applyFill="1" applyAlignment="1">
      <alignment vertical="center" wrapText="1"/>
    </xf>
    <xf numFmtId="0" fontId="9" fillId="13" borderId="15" xfId="0" applyFont="1" applyFill="1" applyBorder="1" applyAlignment="1" applyProtection="1">
      <alignment horizontal="left" vertical="center" wrapText="1" indent="1"/>
      <protection locked="0"/>
    </xf>
    <xf numFmtId="0" fontId="9" fillId="13" borderId="20" xfId="0" applyFont="1" applyFill="1" applyBorder="1" applyAlignment="1" applyProtection="1">
      <alignment horizontal="left" vertical="center" wrapText="1" indent="1"/>
      <protection locked="0"/>
    </xf>
    <xf numFmtId="0" fontId="9" fillId="13" borderId="21" xfId="0" applyFont="1" applyFill="1" applyBorder="1" applyAlignment="1" applyProtection="1">
      <alignment horizontal="left" vertical="center" wrapText="1" indent="1"/>
      <protection locked="0"/>
    </xf>
    <xf numFmtId="0" fontId="11" fillId="13" borderId="0" xfId="0" applyFont="1" applyFill="1" applyAlignment="1">
      <alignment vertical="center" wrapText="1"/>
    </xf>
    <xf numFmtId="0" fontId="11" fillId="13" borderId="7" xfId="0" applyFont="1" applyFill="1" applyBorder="1" applyAlignment="1">
      <alignment vertical="center"/>
    </xf>
    <xf numFmtId="0" fontId="11" fillId="13" borderId="7" xfId="0" applyFont="1" applyFill="1" applyBorder="1" applyAlignment="1">
      <alignment vertical="center" wrapText="1"/>
    </xf>
    <xf numFmtId="0" fontId="9" fillId="13" borderId="7" xfId="0" applyFont="1" applyFill="1" applyBorder="1" applyAlignment="1" applyProtection="1">
      <alignment vertical="center" wrapText="1"/>
      <protection locked="0"/>
    </xf>
    <xf numFmtId="0" fontId="72" fillId="13" borderId="0" xfId="1" applyFont="1" applyFill="1" applyAlignment="1" applyProtection="1">
      <alignment vertical="center"/>
    </xf>
    <xf numFmtId="0" fontId="17" fillId="0" borderId="0" xfId="0" applyFont="1" applyAlignment="1">
      <alignment horizontal="justify" vertical="top"/>
    </xf>
    <xf numFmtId="0" fontId="3" fillId="0" borderId="0" xfId="0" applyFont="1" applyAlignment="1">
      <alignment horizontal="justify" vertical="top"/>
    </xf>
    <xf numFmtId="0" fontId="0" fillId="0" borderId="0" xfId="0" applyAlignment="1">
      <alignment horizontal="justify" vertical="top"/>
    </xf>
    <xf numFmtId="0" fontId="17" fillId="0" borderId="0" xfId="0" applyFont="1" applyAlignment="1">
      <alignment horizontal="justify" vertical="top" wrapText="1"/>
    </xf>
    <xf numFmtId="1" fontId="17" fillId="0" borderId="33" xfId="0" applyNumberFormat="1" applyFont="1" applyBorder="1" applyAlignment="1">
      <alignment horizontal="justify" vertical="top" wrapText="1"/>
    </xf>
    <xf numFmtId="1" fontId="17" fillId="0" borderId="62" xfId="0" applyNumberFormat="1" applyFont="1" applyBorder="1" applyAlignment="1">
      <alignment horizontal="justify" vertical="top" wrapText="1"/>
    </xf>
    <xf numFmtId="1" fontId="17" fillId="0" borderId="40" xfId="0" applyNumberFormat="1" applyFont="1" applyBorder="1" applyAlignment="1">
      <alignment horizontal="justify" vertical="top" wrapText="1"/>
    </xf>
    <xf numFmtId="1" fontId="17" fillId="0" borderId="25" xfId="0" applyNumberFormat="1" applyFont="1" applyBorder="1" applyAlignment="1">
      <alignment horizontal="justify" vertical="top" wrapText="1"/>
    </xf>
    <xf numFmtId="1" fontId="17" fillId="0" borderId="64" xfId="0" applyNumberFormat="1" applyFont="1" applyBorder="1" applyAlignment="1">
      <alignment horizontal="justify" vertical="top" wrapText="1"/>
    </xf>
    <xf numFmtId="0" fontId="13" fillId="0" borderId="28" xfId="0" applyFont="1" applyBorder="1" applyAlignment="1">
      <alignment horizontal="justify" vertical="top" wrapText="1"/>
    </xf>
    <xf numFmtId="1" fontId="17" fillId="0" borderId="16" xfId="0" applyNumberFormat="1" applyFont="1" applyBorder="1" applyAlignment="1">
      <alignment horizontal="justify" vertical="top" wrapText="1"/>
    </xf>
    <xf numFmtId="1" fontId="17" fillId="0" borderId="21" xfId="0" applyNumberFormat="1" applyFont="1" applyBorder="1" applyAlignment="1">
      <alignment horizontal="justify" vertical="top" wrapText="1"/>
    </xf>
    <xf numFmtId="0" fontId="17" fillId="0" borderId="5" xfId="0" applyFont="1" applyBorder="1" applyAlignment="1">
      <alignment horizontal="justify" vertical="top" wrapText="1"/>
    </xf>
    <xf numFmtId="1" fontId="17" fillId="0" borderId="5" xfId="0" applyNumberFormat="1" applyFont="1" applyBorder="1" applyAlignment="1">
      <alignment horizontal="justify" vertical="top" wrapText="1"/>
    </xf>
    <xf numFmtId="1" fontId="17" fillId="0" borderId="0" xfId="0" applyNumberFormat="1" applyFont="1" applyAlignment="1">
      <alignment horizontal="justify" vertical="top" wrapText="1"/>
    </xf>
    <xf numFmtId="1" fontId="17" fillId="0" borderId="2" xfId="0" applyNumberFormat="1" applyFont="1" applyBorder="1" applyAlignment="1">
      <alignment horizontal="justify" vertical="top" wrapText="1"/>
    </xf>
    <xf numFmtId="1" fontId="17"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3" fillId="0" borderId="59" xfId="0" applyFont="1" applyBorder="1" applyAlignment="1">
      <alignment horizontal="justify" vertical="top" wrapText="1"/>
    </xf>
    <xf numFmtId="0" fontId="13" fillId="0" borderId="52" xfId="0" applyFont="1" applyBorder="1" applyAlignment="1">
      <alignment horizontal="justify" vertical="top" wrapText="1"/>
    </xf>
    <xf numFmtId="0" fontId="17" fillId="0" borderId="63" xfId="0" applyFont="1" applyBorder="1" applyAlignment="1">
      <alignment horizontal="justify" vertical="top" wrapText="1"/>
    </xf>
    <xf numFmtId="1" fontId="17" fillId="0" borderId="65" xfId="0" applyNumberFormat="1" applyFont="1" applyBorder="1" applyAlignment="1">
      <alignment horizontal="justify" vertical="top" wrapText="1"/>
    </xf>
    <xf numFmtId="0" fontId="17" fillId="0" borderId="15" xfId="0" applyFont="1" applyBorder="1" applyAlignment="1">
      <alignment horizontal="justify" vertical="top" wrapText="1"/>
    </xf>
    <xf numFmtId="1" fontId="17" fillId="0" borderId="38" xfId="0" applyNumberFormat="1" applyFont="1" applyBorder="1" applyAlignment="1">
      <alignment horizontal="justify" vertical="top" wrapText="1"/>
    </xf>
    <xf numFmtId="0" fontId="17" fillId="0" borderId="22" xfId="0" applyFont="1" applyBorder="1" applyAlignment="1">
      <alignment horizontal="justify" vertical="top" wrapText="1"/>
    </xf>
    <xf numFmtId="1" fontId="17" fillId="0" borderId="18" xfId="0" applyNumberFormat="1" applyFont="1" applyBorder="1" applyAlignment="1">
      <alignment horizontal="justify" vertical="top" wrapText="1"/>
    </xf>
    <xf numFmtId="1" fontId="17" fillId="0" borderId="0" xfId="0" applyNumberFormat="1" applyFont="1" applyAlignment="1">
      <alignment horizontal="justify" vertical="top"/>
    </xf>
    <xf numFmtId="1" fontId="17" fillId="0" borderId="35" xfId="0" applyNumberFormat="1" applyFont="1" applyBorder="1" applyAlignment="1">
      <alignment horizontal="justify" vertical="top"/>
    </xf>
    <xf numFmtId="1" fontId="17" fillId="0" borderId="36" xfId="0" applyNumberFormat="1" applyFont="1" applyBorder="1" applyAlignment="1">
      <alignment horizontal="justify" vertical="top"/>
    </xf>
    <xf numFmtId="0" fontId="13" fillId="0" borderId="0" xfId="0" applyFont="1" applyAlignment="1">
      <alignment horizontal="justify" vertical="top"/>
    </xf>
    <xf numFmtId="0" fontId="37" fillId="0" borderId="0" xfId="0" applyFont="1" applyAlignment="1">
      <alignment horizontal="justify" vertical="top"/>
    </xf>
    <xf numFmtId="0" fontId="4" fillId="0" borderId="0" xfId="0" applyFont="1" applyAlignment="1">
      <alignment horizontal="justify" vertical="top"/>
    </xf>
    <xf numFmtId="0" fontId="0" fillId="2" borderId="0" xfId="0" applyFill="1" applyAlignment="1">
      <alignment horizontal="center"/>
    </xf>
    <xf numFmtId="0" fontId="96" fillId="0" borderId="0" xfId="0" applyFont="1" applyAlignment="1">
      <alignment vertical="top" wrapText="1"/>
    </xf>
    <xf numFmtId="0" fontId="9" fillId="13" borderId="0" xfId="0" applyFont="1" applyFill="1" applyAlignment="1">
      <alignment horizontal="center" vertical="center" wrapText="1"/>
    </xf>
    <xf numFmtId="0" fontId="76" fillId="13" borderId="0" xfId="0" applyFont="1" applyFill="1" applyAlignment="1">
      <alignment vertical="top" wrapText="1"/>
    </xf>
    <xf numFmtId="20" fontId="61" fillId="2" borderId="66" xfId="0" applyNumberFormat="1" applyFont="1" applyFill="1" applyBorder="1" applyAlignment="1" applyProtection="1">
      <alignment horizontal="center" vertical="center" wrapText="1"/>
      <protection locked="0"/>
    </xf>
    <xf numFmtId="0" fontId="9" fillId="13" borderId="0" xfId="0" applyFont="1" applyFill="1" applyAlignment="1">
      <alignment horizontal="center" vertical="center"/>
    </xf>
    <xf numFmtId="0" fontId="4" fillId="0" borderId="9" xfId="0" applyFont="1" applyBorder="1" applyAlignment="1">
      <alignment horizontal="center" vertical="center" wrapText="1"/>
    </xf>
    <xf numFmtId="0" fontId="4" fillId="0" borderId="32"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43" xfId="0" applyFont="1" applyBorder="1" applyAlignment="1">
      <alignment horizontal="center" vertical="center" wrapText="1"/>
    </xf>
    <xf numFmtId="0" fontId="3" fillId="0" borderId="30" xfId="0" applyFont="1" applyBorder="1" applyAlignment="1">
      <alignment horizontal="center" vertical="center" wrapText="1"/>
    </xf>
    <xf numFmtId="1" fontId="3" fillId="0" borderId="33" xfId="0" applyNumberFormat="1" applyFont="1" applyBorder="1" applyAlignment="1">
      <alignment horizontal="center" vertical="center" wrapText="1"/>
    </xf>
    <xf numFmtId="1" fontId="3" fillId="0" borderId="60" xfId="0" applyNumberFormat="1" applyFont="1" applyBorder="1" applyAlignment="1">
      <alignment horizontal="center" vertical="center"/>
    </xf>
    <xf numFmtId="1" fontId="3" fillId="0" borderId="39" xfId="0" applyNumberFormat="1" applyFont="1" applyBorder="1" applyAlignment="1">
      <alignment horizontal="center" vertical="center"/>
    </xf>
    <xf numFmtId="0" fontId="3" fillId="0" borderId="51" xfId="0" applyFont="1" applyBorder="1" applyAlignment="1">
      <alignment horizontal="center" vertical="center" wrapText="1"/>
    </xf>
    <xf numFmtId="1" fontId="3" fillId="0" borderId="52" xfId="0" applyNumberFormat="1" applyFont="1" applyBorder="1" applyAlignment="1">
      <alignment horizontal="center" vertical="center" wrapText="1"/>
    </xf>
    <xf numFmtId="1" fontId="3" fillId="0" borderId="41" xfId="0" applyNumberFormat="1" applyFont="1" applyBorder="1" applyAlignment="1">
      <alignment horizontal="center" vertical="center"/>
    </xf>
    <xf numFmtId="1" fontId="3" fillId="0" borderId="62" xfId="0" applyNumberFormat="1" applyFont="1" applyBorder="1" applyAlignment="1">
      <alignment horizontal="center" vertical="center" wrapText="1"/>
    </xf>
    <xf numFmtId="1" fontId="3" fillId="0" borderId="40" xfId="0" applyNumberFormat="1" applyFont="1" applyBorder="1" applyAlignment="1">
      <alignment horizontal="center" vertical="center" wrapText="1"/>
    </xf>
    <xf numFmtId="1" fontId="3" fillId="0" borderId="25" xfId="0" applyNumberFormat="1" applyFont="1" applyBorder="1" applyAlignment="1">
      <alignment horizontal="center" vertical="center" wrapText="1"/>
    </xf>
    <xf numFmtId="1" fontId="3" fillId="0" borderId="64" xfId="0" applyNumberFormat="1" applyFont="1" applyBorder="1" applyAlignment="1">
      <alignment horizontal="center" vertical="center" wrapText="1"/>
    </xf>
    <xf numFmtId="0" fontId="3" fillId="0" borderId="37" xfId="0" applyFont="1" applyBorder="1" applyAlignment="1">
      <alignment horizontal="center" vertical="center" wrapText="1"/>
    </xf>
    <xf numFmtId="0" fontId="3" fillId="0" borderId="36" xfId="0" applyFont="1" applyBorder="1" applyAlignment="1">
      <alignment horizontal="center" vertical="center" wrapText="1"/>
    </xf>
    <xf numFmtId="1" fontId="3" fillId="0" borderId="16" xfId="0" applyNumberFormat="1" applyFont="1" applyBorder="1" applyAlignment="1">
      <alignment horizontal="center" vertical="center" wrapText="1"/>
    </xf>
    <xf numFmtId="0" fontId="3" fillId="0" borderId="67" xfId="0" applyFont="1" applyBorder="1" applyAlignment="1">
      <alignment horizontal="center" vertical="center" wrapText="1"/>
    </xf>
    <xf numFmtId="0" fontId="3" fillId="0" borderId="35" xfId="0" applyFont="1" applyBorder="1" applyAlignment="1">
      <alignment horizontal="center" vertical="center" wrapText="1"/>
    </xf>
    <xf numFmtId="1" fontId="3" fillId="0" borderId="68" xfId="0" applyNumberFormat="1" applyFont="1" applyBorder="1" applyAlignment="1">
      <alignment horizontal="center" vertical="center" wrapText="1"/>
    </xf>
    <xf numFmtId="1" fontId="3" fillId="0" borderId="69" xfId="0" applyNumberFormat="1" applyFont="1" applyBorder="1" applyAlignment="1">
      <alignment horizontal="center" vertical="center" wrapText="1"/>
    </xf>
    <xf numFmtId="1" fontId="3" fillId="0" borderId="39" xfId="0" applyNumberFormat="1" applyFont="1" applyBorder="1" applyAlignment="1">
      <alignment horizontal="center" vertical="center" wrapText="1"/>
    </xf>
    <xf numFmtId="1" fontId="3" fillId="0" borderId="29"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1" fontId="3" fillId="0" borderId="2" xfId="0" applyNumberFormat="1" applyFont="1" applyBorder="1" applyAlignment="1">
      <alignment horizontal="center" vertical="center" wrapText="1"/>
    </xf>
    <xf numFmtId="1" fontId="3" fillId="0" borderId="28" xfId="0" applyNumberFormat="1" applyFont="1" applyBorder="1" applyAlignment="1">
      <alignment horizontal="center" vertical="center" wrapText="1"/>
    </xf>
    <xf numFmtId="0" fontId="4" fillId="0" borderId="6" xfId="0" applyFont="1" applyBorder="1" applyAlignment="1">
      <alignment horizontal="center" vertical="center" wrapText="1"/>
    </xf>
    <xf numFmtId="1" fontId="3" fillId="0" borderId="60" xfId="0" applyNumberFormat="1" applyFont="1" applyBorder="1" applyAlignment="1">
      <alignment horizontal="center" vertical="center" wrapText="1"/>
    </xf>
    <xf numFmtId="1" fontId="40" fillId="2" borderId="1" xfId="0" applyNumberFormat="1" applyFont="1" applyFill="1" applyBorder="1" applyAlignment="1" applyProtection="1">
      <alignment horizontal="center" vertical="center"/>
      <protection locked="0"/>
    </xf>
    <xf numFmtId="1" fontId="39" fillId="5" borderId="1" xfId="0" applyNumberFormat="1" applyFont="1" applyFill="1" applyBorder="1" applyAlignment="1">
      <alignment horizontal="center"/>
    </xf>
    <xf numFmtId="1" fontId="55" fillId="5" borderId="1" xfId="0" applyNumberFormat="1" applyFont="1" applyFill="1" applyBorder="1" applyAlignment="1">
      <alignment horizontal="center" vertical="center" wrapText="1"/>
    </xf>
    <xf numFmtId="1" fontId="39" fillId="5" borderId="19" xfId="0" applyNumberFormat="1" applyFont="1" applyFill="1" applyBorder="1" applyAlignment="1">
      <alignment horizontal="center" vertical="center"/>
    </xf>
    <xf numFmtId="1" fontId="3" fillId="0" borderId="0" xfId="0" applyNumberFormat="1" applyFont="1"/>
    <xf numFmtId="1" fontId="3" fillId="0" borderId="0" xfId="0" quotePrefix="1" applyNumberFormat="1" applyFont="1"/>
    <xf numFmtId="0" fontId="97" fillId="0" borderId="0" xfId="0" applyFont="1" applyAlignment="1">
      <alignment horizontal="left" vertical="top" wrapText="1"/>
    </xf>
    <xf numFmtId="166" fontId="17" fillId="0" borderId="0" xfId="0" applyNumberFormat="1" applyFont="1" applyAlignment="1">
      <alignment horizontal="left"/>
    </xf>
    <xf numFmtId="0" fontId="13" fillId="0" borderId="0" xfId="0" applyFont="1" applyAlignment="1">
      <alignment horizontal="justify"/>
    </xf>
    <xf numFmtId="0" fontId="3" fillId="0" borderId="0" xfId="0" applyFont="1" applyAlignment="1">
      <alignment horizontal="left" vertical="center"/>
    </xf>
    <xf numFmtId="0" fontId="3" fillId="0" borderId="0" xfId="0" applyFont="1" applyAlignment="1">
      <alignment horizontal="right" vertical="center" wrapText="1"/>
    </xf>
    <xf numFmtId="0" fontId="79" fillId="0" borderId="0" xfId="0" applyFont="1" applyAlignment="1">
      <alignment horizontal="left" vertical="center" wrapText="1"/>
    </xf>
    <xf numFmtId="0" fontId="4" fillId="0" borderId="0" xfId="0" applyFont="1" applyAlignment="1">
      <alignment horizontal="left" vertical="center" wrapText="1"/>
    </xf>
    <xf numFmtId="0" fontId="79" fillId="0" borderId="0" xfId="0" applyFont="1" applyAlignment="1">
      <alignment horizontal="left" vertical="center"/>
    </xf>
    <xf numFmtId="0" fontId="13" fillId="0" borderId="3" xfId="0" applyFont="1" applyBorder="1" applyAlignment="1">
      <alignment vertical="top"/>
    </xf>
    <xf numFmtId="173" fontId="0" fillId="2" borderId="0" xfId="0" applyNumberFormat="1" applyFill="1"/>
    <xf numFmtId="0" fontId="98" fillId="0" borderId="0" xfId="0" applyFont="1" applyAlignment="1">
      <alignment vertical="top" wrapText="1"/>
    </xf>
    <xf numFmtId="0" fontId="17" fillId="0" borderId="0" xfId="0" applyFont="1" applyAlignment="1">
      <alignment horizontal="right" vertical="top" wrapText="1"/>
    </xf>
    <xf numFmtId="0" fontId="82" fillId="0" borderId="0" xfId="0" applyFont="1" applyAlignment="1">
      <alignment horizontal="left" vertical="top" wrapText="1"/>
    </xf>
    <xf numFmtId="0" fontId="3" fillId="2" borderId="3" xfId="0" applyFont="1" applyFill="1" applyBorder="1" applyAlignment="1">
      <alignment horizontal="center" vertical="top" wrapText="1"/>
    </xf>
    <xf numFmtId="0" fontId="3" fillId="2" borderId="29" xfId="0" applyFont="1" applyFill="1" applyBorder="1" applyAlignment="1">
      <alignment horizontal="center" vertical="top" wrapText="1"/>
    </xf>
    <xf numFmtId="0" fontId="82" fillId="0" borderId="0" xfId="0" applyFont="1" applyAlignment="1">
      <alignment vertical="top" wrapText="1"/>
    </xf>
    <xf numFmtId="0" fontId="99" fillId="0" borderId="0" xfId="0" applyFont="1" applyAlignment="1">
      <alignment horizontal="right" vertical="top" wrapText="1"/>
    </xf>
    <xf numFmtId="0" fontId="4" fillId="16" borderId="0" xfId="0" applyFont="1" applyFill="1" applyAlignment="1">
      <alignment vertical="top" wrapText="1"/>
    </xf>
    <xf numFmtId="0" fontId="4" fillId="17" borderId="1" xfId="0" applyFont="1" applyFill="1" applyBorder="1" applyAlignment="1">
      <alignment horizontal="center" wrapText="1"/>
    </xf>
    <xf numFmtId="0" fontId="105" fillId="0" borderId="0" xfId="0" applyFont="1" applyAlignment="1">
      <alignment vertical="center"/>
    </xf>
    <xf numFmtId="0" fontId="106" fillId="8" borderId="61" xfId="0" applyFont="1" applyFill="1" applyBorder="1" applyAlignment="1">
      <alignment vertical="center"/>
    </xf>
    <xf numFmtId="0" fontId="106" fillId="14" borderId="35" xfId="0" applyFont="1" applyFill="1" applyBorder="1" applyAlignment="1">
      <alignment horizontal="center" vertical="center"/>
    </xf>
    <xf numFmtId="0" fontId="106" fillId="8" borderId="15" xfId="0" applyFont="1" applyFill="1" applyBorder="1" applyAlignment="1">
      <alignment vertical="center"/>
    </xf>
    <xf numFmtId="0" fontId="106" fillId="14" borderId="37" xfId="0" applyFont="1" applyFill="1" applyBorder="1" applyAlignment="1">
      <alignment horizontal="center" vertical="center"/>
    </xf>
    <xf numFmtId="0" fontId="106" fillId="8" borderId="70" xfId="0" applyFont="1" applyFill="1" applyBorder="1" applyAlignment="1">
      <alignment vertical="center"/>
    </xf>
    <xf numFmtId="0" fontId="106" fillId="14" borderId="71" xfId="0" applyFont="1" applyFill="1" applyBorder="1" applyAlignment="1">
      <alignment horizontal="center" vertical="center"/>
    </xf>
    <xf numFmtId="0" fontId="106" fillId="8" borderId="24" xfId="0" applyFont="1" applyFill="1" applyBorder="1" applyAlignment="1">
      <alignment vertical="center" wrapText="1"/>
    </xf>
    <xf numFmtId="0" fontId="106" fillId="14" borderId="36" xfId="0" applyFont="1" applyFill="1" applyBorder="1" applyAlignment="1">
      <alignment horizontal="center" vertical="center"/>
    </xf>
    <xf numFmtId="0" fontId="17" fillId="0" borderId="0" xfId="0" applyFont="1" applyAlignment="1">
      <alignment horizontal="left" vertical="top"/>
    </xf>
    <xf numFmtId="1" fontId="17" fillId="7" borderId="30" xfId="0" applyNumberFormat="1" applyFont="1" applyFill="1" applyBorder="1" applyAlignment="1">
      <alignment horizontal="center" vertical="center" wrapText="1"/>
    </xf>
    <xf numFmtId="1" fontId="17" fillId="7" borderId="37" xfId="0" applyNumberFormat="1" applyFont="1" applyFill="1" applyBorder="1" applyAlignment="1">
      <alignment horizontal="center" vertical="center" wrapText="1"/>
    </xf>
    <xf numFmtId="1" fontId="17" fillId="7" borderId="36" xfId="0" applyNumberFormat="1" applyFont="1" applyFill="1" applyBorder="1" applyAlignment="1">
      <alignment horizontal="center" vertical="center" wrapText="1"/>
    </xf>
    <xf numFmtId="165" fontId="42" fillId="2" borderId="35" xfId="0" applyNumberFormat="1" applyFont="1" applyFill="1" applyBorder="1" applyAlignment="1" applyProtection="1">
      <alignment horizontal="center"/>
      <protection locked="0"/>
    </xf>
    <xf numFmtId="165" fontId="42" fillId="2" borderId="36" xfId="0" applyNumberFormat="1" applyFont="1" applyFill="1" applyBorder="1" applyAlignment="1" applyProtection="1">
      <alignment horizontal="center"/>
      <protection locked="0"/>
    </xf>
    <xf numFmtId="1" fontId="9" fillId="10" borderId="72" xfId="0" applyNumberFormat="1" applyFont="1" applyFill="1" applyBorder="1" applyAlignment="1">
      <alignment horizontal="center" vertical="center"/>
    </xf>
    <xf numFmtId="1" fontId="9" fillId="2" borderId="10" xfId="0" applyNumberFormat="1" applyFont="1" applyFill="1" applyBorder="1" applyAlignment="1" applyProtection="1">
      <alignment horizontal="center" vertical="center"/>
      <protection locked="0"/>
    </xf>
    <xf numFmtId="1" fontId="9" fillId="2" borderId="72" xfId="0" applyNumberFormat="1" applyFont="1" applyFill="1" applyBorder="1" applyAlignment="1" applyProtection="1">
      <alignment horizontal="center" vertical="center"/>
      <protection locked="0"/>
    </xf>
    <xf numFmtId="1" fontId="9" fillId="11" borderId="11" xfId="0" applyNumberFormat="1" applyFont="1" applyFill="1" applyBorder="1" applyAlignment="1">
      <alignment horizontal="center" vertical="center"/>
    </xf>
    <xf numFmtId="1" fontId="9" fillId="10" borderId="11" xfId="0" applyNumberFormat="1" applyFont="1" applyFill="1" applyBorder="1" applyAlignment="1">
      <alignment horizontal="center" vertical="center"/>
    </xf>
    <xf numFmtId="1" fontId="3" fillId="0" borderId="30" xfId="0" applyNumberFormat="1" applyFont="1" applyBorder="1" applyAlignment="1">
      <alignment horizontal="center" vertical="center" wrapText="1"/>
    </xf>
    <xf numFmtId="0" fontId="9" fillId="13" borderId="0" xfId="0" applyFont="1" applyFill="1" applyAlignment="1" applyProtection="1">
      <alignment horizontal="left" vertical="center" wrapText="1" indent="1"/>
      <protection locked="0"/>
    </xf>
    <xf numFmtId="0" fontId="9" fillId="13" borderId="0" xfId="0" applyFont="1" applyFill="1" applyAlignment="1" applyProtection="1">
      <alignment vertical="center" wrapText="1"/>
      <protection locked="0"/>
    </xf>
    <xf numFmtId="0" fontId="0" fillId="8" borderId="71" xfId="0" applyFill="1" applyBorder="1"/>
    <xf numFmtId="49" fontId="4" fillId="2" borderId="3" xfId="0" applyNumberFormat="1" applyFont="1" applyFill="1" applyBorder="1" applyAlignment="1" applyProtection="1">
      <alignment horizontal="left" wrapText="1" shrinkToFit="1"/>
      <protection locked="0"/>
    </xf>
    <xf numFmtId="1" fontId="71" fillId="0" borderId="0" xfId="0" applyNumberFormat="1" applyFont="1" applyAlignment="1">
      <alignment vertical="center" wrapText="1"/>
    </xf>
    <xf numFmtId="0" fontId="42" fillId="2" borderId="57" xfId="0" applyFont="1" applyFill="1" applyBorder="1" applyAlignment="1" applyProtection="1">
      <alignment horizontal="center" vertical="center"/>
      <protection locked="0"/>
    </xf>
    <xf numFmtId="1" fontId="39" fillId="2" borderId="48" xfId="0" applyNumberFormat="1" applyFont="1" applyFill="1" applyBorder="1" applyAlignment="1" applyProtection="1">
      <alignment horizontal="center" vertical="center"/>
      <protection locked="0"/>
    </xf>
    <xf numFmtId="1" fontId="55" fillId="2" borderId="46" xfId="0" applyNumberFormat="1" applyFont="1" applyFill="1" applyBorder="1" applyAlignment="1">
      <alignment horizontal="center" vertical="center"/>
    </xf>
    <xf numFmtId="0" fontId="3" fillId="13" borderId="0" xfId="0" applyFont="1" applyFill="1" applyAlignment="1">
      <alignment horizontal="center" vertical="center" wrapText="1"/>
    </xf>
    <xf numFmtId="20" fontId="107" fillId="0" borderId="66" xfId="0" applyNumberFormat="1" applyFont="1" applyBorder="1" applyAlignment="1" applyProtection="1">
      <alignment horizontal="center" vertical="center" wrapText="1"/>
      <protection locked="0"/>
    </xf>
    <xf numFmtId="0" fontId="107" fillId="0" borderId="9" xfId="0" applyFont="1" applyBorder="1" applyAlignment="1" applyProtection="1">
      <alignment horizontal="center" vertical="center"/>
      <protection locked="0"/>
    </xf>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8" fillId="0" borderId="0" xfId="0" applyFont="1"/>
    <xf numFmtId="0" fontId="27" fillId="0" borderId="0" xfId="0" applyFont="1" applyAlignment="1">
      <alignment horizontal="right" vertical="top" wrapText="1"/>
    </xf>
    <xf numFmtId="14" fontId="3" fillId="0" borderId="0" xfId="0" applyNumberFormat="1" applyFont="1" applyAlignment="1">
      <alignment vertical="top" wrapText="1"/>
    </xf>
    <xf numFmtId="0" fontId="104" fillId="0" borderId="1" xfId="0" applyFont="1" applyBorder="1" applyAlignment="1">
      <alignment horizontal="center" wrapText="1" shrinkToFit="1"/>
    </xf>
    <xf numFmtId="0" fontId="104" fillId="0" borderId="1" xfId="0" applyFont="1" applyBorder="1" applyAlignment="1">
      <alignment vertical="top" wrapText="1" shrinkToFit="1"/>
    </xf>
    <xf numFmtId="14" fontId="17" fillId="0" borderId="1" xfId="0" applyNumberFormat="1" applyFont="1" applyBorder="1" applyAlignment="1">
      <alignment vertical="center" wrapText="1" shrinkToFit="1"/>
    </xf>
    <xf numFmtId="0" fontId="111" fillId="0" borderId="1" xfId="0" applyFont="1" applyBorder="1" applyAlignment="1">
      <alignment vertical="center" wrapText="1" shrinkToFit="1"/>
    </xf>
    <xf numFmtId="0" fontId="17" fillId="0" borderId="1" xfId="0" applyFont="1" applyBorder="1" applyAlignment="1">
      <alignment vertical="center" wrapText="1" shrinkToFit="1"/>
    </xf>
    <xf numFmtId="14" fontId="111" fillId="0" borderId="1" xfId="0" applyNumberFormat="1" applyFont="1" applyBorder="1" applyAlignment="1">
      <alignment vertical="center" wrapText="1" shrinkToFit="1"/>
    </xf>
    <xf numFmtId="49" fontId="109" fillId="0" borderId="1" xfId="0" applyNumberFormat="1" applyFont="1" applyBorder="1" applyAlignment="1">
      <alignment horizontal="center"/>
    </xf>
    <xf numFmtId="0" fontId="0" fillId="0" borderId="77" xfId="0" applyBorder="1" applyAlignment="1">
      <alignment vertical="top" wrapText="1"/>
    </xf>
    <xf numFmtId="0" fontId="0" fillId="0" borderId="29" xfId="0" applyBorder="1" applyAlignment="1">
      <alignment vertical="top" wrapText="1"/>
    </xf>
    <xf numFmtId="0" fontId="4" fillId="0" borderId="0" xfId="0" applyFont="1" applyAlignment="1" applyProtection="1">
      <alignment horizontal="center" vertical="top" wrapText="1"/>
      <protection locked="0"/>
    </xf>
    <xf numFmtId="0" fontId="27" fillId="19" borderId="0" xfId="0" applyFont="1" applyFill="1" applyAlignment="1">
      <alignment vertical="top" wrapText="1"/>
    </xf>
    <xf numFmtId="0" fontId="27" fillId="19" borderId="1" xfId="0" applyFont="1" applyFill="1" applyBorder="1" applyAlignment="1">
      <alignment horizontal="right" vertical="top" wrapText="1"/>
    </xf>
    <xf numFmtId="14" fontId="27" fillId="19" borderId="1" xfId="0" applyNumberFormat="1" applyFont="1" applyFill="1" applyBorder="1" applyAlignment="1">
      <alignment vertical="top" wrapText="1"/>
    </xf>
    <xf numFmtId="0" fontId="36" fillId="19" borderId="0" xfId="0" applyFont="1" applyFill="1" applyAlignment="1">
      <alignment vertical="top" wrapText="1"/>
    </xf>
    <xf numFmtId="14" fontId="36" fillId="19" borderId="0" xfId="0" applyNumberFormat="1" applyFont="1" applyFill="1" applyAlignment="1">
      <alignment vertical="top" wrapText="1"/>
    </xf>
    <xf numFmtId="0" fontId="3" fillId="19" borderId="1" xfId="0" applyFont="1" applyFill="1" applyBorder="1" applyAlignment="1">
      <alignment horizontal="right" vertical="top" wrapText="1"/>
    </xf>
    <xf numFmtId="14" fontId="3" fillId="19" borderId="1" xfId="0" applyNumberFormat="1" applyFont="1" applyFill="1" applyBorder="1" applyAlignment="1">
      <alignment vertical="top" wrapText="1"/>
    </xf>
    <xf numFmtId="0" fontId="17" fillId="19" borderId="0" xfId="0" applyFont="1" applyFill="1" applyAlignment="1">
      <alignment horizontal="right" vertical="top" wrapText="1"/>
    </xf>
    <xf numFmtId="0" fontId="37" fillId="19" borderId="9" xfId="0" applyFont="1" applyFill="1" applyBorder="1" applyAlignment="1" applyProtection="1">
      <alignment horizontal="left" vertical="top" wrapText="1"/>
      <protection locked="0"/>
    </xf>
    <xf numFmtId="0" fontId="17" fillId="19" borderId="4" xfId="0" applyFont="1" applyFill="1" applyBorder="1" applyAlignment="1" applyProtection="1">
      <alignment horizontal="right" vertical="top" wrapText="1"/>
      <protection locked="0"/>
    </xf>
    <xf numFmtId="0" fontId="3" fillId="19" borderId="0" xfId="0" applyFont="1" applyFill="1" applyAlignment="1">
      <alignment horizontal="left" wrapText="1"/>
    </xf>
    <xf numFmtId="49" fontId="4"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77" xfId="0" applyFill="1" applyBorder="1" applyAlignment="1">
      <alignment vertical="top" wrapText="1"/>
    </xf>
    <xf numFmtId="0" fontId="3" fillId="19" borderId="77" xfId="0" applyFont="1" applyFill="1" applyBorder="1" applyAlignment="1">
      <alignment vertical="top" wrapText="1"/>
    </xf>
    <xf numFmtId="0" fontId="89" fillId="0" borderId="0" xfId="0" applyFont="1"/>
    <xf numFmtId="165" fontId="10" fillId="7" borderId="29" xfId="0" applyNumberFormat="1" applyFont="1" applyFill="1" applyBorder="1" applyAlignment="1">
      <alignment horizontal="center"/>
    </xf>
    <xf numFmtId="165" fontId="10" fillId="7" borderId="2" xfId="0" applyNumberFormat="1" applyFont="1" applyFill="1" applyBorder="1" applyAlignment="1">
      <alignment horizontal="center"/>
    </xf>
    <xf numFmtId="165" fontId="9" fillId="2" borderId="11" xfId="0" applyNumberFormat="1" applyFont="1" applyFill="1" applyBorder="1" applyAlignment="1">
      <alignment horizontal="center" vertical="center"/>
    </xf>
    <xf numFmtId="1" fontId="39" fillId="2" borderId="65" xfId="0" applyNumberFormat="1" applyFont="1" applyFill="1" applyBorder="1" applyAlignment="1" applyProtection="1">
      <alignment horizontal="center" vertical="center"/>
      <protection locked="0"/>
    </xf>
    <xf numFmtId="1" fontId="55"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4" fillId="2" borderId="3" xfId="0" applyFont="1" applyFill="1" applyBorder="1" applyAlignment="1" applyProtection="1">
      <alignment wrapText="1"/>
      <protection locked="0"/>
    </xf>
    <xf numFmtId="0" fontId="4" fillId="19" borderId="3" xfId="0" applyFont="1" applyFill="1" applyBorder="1" applyAlignment="1" applyProtection="1">
      <alignment wrapText="1"/>
      <protection locked="0"/>
    </xf>
    <xf numFmtId="0" fontId="113" fillId="20" borderId="1" xfId="5" applyFont="1" applyFill="1" applyBorder="1" applyAlignment="1">
      <alignment horizontal="center" vertical="center"/>
    </xf>
    <xf numFmtId="0" fontId="1" fillId="0" borderId="0" xfId="5"/>
    <xf numFmtId="0" fontId="113" fillId="20" borderId="1" xfId="5" applyFont="1" applyFill="1" applyBorder="1" applyAlignment="1">
      <alignment horizontal="left" vertical="center" wrapText="1"/>
    </xf>
    <xf numFmtId="0" fontId="1" fillId="0" borderId="1" xfId="5" applyBorder="1" applyAlignment="1">
      <alignment horizontal="left" vertical="top" wrapText="1"/>
    </xf>
    <xf numFmtId="0" fontId="0" fillId="0" borderId="0" xfId="0" applyAlignment="1">
      <alignment horizontal="center" vertical="top" wrapText="1"/>
    </xf>
    <xf numFmtId="0" fontId="0" fillId="0" borderId="0" xfId="0" applyAlignment="1">
      <alignment vertical="top" wrapText="1"/>
    </xf>
    <xf numFmtId="0" fontId="65" fillId="0" borderId="4" xfId="0" applyFont="1" applyBorder="1" applyAlignment="1">
      <alignment vertical="top" wrapText="1"/>
    </xf>
    <xf numFmtId="0" fontId="0" fillId="0" borderId="4" xfId="0" applyBorder="1"/>
    <xf numFmtId="0" fontId="40" fillId="2" borderId="20" xfId="0" applyFont="1" applyFill="1" applyBorder="1" applyAlignment="1" applyProtection="1">
      <alignment horizontal="left" vertical="center" wrapText="1"/>
      <protection locked="0"/>
    </xf>
    <xf numFmtId="0" fontId="0" fillId="0" borderId="20" xfId="0" applyBorder="1" applyProtection="1">
      <protection locked="0"/>
    </xf>
    <xf numFmtId="0" fontId="50" fillId="0" borderId="0" xfId="0" applyFont="1" applyAlignment="1">
      <alignment horizontal="center" vertical="top" wrapText="1"/>
    </xf>
    <xf numFmtId="0" fontId="37" fillId="0" borderId="0" xfId="0" applyFont="1" applyAlignment="1">
      <alignment vertical="top" wrapText="1"/>
    </xf>
    <xf numFmtId="0" fontId="6" fillId="0" borderId="38" xfId="0" applyFont="1" applyBorder="1" applyAlignment="1">
      <alignment vertical="top" wrapText="1"/>
    </xf>
    <xf numFmtId="0" fontId="0" fillId="0" borderId="20" xfId="0" applyBorder="1"/>
    <xf numFmtId="0" fontId="0" fillId="0" borderId="16" xfId="0" applyBorder="1"/>
    <xf numFmtId="0" fontId="3"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6" fillId="0" borderId="38" xfId="0" applyFont="1" applyBorder="1" applyAlignment="1">
      <alignment horizontal="left" vertical="top" wrapText="1"/>
    </xf>
    <xf numFmtId="0" fontId="3" fillId="2" borderId="3" xfId="0" applyFont="1" applyFill="1" applyBorder="1" applyAlignment="1" applyProtection="1">
      <alignment horizontal="left" vertical="top" wrapText="1"/>
      <protection locked="0"/>
    </xf>
    <xf numFmtId="0" fontId="0" fillId="0" borderId="3" xfId="0" applyBorder="1" applyProtection="1">
      <protection locked="0"/>
    </xf>
    <xf numFmtId="0" fontId="3" fillId="0" borderId="0" xfId="0" applyFont="1" applyAlignment="1">
      <alignment horizontal="left" vertical="top" wrapText="1"/>
    </xf>
    <xf numFmtId="0" fontId="3" fillId="0" borderId="48" xfId="0" applyFont="1" applyBorder="1" applyAlignment="1">
      <alignment vertical="top" wrapText="1"/>
    </xf>
    <xf numFmtId="0" fontId="0" fillId="0" borderId="56" xfId="0" applyBorder="1"/>
    <xf numFmtId="0" fontId="0" fillId="0" borderId="68" xfId="0" applyBorder="1"/>
    <xf numFmtId="0" fontId="4" fillId="0" borderId="0" xfId="0" applyFont="1" applyAlignment="1" applyProtection="1">
      <alignment horizontal="left" vertical="top" wrapText="1"/>
      <protection locked="0"/>
    </xf>
    <xf numFmtId="0" fontId="0" fillId="0" borderId="0" xfId="0" applyProtection="1">
      <protection locked="0"/>
    </xf>
    <xf numFmtId="0" fontId="39"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4" fillId="2" borderId="20" xfId="0" applyFont="1" applyFill="1" applyBorder="1" applyAlignment="1" applyProtection="1">
      <alignment horizontal="left" vertical="top" wrapText="1"/>
      <protection locked="0"/>
    </xf>
    <xf numFmtId="0" fontId="3" fillId="0" borderId="0" xfId="0" applyFont="1" applyAlignment="1">
      <alignment horizontal="center" vertical="top" wrapText="1"/>
    </xf>
    <xf numFmtId="0" fontId="3"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3" fillId="0" borderId="0" xfId="0" applyFont="1" applyAlignment="1">
      <alignment horizontal="left" vertical="center" wrapText="1"/>
    </xf>
    <xf numFmtId="0" fontId="6" fillId="0" borderId="0" xfId="0" applyFont="1" applyAlignment="1">
      <alignment vertical="top" wrapText="1"/>
    </xf>
    <xf numFmtId="0" fontId="4" fillId="2" borderId="3" xfId="0" applyFont="1" applyFill="1" applyBorder="1" applyAlignment="1" applyProtection="1">
      <alignment horizontal="left" wrapText="1"/>
      <protection locked="0"/>
    </xf>
    <xf numFmtId="0" fontId="3" fillId="18" borderId="20" xfId="0" applyFont="1" applyFill="1" applyBorder="1" applyAlignment="1">
      <alignment horizontal="left" vertical="top" wrapText="1"/>
    </xf>
    <xf numFmtId="0" fontId="27" fillId="0" borderId="0" xfId="0" applyFont="1" applyAlignment="1">
      <alignment vertical="top" wrapText="1"/>
    </xf>
    <xf numFmtId="0" fontId="3"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50" fillId="0" borderId="0" xfId="0" applyFont="1" applyAlignment="1">
      <alignment horizontal="center" vertical="center"/>
    </xf>
    <xf numFmtId="0" fontId="3" fillId="18" borderId="3" xfId="0" applyFont="1" applyFill="1" applyBorder="1" applyAlignment="1" applyProtection="1">
      <alignment horizontal="left" vertical="top" wrapText="1" shrinkToFit="1"/>
      <protection locked="0"/>
    </xf>
    <xf numFmtId="0" fontId="65" fillId="0" borderId="0" xfId="0" applyFont="1" applyAlignment="1">
      <alignment vertical="top" wrapText="1"/>
    </xf>
    <xf numFmtId="0" fontId="50" fillId="0" borderId="0" xfId="0" applyFont="1" applyAlignment="1">
      <alignment horizontal="center" vertical="center" wrapText="1"/>
    </xf>
    <xf numFmtId="0" fontId="4" fillId="2" borderId="0" xfId="0" applyFont="1" applyFill="1" applyAlignment="1">
      <alignment horizontal="center" vertical="top" wrapText="1"/>
    </xf>
    <xf numFmtId="0" fontId="11" fillId="0" borderId="0" xfId="0" applyFont="1" applyAlignment="1">
      <alignment horizontal="center" vertical="top" wrapText="1"/>
    </xf>
    <xf numFmtId="0" fontId="13" fillId="2" borderId="73" xfId="0" applyFont="1" applyFill="1" applyBorder="1" applyAlignment="1" applyProtection="1">
      <alignment horizontal="left" vertical="top" wrapText="1" shrinkToFit="1"/>
      <protection locked="0"/>
    </xf>
    <xf numFmtId="0" fontId="0" fillId="0" borderId="73" xfId="0" applyBorder="1" applyProtection="1">
      <protection locked="0"/>
    </xf>
    <xf numFmtId="0" fontId="4" fillId="2" borderId="79" xfId="0" applyFont="1" applyFill="1" applyBorder="1" applyAlignment="1" applyProtection="1">
      <alignment horizontal="left" wrapText="1"/>
      <protection locked="0"/>
    </xf>
    <xf numFmtId="0" fontId="17" fillId="0" borderId="0" xfId="0" quotePrefix="1" applyFont="1" applyAlignment="1">
      <alignment horizontal="center" wrapText="1"/>
    </xf>
    <xf numFmtId="0" fontId="3" fillId="2" borderId="3" xfId="0" applyFont="1" applyFill="1" applyBorder="1" applyAlignment="1" applyProtection="1">
      <alignment horizontal="center" vertical="center" wrapText="1"/>
      <protection locked="0"/>
    </xf>
    <xf numFmtId="0" fontId="4" fillId="0" borderId="0" xfId="0" applyFont="1" applyAlignment="1">
      <alignment horizontal="center" vertical="top" wrapText="1"/>
    </xf>
    <xf numFmtId="0" fontId="6" fillId="0" borderId="0" xfId="0" applyFont="1" applyAlignment="1" applyProtection="1">
      <alignment vertical="top" wrapText="1"/>
      <protection locked="0"/>
    </xf>
    <xf numFmtId="0" fontId="99" fillId="0" borderId="0" xfId="0" applyFont="1" applyAlignment="1">
      <alignment horizontal="center" vertical="top" wrapText="1"/>
    </xf>
    <xf numFmtId="0" fontId="3" fillId="0" borderId="38" xfId="0" applyFont="1" applyBorder="1" applyAlignment="1">
      <alignment vertical="top" wrapText="1"/>
    </xf>
    <xf numFmtId="0" fontId="4" fillId="2" borderId="3" xfId="0" applyFont="1" applyFill="1" applyBorder="1" applyAlignment="1" applyProtection="1">
      <alignment horizontal="left" vertical="center" wrapText="1"/>
      <protection locked="0"/>
    </xf>
    <xf numFmtId="0" fontId="50" fillId="0" borderId="0" xfId="0" applyFont="1" applyAlignment="1">
      <alignment horizontal="center"/>
    </xf>
    <xf numFmtId="0" fontId="4" fillId="0" borderId="0" xfId="0" applyFont="1" applyAlignment="1">
      <alignment horizontal="right" vertical="top"/>
    </xf>
    <xf numFmtId="0" fontId="3" fillId="18" borderId="3" xfId="0" applyFont="1" applyFill="1" applyBorder="1" applyAlignment="1">
      <alignment horizontal="left" vertical="center" wrapText="1"/>
    </xf>
    <xf numFmtId="0" fontId="0" fillId="0" borderId="3" xfId="0" applyBorder="1"/>
    <xf numFmtId="0" fontId="80" fillId="0" borderId="0" xfId="0" applyFont="1" applyAlignment="1">
      <alignment horizontal="left" vertical="center" wrapText="1"/>
    </xf>
    <xf numFmtId="0" fontId="96" fillId="0" borderId="0" xfId="0" applyFont="1" applyAlignment="1">
      <alignment horizontal="justify" vertical="top" wrapText="1"/>
    </xf>
    <xf numFmtId="0" fontId="6" fillId="0" borderId="0" xfId="0" applyFont="1" applyAlignment="1">
      <alignment horizontal="justify" vertical="top" wrapText="1"/>
    </xf>
    <xf numFmtId="2" fontId="14" fillId="0" borderId="7" xfId="0" applyNumberFormat="1" applyFont="1" applyBorder="1" applyAlignment="1">
      <alignment horizontal="center" vertical="center"/>
    </xf>
    <xf numFmtId="1" fontId="0" fillId="0" borderId="0" xfId="0" applyNumberFormat="1"/>
    <xf numFmtId="165" fontId="0" fillId="0" borderId="0" xfId="0" applyNumberFormat="1"/>
    <xf numFmtId="0" fontId="0" fillId="0" borderId="7" xfId="0" applyBorder="1"/>
    <xf numFmtId="0" fontId="41" fillId="10" borderId="42" xfId="0" applyFont="1" applyFill="1" applyBorder="1" applyAlignment="1">
      <alignment horizontal="center" vertical="center" wrapText="1"/>
    </xf>
    <xf numFmtId="0" fontId="0" fillId="0" borderId="59" xfId="0" applyBorder="1"/>
    <xf numFmtId="0" fontId="41" fillId="10" borderId="43" xfId="0" applyFont="1" applyFill="1" applyBorder="1" applyAlignment="1">
      <alignment horizontal="center" vertical="center" wrapText="1"/>
    </xf>
    <xf numFmtId="0" fontId="0" fillId="0" borderId="47" xfId="0" applyBorder="1"/>
    <xf numFmtId="1" fontId="41" fillId="4" borderId="0" xfId="0" applyNumberFormat="1" applyFont="1" applyFill="1" applyAlignment="1">
      <alignment horizontal="right"/>
    </xf>
    <xf numFmtId="0" fontId="43" fillId="5" borderId="11" xfId="0" applyFont="1" applyFill="1" applyBorder="1" applyAlignment="1">
      <alignment horizontal="center" vertical="center"/>
    </xf>
    <xf numFmtId="0" fontId="0" fillId="0" borderId="13" xfId="0" applyBorder="1"/>
    <xf numFmtId="0" fontId="0" fillId="0" borderId="14" xfId="0" applyBorder="1"/>
    <xf numFmtId="0" fontId="41" fillId="4" borderId="22" xfId="0" applyFont="1" applyFill="1" applyBorder="1" applyAlignment="1">
      <alignment horizontal="center"/>
    </xf>
    <xf numFmtId="0" fontId="0" fillId="0" borderId="23" xfId="0" applyBorder="1"/>
    <xf numFmtId="0" fontId="100" fillId="4" borderId="11" xfId="0" applyFont="1" applyFill="1" applyBorder="1" applyAlignment="1">
      <alignment horizontal="center" vertical="center" wrapText="1"/>
    </xf>
    <xf numFmtId="1" fontId="3" fillId="0" borderId="0" xfId="0" applyNumberFormat="1" applyFont="1" applyAlignment="1">
      <alignment horizontal="center"/>
    </xf>
    <xf numFmtId="0" fontId="0" fillId="0" borderId="0" xfId="0"/>
    <xf numFmtId="1" fontId="3" fillId="0" borderId="51" xfId="0" applyNumberFormat="1" applyFont="1" applyBorder="1" applyAlignment="1">
      <alignment horizontal="center"/>
    </xf>
    <xf numFmtId="0" fontId="0" fillId="0" borderId="28" xfId="0" applyBorder="1"/>
    <xf numFmtId="1" fontId="3" fillId="0" borderId="11" xfId="0" applyNumberFormat="1" applyFont="1" applyBorder="1" applyAlignment="1">
      <alignment horizontal="center" vertical="top"/>
    </xf>
    <xf numFmtId="1" fontId="43" fillId="4" borderId="7" xfId="0" applyNumberFormat="1" applyFont="1" applyFill="1" applyBorder="1" applyAlignment="1">
      <alignment horizontal="left" vertical="center" wrapText="1"/>
    </xf>
    <xf numFmtId="1" fontId="45" fillId="5" borderId="5" xfId="0" applyNumberFormat="1" applyFont="1" applyFill="1" applyBorder="1" applyAlignment="1">
      <alignment horizontal="left"/>
    </xf>
    <xf numFmtId="0" fontId="0" fillId="0" borderId="5" xfId="0" applyBorder="1"/>
    <xf numFmtId="0" fontId="41" fillId="10" borderId="10" xfId="0" applyFont="1" applyFill="1" applyBorder="1" applyAlignment="1">
      <alignment horizontal="center" vertical="center" wrapText="1"/>
    </xf>
    <xf numFmtId="165" fontId="68" fillId="4" borderId="78" xfId="0" applyNumberFormat="1" applyFont="1" applyFill="1" applyBorder="1" applyAlignment="1">
      <alignment horizontal="center" vertical="center" wrapText="1"/>
    </xf>
    <xf numFmtId="0" fontId="0" fillId="0" borderId="8" xfId="0" applyBorder="1"/>
    <xf numFmtId="0" fontId="0" fillId="0" borderId="75" xfId="0" applyBorder="1"/>
    <xf numFmtId="1" fontId="3" fillId="0" borderId="11" xfId="0" applyNumberFormat="1" applyFont="1" applyBorder="1" applyAlignment="1">
      <alignment horizontal="center"/>
    </xf>
    <xf numFmtId="0" fontId="58" fillId="5" borderId="22" xfId="0" applyFont="1" applyFill="1" applyBorder="1" applyAlignment="1">
      <alignment horizontal="center"/>
    </xf>
    <xf numFmtId="0" fontId="45" fillId="5" borderId="5" xfId="0" applyFont="1" applyFill="1" applyBorder="1" applyAlignment="1">
      <alignment horizontal="left"/>
    </xf>
    <xf numFmtId="0" fontId="41" fillId="10" borderId="51" xfId="0" applyFont="1" applyFill="1" applyBorder="1" applyAlignment="1">
      <alignment horizontal="center" vertical="center" wrapText="1"/>
    </xf>
    <xf numFmtId="0" fontId="0" fillId="0" borderId="51" xfId="0" applyBorder="1"/>
    <xf numFmtId="0" fontId="45" fillId="5" borderId="9" xfId="0" applyFont="1" applyFill="1" applyBorder="1" applyAlignment="1">
      <alignment horizontal="left"/>
    </xf>
    <xf numFmtId="0" fontId="0" fillId="0" borderId="6" xfId="0" applyBorder="1"/>
    <xf numFmtId="1" fontId="71" fillId="0" borderId="7" xfId="0" applyNumberFormat="1" applyFont="1" applyBorder="1" applyAlignment="1">
      <alignment horizontal="center" vertical="center" wrapText="1"/>
    </xf>
    <xf numFmtId="0" fontId="47" fillId="0" borderId="0" xfId="0" applyFont="1"/>
    <xf numFmtId="1" fontId="43" fillId="4" borderId="11" xfId="0" applyNumberFormat="1" applyFont="1" applyFill="1" applyBorder="1" applyAlignment="1" applyProtection="1">
      <alignment horizontal="center"/>
      <protection locked="0"/>
    </xf>
    <xf numFmtId="0" fontId="0" fillId="0" borderId="13" xfId="0" applyBorder="1" applyProtection="1">
      <protection locked="0"/>
    </xf>
    <xf numFmtId="0" fontId="0" fillId="0" borderId="14" xfId="0" applyBorder="1" applyProtection="1">
      <protection locked="0"/>
    </xf>
    <xf numFmtId="1" fontId="41" fillId="10" borderId="23" xfId="0" applyNumberFormat="1" applyFont="1" applyFill="1" applyBorder="1" applyAlignment="1">
      <alignment horizontal="right" vertical="center" wrapText="1"/>
    </xf>
    <xf numFmtId="1" fontId="41" fillId="4" borderId="16" xfId="0" applyNumberFormat="1" applyFont="1" applyFill="1" applyBorder="1" applyAlignment="1">
      <alignment horizontal="right"/>
    </xf>
    <xf numFmtId="0" fontId="70" fillId="5" borderId="9" xfId="0" applyFont="1" applyFill="1" applyBorder="1" applyAlignment="1">
      <alignment horizontal="center" vertical="top" wrapText="1"/>
    </xf>
    <xf numFmtId="1" fontId="43" fillId="5" borderId="61" xfId="0" applyNumberFormat="1" applyFont="1" applyFill="1" applyBorder="1" applyAlignment="1">
      <alignment horizontal="right"/>
    </xf>
    <xf numFmtId="1" fontId="41" fillId="4" borderId="3" xfId="0" applyNumberFormat="1" applyFont="1" applyFill="1" applyBorder="1" applyAlignment="1">
      <alignment horizontal="right"/>
    </xf>
    <xf numFmtId="1" fontId="66" fillId="5" borderId="13" xfId="0" applyNumberFormat="1" applyFont="1" applyFill="1" applyBorder="1" applyAlignment="1">
      <alignment horizontal="center" vertical="center" wrapText="1"/>
    </xf>
    <xf numFmtId="0" fontId="43" fillId="5" borderId="51" xfId="0" applyFont="1" applyFill="1" applyBorder="1" applyAlignment="1">
      <alignment horizontal="left" vertical="top" wrapText="1" readingOrder="1"/>
    </xf>
    <xf numFmtId="0" fontId="0" fillId="0" borderId="22" xfId="0" applyBorder="1"/>
    <xf numFmtId="0" fontId="45" fillId="5" borderId="10" xfId="0" applyFont="1" applyFill="1" applyBorder="1" applyAlignment="1">
      <alignment horizontal="left"/>
    </xf>
    <xf numFmtId="0" fontId="41" fillId="10" borderId="22" xfId="0" applyFont="1" applyFill="1" applyBorder="1" applyAlignment="1">
      <alignment horizontal="right"/>
    </xf>
    <xf numFmtId="1" fontId="45" fillId="5" borderId="9" xfId="0" applyNumberFormat="1" applyFont="1" applyFill="1" applyBorder="1"/>
    <xf numFmtId="1" fontId="45" fillId="5" borderId="6" xfId="0" applyNumberFormat="1" applyFont="1" applyFill="1" applyBorder="1" applyAlignment="1">
      <alignment horizontal="left"/>
    </xf>
    <xf numFmtId="1" fontId="45" fillId="5" borderId="9" xfId="0" applyNumberFormat="1" applyFont="1" applyFill="1" applyBorder="1" applyAlignment="1">
      <alignment horizontal="left"/>
    </xf>
    <xf numFmtId="0" fontId="43" fillId="4" borderId="0" xfId="0" applyFont="1" applyFill="1" applyAlignment="1">
      <alignment horizontal="center" vertical="center" wrapText="1"/>
    </xf>
    <xf numFmtId="1" fontId="43" fillId="10" borderId="11" xfId="0" applyNumberFormat="1" applyFont="1" applyFill="1" applyBorder="1" applyAlignment="1">
      <alignment horizontal="center" vertical="center"/>
    </xf>
    <xf numFmtId="0" fontId="45"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165" fontId="42"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6" fillId="7" borderId="6" xfId="0" applyNumberFormat="1" applyFont="1" applyFill="1" applyBorder="1" applyAlignment="1">
      <alignment horizontal="left" vertical="center" wrapText="1"/>
    </xf>
    <xf numFmtId="0" fontId="4" fillId="3" borderId="1" xfId="0" applyFont="1" applyFill="1" applyBorder="1" applyAlignment="1">
      <alignment horizontal="center" vertical="center" wrapText="1"/>
    </xf>
    <xf numFmtId="0" fontId="42" fillId="5" borderId="34" xfId="0" applyFont="1" applyFill="1" applyBorder="1" applyAlignment="1">
      <alignment horizontal="left" wrapText="1"/>
    </xf>
    <xf numFmtId="0" fontId="42" fillId="0" borderId="0" xfId="0" applyFont="1"/>
    <xf numFmtId="1" fontId="45" fillId="5" borderId="6" xfId="0" applyNumberFormat="1" applyFont="1" applyFill="1" applyBorder="1"/>
    <xf numFmtId="1" fontId="4" fillId="3" borderId="19" xfId="0" applyNumberFormat="1" applyFont="1" applyFill="1" applyBorder="1" applyAlignment="1">
      <alignment horizontal="center" vertical="top" wrapText="1"/>
    </xf>
    <xf numFmtId="0" fontId="0" fillId="0" borderId="74" xfId="0" applyBorder="1"/>
    <xf numFmtId="0" fontId="43" fillId="5" borderId="38" xfId="0" applyFont="1" applyFill="1" applyBorder="1" applyAlignment="1">
      <alignment horizontal="center" vertical="center"/>
    </xf>
    <xf numFmtId="0" fontId="6" fillId="2" borderId="9" xfId="0" applyFont="1" applyFill="1" applyBorder="1" applyAlignment="1" applyProtection="1">
      <alignment horizontal="left" vertical="top"/>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0" fillId="0" borderId="28" xfId="0" applyBorder="1" applyProtection="1">
      <protection locked="0"/>
    </xf>
    <xf numFmtId="0" fontId="44" fillId="5" borderId="51" xfId="0" applyFont="1" applyFill="1" applyBorder="1" applyAlignment="1">
      <alignment horizontal="center" wrapText="1"/>
    </xf>
    <xf numFmtId="0" fontId="60" fillId="4" borderId="11" xfId="0" applyFont="1" applyFill="1" applyBorder="1" applyAlignment="1">
      <alignment horizontal="right" vertical="center" wrapText="1"/>
    </xf>
    <xf numFmtId="2" fontId="5" fillId="0" borderId="7" xfId="0" applyNumberFormat="1" applyFont="1" applyBorder="1" applyAlignment="1">
      <alignment horizontal="left"/>
    </xf>
    <xf numFmtId="0" fontId="60" fillId="7" borderId="9" xfId="0" applyFont="1" applyFill="1" applyBorder="1" applyAlignment="1">
      <alignment horizontal="left" vertical="center" wrapText="1"/>
    </xf>
    <xf numFmtId="0" fontId="42" fillId="5" borderId="76" xfId="0" applyFont="1" applyFill="1" applyBorder="1" applyAlignment="1">
      <alignment horizontal="right" wrapText="1"/>
    </xf>
    <xf numFmtId="0" fontId="0" fillId="0" borderId="44" xfId="0" applyBorder="1"/>
    <xf numFmtId="0" fontId="41" fillId="10" borderId="31" xfId="0" applyFont="1" applyFill="1" applyBorder="1" applyAlignment="1">
      <alignment horizontal="center" vertical="center" wrapText="1"/>
    </xf>
    <xf numFmtId="0" fontId="0" fillId="0" borderId="50" xfId="0" applyBorder="1"/>
    <xf numFmtId="165" fontId="41" fillId="10" borderId="11" xfId="0" applyNumberFormat="1" applyFont="1" applyFill="1" applyBorder="1" applyAlignment="1">
      <alignment horizontal="center"/>
    </xf>
    <xf numFmtId="2" fontId="41" fillId="10" borderId="24" xfId="0" applyNumberFormat="1" applyFont="1" applyFill="1" applyBorder="1" applyAlignment="1">
      <alignment horizontal="justify" vertical="center"/>
    </xf>
    <xf numFmtId="0" fontId="0" fillId="0" borderId="27" xfId="0" applyBorder="1"/>
    <xf numFmtId="2" fontId="46" fillId="10" borderId="9" xfId="0" applyNumberFormat="1" applyFont="1" applyFill="1" applyBorder="1" applyAlignment="1">
      <alignment horizontal="center" vertical="center" wrapText="1"/>
    </xf>
    <xf numFmtId="165" fontId="60" fillId="10" borderId="11" xfId="0" applyNumberFormat="1" applyFont="1" applyFill="1" applyBorder="1" applyAlignment="1">
      <alignment horizontal="center" vertical="center"/>
    </xf>
    <xf numFmtId="0" fontId="46" fillId="5" borderId="9" xfId="0" applyFont="1" applyFill="1" applyBorder="1" applyAlignment="1">
      <alignment horizontal="center"/>
    </xf>
    <xf numFmtId="1" fontId="43" fillId="4" borderId="51" xfId="0" applyNumberFormat="1" applyFont="1" applyFill="1" applyBorder="1" applyAlignment="1" applyProtection="1">
      <alignment horizontal="center"/>
      <protection locked="0"/>
    </xf>
    <xf numFmtId="169" fontId="45" fillId="5" borderId="6" xfId="0" applyNumberFormat="1" applyFont="1" applyFill="1" applyBorder="1" applyAlignment="1">
      <alignment horizontal="left"/>
    </xf>
    <xf numFmtId="0" fontId="4" fillId="0" borderId="0" xfId="0" applyFont="1" applyAlignment="1">
      <alignment horizontal="center"/>
    </xf>
    <xf numFmtId="0" fontId="0" fillId="0" borderId="0" xfId="0" applyAlignment="1">
      <alignment horizontal="center"/>
    </xf>
    <xf numFmtId="0" fontId="11" fillId="6" borderId="1" xfId="0" applyFont="1" applyFill="1" applyBorder="1" applyAlignment="1">
      <alignment horizontal="center" vertical="center" wrapText="1"/>
    </xf>
    <xf numFmtId="0" fontId="0" fillId="0" borderId="29" xfId="0" applyBorder="1"/>
    <xf numFmtId="0" fontId="43" fillId="10" borderId="61" xfId="0" applyFont="1" applyFill="1" applyBorder="1" applyAlignment="1">
      <alignment horizontal="justify" vertical="center"/>
    </xf>
    <xf numFmtId="1" fontId="45" fillId="5" borderId="23" xfId="0" applyNumberFormat="1" applyFont="1" applyFill="1" applyBorder="1" applyAlignment="1">
      <alignment horizontal="left"/>
    </xf>
    <xf numFmtId="0" fontId="45"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1" fillId="10" borderId="7" xfId="0" applyFont="1" applyFill="1" applyBorder="1" applyAlignment="1">
      <alignment horizontal="right"/>
    </xf>
    <xf numFmtId="0" fontId="60" fillId="5" borderId="11" xfId="0" applyFont="1" applyFill="1" applyBorder="1" applyAlignment="1">
      <alignment horizontal="left"/>
    </xf>
    <xf numFmtId="1" fontId="45" fillId="5" borderId="5" xfId="0" applyNumberFormat="1" applyFont="1" applyFill="1" applyBorder="1"/>
    <xf numFmtId="0" fontId="43" fillId="5" borderId="1" xfId="0" applyFont="1" applyFill="1" applyBorder="1" applyAlignment="1">
      <alignment horizontal="center" vertical="center"/>
    </xf>
    <xf numFmtId="0" fontId="43" fillId="4" borderId="8" xfId="0" applyFont="1" applyFill="1" applyBorder="1" applyAlignment="1">
      <alignment horizontal="right" vertical="center" wrapText="1"/>
    </xf>
    <xf numFmtId="0" fontId="41" fillId="10" borderId="9" xfId="0" applyFont="1" applyFill="1" applyBorder="1" applyAlignment="1">
      <alignment horizontal="center" vertical="center" wrapText="1"/>
    </xf>
    <xf numFmtId="0" fontId="41" fillId="10" borderId="61" xfId="0" applyFont="1" applyFill="1" applyBorder="1" applyAlignment="1">
      <alignment horizontal="justify" vertical="center"/>
    </xf>
    <xf numFmtId="0" fontId="43" fillId="5" borderId="9" xfId="0" applyFont="1" applyFill="1" applyBorder="1" applyAlignment="1">
      <alignment horizontal="left" vertical="top"/>
    </xf>
    <xf numFmtId="0" fontId="60" fillId="10" borderId="9" xfId="0" applyFont="1" applyFill="1" applyBorder="1" applyAlignment="1">
      <alignment horizontal="left" vertical="center"/>
    </xf>
    <xf numFmtId="2" fontId="48" fillId="10" borderId="24" xfId="0" applyNumberFormat="1" applyFont="1" applyFill="1" applyBorder="1" applyAlignment="1">
      <alignment horizontal="justify" vertical="center"/>
    </xf>
    <xf numFmtId="0" fontId="43" fillId="4" borderId="22" xfId="0" applyFont="1" applyFill="1" applyBorder="1" applyAlignment="1">
      <alignment horizontal="center"/>
    </xf>
    <xf numFmtId="0" fontId="11" fillId="6" borderId="9" xfId="0" applyFont="1" applyFill="1" applyBorder="1" applyAlignment="1">
      <alignment horizontal="center" vertical="center" wrapText="1"/>
    </xf>
    <xf numFmtId="0" fontId="48" fillId="10" borderId="61" xfId="0" applyFont="1" applyFill="1" applyBorder="1" applyAlignment="1">
      <alignment horizontal="justify" vertical="center"/>
    </xf>
    <xf numFmtId="1" fontId="41" fillId="4" borderId="29" xfId="0" applyNumberFormat="1" applyFont="1" applyFill="1" applyBorder="1" applyAlignment="1">
      <alignment horizontal="right"/>
    </xf>
    <xf numFmtId="0" fontId="0" fillId="0" borderId="33" xfId="0" applyBorder="1"/>
    <xf numFmtId="1" fontId="56" fillId="3" borderId="19" xfId="0" applyNumberFormat="1" applyFont="1" applyFill="1" applyBorder="1" applyAlignment="1">
      <alignment horizontal="center" vertical="center" wrapText="1"/>
    </xf>
    <xf numFmtId="2" fontId="12" fillId="0" borderId="7" xfId="0" applyNumberFormat="1" applyFont="1" applyBorder="1" applyAlignment="1">
      <alignment horizontal="left"/>
    </xf>
    <xf numFmtId="0" fontId="56" fillId="3" borderId="1" xfId="0" applyFont="1" applyFill="1" applyBorder="1" applyAlignment="1">
      <alignment horizontal="center" vertical="center" wrapText="1"/>
    </xf>
    <xf numFmtId="20" fontId="55" fillId="0" borderId="9" xfId="0" applyNumberFormat="1" applyFont="1" applyBorder="1" applyAlignment="1">
      <alignment horizontal="center" vertical="center" wrapText="1"/>
    </xf>
    <xf numFmtId="0" fontId="0" fillId="2" borderId="0" xfId="0" applyFill="1" applyAlignment="1">
      <alignment horizontal="center" vertical="center" wrapText="1"/>
    </xf>
    <xf numFmtId="0" fontId="0" fillId="2" borderId="0" xfId="0" applyFill="1"/>
    <xf numFmtId="0" fontId="84" fillId="2" borderId="9" xfId="0" applyFont="1" applyFill="1" applyBorder="1" applyAlignment="1">
      <alignment horizontal="center" vertical="center" wrapText="1"/>
    </xf>
    <xf numFmtId="173" fontId="0" fillId="2" borderId="0" xfId="0" applyNumberFormat="1" applyFill="1" applyAlignment="1">
      <alignment horizontal="center"/>
    </xf>
    <xf numFmtId="0" fontId="4" fillId="2" borderId="11" xfId="0" applyFont="1" applyFill="1" applyBorder="1" applyAlignment="1">
      <alignment horizontal="center" vertical="center" wrapText="1"/>
    </xf>
    <xf numFmtId="0" fontId="18" fillId="13" borderId="0" xfId="0" applyFont="1" applyFill="1" applyAlignment="1">
      <alignment horizontal="center" vertical="top"/>
    </xf>
    <xf numFmtId="20" fontId="107"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3" fillId="13" borderId="0" xfId="0" applyFont="1" applyFill="1" applyAlignment="1">
      <alignment horizontal="center" vertical="center" wrapText="1"/>
    </xf>
    <xf numFmtId="0" fontId="9" fillId="13" borderId="0" xfId="0" applyFont="1" applyFill="1" applyAlignment="1">
      <alignment horizontal="justify" vertical="top" wrapText="1"/>
    </xf>
    <xf numFmtId="49" fontId="3" fillId="13" borderId="0" xfId="0" applyNumberFormat="1" applyFont="1" applyFill="1" applyAlignment="1">
      <alignment horizontal="center" vertical="center" wrapText="1"/>
    </xf>
    <xf numFmtId="0" fontId="8" fillId="13" borderId="0" xfId="0" applyFont="1" applyFill="1" applyAlignment="1">
      <alignment horizontal="center" vertical="top"/>
    </xf>
    <xf numFmtId="0" fontId="4" fillId="2" borderId="9" xfId="0" applyFont="1" applyFill="1" applyBorder="1" applyAlignment="1">
      <alignment horizontal="center" vertical="center" wrapText="1"/>
    </xf>
    <xf numFmtId="0" fontId="3" fillId="13" borderId="4" xfId="0" applyFont="1" applyFill="1" applyBorder="1" applyAlignment="1">
      <alignment horizontal="center" vertical="center" wrapText="1"/>
    </xf>
    <xf numFmtId="0" fontId="39" fillId="8" borderId="9" xfId="0" applyFont="1" applyFill="1" applyBorder="1" applyAlignment="1">
      <alignment horizontal="center"/>
    </xf>
    <xf numFmtId="0" fontId="9" fillId="13" borderId="0" xfId="0" applyFont="1" applyFill="1" applyAlignment="1">
      <alignment horizontal="center" vertical="top"/>
    </xf>
    <xf numFmtId="49" fontId="107" fillId="0" borderId="9" xfId="0" applyNumberFormat="1" applyFont="1" applyBorder="1" applyAlignment="1" applyProtection="1">
      <alignment horizontal="center" vertical="center" wrapText="1"/>
      <protection locked="0"/>
    </xf>
    <xf numFmtId="0" fontId="11" fillId="13" borderId="0" xfId="0" applyFont="1" applyFill="1" applyAlignment="1">
      <alignment horizontal="center" vertical="top" wrapText="1"/>
    </xf>
    <xf numFmtId="0" fontId="9" fillId="13" borderId="0" xfId="0" applyFont="1" applyFill="1" applyAlignment="1" applyProtection="1">
      <alignment horizontal="justify" vertical="top" wrapText="1"/>
      <protection locked="0"/>
    </xf>
    <xf numFmtId="0" fontId="107" fillId="0" borderId="9" xfId="0" applyFont="1" applyBorder="1" applyAlignment="1" applyProtection="1">
      <alignment horizontal="center" vertical="center" wrapText="1"/>
      <protection locked="0"/>
    </xf>
    <xf numFmtId="0" fontId="112" fillId="0" borderId="0" xfId="3"/>
    <xf numFmtId="20" fontId="55" fillId="8" borderId="9" xfId="0" applyNumberFormat="1" applyFont="1" applyFill="1" applyBorder="1" applyAlignment="1">
      <alignment horizontal="center" vertical="center" wrapText="1"/>
    </xf>
    <xf numFmtId="0" fontId="11" fillId="13" borderId="0" xfId="0" applyFont="1" applyFill="1" applyAlignment="1">
      <alignment horizontal="justify" vertical="top"/>
    </xf>
    <xf numFmtId="0" fontId="9"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9" fillId="13" borderId="37" xfId="0" applyFont="1" applyFill="1" applyBorder="1" applyAlignment="1" applyProtection="1">
      <alignment horizontal="center" vertical="center" wrapText="1"/>
      <protection locked="0"/>
    </xf>
    <xf numFmtId="0" fontId="9" fillId="13" borderId="15" xfId="0" applyFont="1" applyFill="1" applyBorder="1" applyAlignment="1" applyProtection="1">
      <alignment horizontal="left" vertical="center" wrapText="1" indent="1"/>
      <protection locked="0"/>
    </xf>
    <xf numFmtId="0" fontId="9" fillId="13" borderId="0" xfId="0" applyFont="1" applyFill="1" applyAlignment="1">
      <alignment horizontal="left" vertical="center" wrapText="1"/>
    </xf>
    <xf numFmtId="0" fontId="9" fillId="13" borderId="24" xfId="0" applyFont="1" applyFill="1" applyBorder="1" applyAlignment="1" applyProtection="1">
      <alignment horizontal="left" vertical="center" wrapText="1" indent="1"/>
      <protection locked="0"/>
    </xf>
    <xf numFmtId="0" fontId="9" fillId="13" borderId="37" xfId="0" applyFont="1" applyFill="1" applyBorder="1" applyAlignment="1" applyProtection="1">
      <alignment horizontal="left" vertical="center" wrapText="1" indent="1"/>
      <protection locked="0"/>
    </xf>
    <xf numFmtId="1" fontId="9" fillId="13" borderId="0" xfId="0" applyNumberFormat="1" applyFont="1" applyFill="1" applyAlignment="1">
      <alignment horizontal="center" vertical="center"/>
    </xf>
    <xf numFmtId="1" fontId="9" fillId="13" borderId="0" xfId="0" applyNumberFormat="1" applyFont="1" applyFill="1" applyAlignment="1">
      <alignment horizontal="left" vertical="center"/>
    </xf>
    <xf numFmtId="0" fontId="9"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1" fillId="13" borderId="0" xfId="0" applyNumberFormat="1" applyFont="1" applyFill="1" applyAlignment="1">
      <alignment horizontal="left" vertical="center"/>
    </xf>
    <xf numFmtId="0" fontId="73" fillId="13" borderId="0" xfId="0" applyFont="1" applyFill="1" applyAlignment="1">
      <alignment horizontal="left" vertical="center"/>
    </xf>
    <xf numFmtId="0" fontId="37" fillId="0" borderId="0" xfId="0" applyFont="1"/>
    <xf numFmtId="0" fontId="76" fillId="13" borderId="0" xfId="0" applyFont="1" applyFill="1" applyAlignment="1">
      <alignment horizontal="justify" vertical="top" wrapText="1"/>
    </xf>
    <xf numFmtId="0" fontId="7" fillId="13" borderId="0" xfId="1" applyFill="1" applyAlignment="1" applyProtection="1">
      <alignment horizontal="left" vertical="center"/>
    </xf>
    <xf numFmtId="174" fontId="9" fillId="13" borderId="0" xfId="0" applyNumberFormat="1" applyFont="1" applyFill="1" applyAlignment="1">
      <alignment horizontal="left" vertical="center"/>
    </xf>
    <xf numFmtId="0" fontId="11" fillId="13" borderId="10" xfId="0" applyFont="1" applyFill="1" applyBorder="1" applyAlignment="1">
      <alignment horizontal="center" vertical="center" wrapText="1"/>
    </xf>
    <xf numFmtId="0" fontId="7" fillId="13" borderId="0" xfId="1" applyFill="1" applyAlignment="1" applyProtection="1">
      <alignment horizontal="left" vertical="center" wrapText="1"/>
    </xf>
    <xf numFmtId="0" fontId="9" fillId="13" borderId="36" xfId="0" applyFont="1" applyFill="1" applyBorder="1" applyAlignment="1" applyProtection="1">
      <alignment horizontal="left" vertical="center" wrapText="1" indent="1"/>
      <protection locked="0"/>
    </xf>
    <xf numFmtId="0" fontId="11" fillId="13" borderId="0" xfId="0" applyFont="1" applyFill="1" applyAlignment="1">
      <alignment horizontal="left" vertical="center"/>
    </xf>
    <xf numFmtId="1" fontId="11" fillId="13" borderId="0" xfId="0" applyNumberFormat="1" applyFont="1" applyFill="1" applyAlignment="1">
      <alignment horizontal="center" vertical="center"/>
    </xf>
    <xf numFmtId="0" fontId="9" fillId="13" borderId="51" xfId="0" applyFont="1" applyFill="1" applyBorder="1" applyAlignment="1" applyProtection="1">
      <alignment horizontal="left" vertical="center" wrapText="1" indent="1"/>
      <protection locked="0"/>
    </xf>
    <xf numFmtId="0" fontId="9" fillId="13" borderId="61" xfId="0" applyFont="1" applyFill="1" applyBorder="1" applyAlignment="1" applyProtection="1">
      <alignment horizontal="left" vertical="center" wrapText="1" indent="1"/>
      <protection locked="0"/>
    </xf>
    <xf numFmtId="0" fontId="11" fillId="13" borderId="10" xfId="0" applyFont="1" applyFill="1" applyBorder="1" applyAlignment="1">
      <alignment horizontal="center" vertical="center"/>
    </xf>
    <xf numFmtId="0" fontId="11" fillId="13" borderId="9" xfId="0" applyFont="1" applyFill="1" applyBorder="1" applyAlignment="1">
      <alignment horizontal="center" vertical="center" wrapText="1"/>
    </xf>
    <xf numFmtId="0" fontId="9" fillId="13" borderId="63" xfId="0" applyFont="1" applyFill="1" applyBorder="1" applyAlignment="1" applyProtection="1">
      <alignment horizontal="left" vertical="center" wrapText="1" indent="1"/>
      <protection locked="0"/>
    </xf>
    <xf numFmtId="0" fontId="9" fillId="13" borderId="51" xfId="0" applyFont="1" applyFill="1" applyBorder="1" applyAlignment="1" applyProtection="1">
      <alignment horizontal="center" vertical="center" wrapText="1"/>
      <protection locked="0"/>
    </xf>
    <xf numFmtId="0" fontId="11" fillId="0" borderId="9" xfId="0" applyFont="1" applyBorder="1" applyAlignment="1">
      <alignment horizontal="center" vertical="top" wrapText="1"/>
    </xf>
    <xf numFmtId="0" fontId="6" fillId="0" borderId="1" xfId="0" applyFont="1" applyBorder="1" applyAlignment="1">
      <alignment horizontal="center" vertical="center" wrapText="1"/>
    </xf>
    <xf numFmtId="0" fontId="10" fillId="0" borderId="0" xfId="0" applyFont="1"/>
    <xf numFmtId="0" fontId="10" fillId="0" borderId="0" xfId="0" applyFont="1" applyAlignment="1">
      <alignment horizontal="right"/>
    </xf>
    <xf numFmtId="0" fontId="10" fillId="0" borderId="0" xfId="0" applyFont="1" applyAlignment="1">
      <alignment horizontal="left"/>
    </xf>
    <xf numFmtId="0" fontId="29" fillId="0" borderId="1" xfId="0" applyFont="1" applyBorder="1" applyAlignment="1">
      <alignment horizontal="center" vertical="center" wrapText="1"/>
    </xf>
    <xf numFmtId="0" fontId="3" fillId="0" borderId="0" xfId="0" applyFont="1" applyAlignment="1">
      <alignment horizontal="justify" vertical="top" wrapText="1"/>
    </xf>
    <xf numFmtId="0" fontId="67" fillId="0" borderId="0" xfId="0" applyFont="1" applyAlignment="1">
      <alignment horizontal="right" vertical="center"/>
    </xf>
    <xf numFmtId="1" fontId="11" fillId="0" borderId="0" xfId="0" applyNumberFormat="1" applyFont="1" applyAlignment="1">
      <alignment horizontal="left"/>
    </xf>
    <xf numFmtId="0" fontId="10" fillId="0" borderId="0" xfId="0" applyFont="1" applyAlignment="1">
      <alignment vertical="top" wrapText="1"/>
    </xf>
    <xf numFmtId="0" fontId="3" fillId="0" borderId="1" xfId="0" applyFont="1" applyBorder="1" applyAlignment="1">
      <alignment horizontal="center" vertical="center" wrapText="1"/>
    </xf>
    <xf numFmtId="0" fontId="6" fillId="0" borderId="0" xfId="0" applyFont="1" applyAlignment="1">
      <alignment horizontal="justify" vertical="center" wrapText="1"/>
    </xf>
    <xf numFmtId="166" fontId="6" fillId="0" borderId="0" xfId="0" applyNumberFormat="1" applyFont="1" applyAlignment="1">
      <alignment horizontal="left"/>
    </xf>
    <xf numFmtId="0" fontId="11" fillId="0" borderId="0" xfId="0" applyFont="1"/>
    <xf numFmtId="0" fontId="13" fillId="0" borderId="0" xfId="0" applyFont="1" applyAlignment="1">
      <alignment horizontal="justify" vertical="top" wrapText="1"/>
    </xf>
    <xf numFmtId="0" fontId="9" fillId="0" borderId="0" xfId="0" applyFont="1"/>
    <xf numFmtId="0" fontId="13" fillId="0" borderId="0" xfId="0" applyFont="1" applyAlignment="1">
      <alignment horizontal="left" vertical="center"/>
    </xf>
    <xf numFmtId="0" fontId="6" fillId="0" borderId="1" xfId="0" applyFont="1" applyBorder="1" applyAlignment="1">
      <alignment horizontal="center" vertical="center"/>
    </xf>
    <xf numFmtId="0" fontId="4" fillId="0" borderId="0" xfId="0" applyFont="1"/>
    <xf numFmtId="0" fontId="35" fillId="0" borderId="0" xfId="0" applyFont="1" applyAlignment="1">
      <alignment horizontal="left" vertical="center" wrapText="1"/>
    </xf>
    <xf numFmtId="0" fontId="4" fillId="0" borderId="0" xfId="0" applyFont="1" applyAlignment="1">
      <alignment horizontal="justify" vertical="top" wrapText="1"/>
    </xf>
    <xf numFmtId="0" fontId="11" fillId="0" borderId="0" xfId="0" applyFont="1" applyAlignment="1">
      <alignment horizontal="left" vertical="top" wrapText="1"/>
    </xf>
    <xf numFmtId="0" fontId="24" fillId="4" borderId="0" xfId="0" applyFont="1" applyFill="1" applyAlignment="1">
      <alignment horizontal="left" vertical="center"/>
    </xf>
    <xf numFmtId="0" fontId="11" fillId="0" borderId="9" xfId="0" applyFont="1" applyBorder="1" applyAlignment="1">
      <alignment horizontal="center" wrapText="1"/>
    </xf>
    <xf numFmtId="0" fontId="21" fillId="4" borderId="0" xfId="0" applyFont="1" applyFill="1" applyAlignment="1">
      <alignment horizontal="left" vertical="center"/>
    </xf>
    <xf numFmtId="0" fontId="5" fillId="0" borderId="0" xfId="0" applyFont="1" applyAlignment="1">
      <alignment horizontal="center" vertical="center" wrapText="1"/>
    </xf>
    <xf numFmtId="0" fontId="30" fillId="0" borderId="1" xfId="0" applyFont="1" applyBorder="1"/>
    <xf numFmtId="0" fontId="36" fillId="0" borderId="0" xfId="0" applyFont="1" applyAlignment="1">
      <alignment horizontal="justify" vertical="center" wrapText="1"/>
    </xf>
    <xf numFmtId="0" fontId="3"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4" fillId="0" borderId="0" xfId="0" applyFont="1" applyAlignment="1">
      <alignment horizontal="left"/>
    </xf>
    <xf numFmtId="0" fontId="13" fillId="0" borderId="0" xfId="0" applyFont="1" applyAlignment="1">
      <alignment horizontal="center" vertical="center"/>
    </xf>
    <xf numFmtId="0" fontId="39" fillId="0" borderId="9" xfId="0" applyFont="1" applyBorder="1" applyAlignment="1">
      <alignment horizontal="center"/>
    </xf>
    <xf numFmtId="49" fontId="101" fillId="2" borderId="6" xfId="0" applyNumberFormat="1" applyFont="1" applyFill="1" applyBorder="1" applyAlignment="1">
      <alignment horizontal="left"/>
    </xf>
    <xf numFmtId="0" fontId="13" fillId="6" borderId="9" xfId="0" applyFont="1" applyFill="1" applyBorder="1" applyAlignment="1">
      <alignment horizontal="left" vertical="center"/>
    </xf>
    <xf numFmtId="20" fontId="61" fillId="2" borderId="9" xfId="0" applyNumberFormat="1" applyFont="1" applyFill="1" applyBorder="1" applyAlignment="1" applyProtection="1">
      <alignment horizontal="center" vertical="center" wrapText="1"/>
      <protection locked="0"/>
    </xf>
    <xf numFmtId="0" fontId="9" fillId="13" borderId="0" xfId="0" applyFont="1" applyFill="1" applyAlignment="1">
      <alignment horizontal="justify" vertical="top"/>
    </xf>
    <xf numFmtId="49" fontId="110" fillId="2" borderId="6" xfId="0" applyNumberFormat="1" applyFont="1" applyFill="1" applyBorder="1" applyAlignment="1">
      <alignment horizontal="left"/>
    </xf>
    <xf numFmtId="0" fontId="4" fillId="0" borderId="11" xfId="0" applyFont="1" applyBorder="1" applyAlignment="1">
      <alignment horizontal="center" vertical="center" wrapText="1"/>
    </xf>
    <xf numFmtId="0" fontId="4" fillId="0" borderId="9" xfId="0" applyFont="1" applyBorder="1" applyAlignment="1">
      <alignment horizontal="center" vertical="center" wrapText="1"/>
    </xf>
    <xf numFmtId="49" fontId="61" fillId="2" borderId="9" xfId="0" applyNumberFormat="1" applyFont="1" applyFill="1" applyBorder="1" applyAlignment="1" applyProtection="1">
      <alignment horizontal="center" vertical="center" wrapText="1"/>
      <protection locked="0"/>
    </xf>
    <xf numFmtId="0" fontId="11" fillId="13" borderId="0" xfId="0" applyFont="1" applyFill="1" applyAlignment="1">
      <alignment horizontal="center" wrapText="1"/>
    </xf>
    <xf numFmtId="20" fontId="3" fillId="13" borderId="4" xfId="0" applyNumberFormat="1" applyFont="1" applyFill="1" applyBorder="1" applyAlignment="1">
      <alignment horizontal="center" vertical="center" wrapText="1"/>
    </xf>
    <xf numFmtId="0" fontId="0" fillId="0" borderId="0" xfId="0" applyAlignment="1">
      <alignment horizontal="center" vertical="center" wrapText="1"/>
    </xf>
    <xf numFmtId="0" fontId="9" fillId="0" borderId="0" xfId="0" applyFont="1" applyAlignment="1">
      <alignment vertical="top" wrapText="1"/>
    </xf>
    <xf numFmtId="0" fontId="9" fillId="0" borderId="0" xfId="0" applyFont="1" applyAlignment="1">
      <alignment horizontal="right"/>
    </xf>
    <xf numFmtId="0" fontId="9" fillId="0" borderId="0" xfId="0" applyFont="1" applyAlignment="1">
      <alignment horizontal="left"/>
    </xf>
    <xf numFmtId="166" fontId="17" fillId="0" borderId="0" xfId="0" applyNumberFormat="1" applyFont="1" applyAlignment="1">
      <alignment horizontal="left"/>
    </xf>
    <xf numFmtId="0" fontId="3" fillId="0" borderId="0" xfId="0" applyFont="1"/>
    <xf numFmtId="0" fontId="17" fillId="0" borderId="0" xfId="0" applyFont="1" applyAlignment="1">
      <alignment horizontal="justify" vertical="top" wrapText="1"/>
    </xf>
    <xf numFmtId="0" fontId="103" fillId="6" borderId="9" xfId="0" applyFont="1" applyFill="1" applyBorder="1" applyAlignment="1">
      <alignment horizontal="center"/>
    </xf>
    <xf numFmtId="0" fontId="17" fillId="0" borderId="0" xfId="0" applyFont="1" applyAlignment="1">
      <alignment horizontal="justify" vertical="center" wrapText="1"/>
    </xf>
    <xf numFmtId="0" fontId="78" fillId="0" borderId="0" xfId="0" applyFont="1" applyAlignment="1">
      <alignment horizontal="justify" vertical="top" wrapText="1"/>
    </xf>
    <xf numFmtId="0" fontId="5" fillId="0" borderId="0" xfId="0" applyFont="1" applyAlignment="1">
      <alignment horizontal="left" vertical="center"/>
    </xf>
    <xf numFmtId="0" fontId="5" fillId="0" borderId="0" xfId="0" applyFont="1" applyAlignment="1">
      <alignment horizontal="center" wrapText="1"/>
    </xf>
    <xf numFmtId="0" fontId="17" fillId="0" borderId="0" xfId="0" applyFont="1"/>
    <xf numFmtId="0" fontId="13" fillId="0" borderId="0" xfId="0" applyFont="1"/>
    <xf numFmtId="0" fontId="75" fillId="0" borderId="0" xfId="0" applyFont="1" applyAlignment="1">
      <alignment horizontal="justify" vertical="top" wrapText="1"/>
    </xf>
    <xf numFmtId="0" fontId="13" fillId="0" borderId="0" xfId="0" applyFont="1" applyAlignment="1">
      <alignment horizontal="left" vertical="top" wrapText="1"/>
    </xf>
    <xf numFmtId="0" fontId="8" fillId="0" borderId="0" xfId="0" applyFont="1" applyAlignment="1">
      <alignment horizontal="right" vertical="top"/>
    </xf>
    <xf numFmtId="0" fontId="13" fillId="0" borderId="0" xfId="0" applyFont="1" applyAlignment="1">
      <alignment horizontal="left"/>
    </xf>
    <xf numFmtId="0" fontId="17" fillId="0" borderId="0" xfId="0" applyFont="1" applyAlignment="1">
      <alignment vertical="center" wrapText="1"/>
    </xf>
    <xf numFmtId="1" fontId="13" fillId="15" borderId="9" xfId="0" applyNumberFormat="1" applyFont="1" applyFill="1" applyBorder="1" applyAlignment="1">
      <alignment horizontal="center" vertical="center" wrapText="1"/>
    </xf>
    <xf numFmtId="1" fontId="13" fillId="0" borderId="0" xfId="0" applyNumberFormat="1" applyFont="1" applyAlignment="1">
      <alignment horizontal="left"/>
    </xf>
    <xf numFmtId="1" fontId="102" fillId="15" borderId="9" xfId="0" applyNumberFormat="1" applyFont="1" applyFill="1" applyBorder="1" applyAlignment="1">
      <alignment horizontal="right"/>
    </xf>
    <xf numFmtId="0" fontId="0" fillId="0" borderId="0" xfId="0" applyAlignment="1">
      <alignment horizontal="left" vertical="top"/>
    </xf>
    <xf numFmtId="0" fontId="0" fillId="0" borderId="0" xfId="0" applyAlignment="1">
      <alignment horizontal="justify" vertical="top"/>
    </xf>
    <xf numFmtId="0" fontId="17" fillId="0" borderId="0" xfId="0" applyFont="1" applyAlignment="1">
      <alignment horizontal="justify" vertical="top"/>
    </xf>
    <xf numFmtId="0" fontId="17" fillId="0" borderId="8" xfId="0" applyFont="1" applyBorder="1" applyAlignment="1">
      <alignment horizontal="left" vertical="top"/>
    </xf>
    <xf numFmtId="0" fontId="4" fillId="0" borderId="51" xfId="0" applyFont="1" applyBorder="1" applyAlignment="1">
      <alignment horizontal="center" vertical="center" wrapText="1"/>
    </xf>
    <xf numFmtId="1" fontId="77" fillId="0" borderId="51" xfId="0" applyNumberFormat="1" applyFont="1" applyBorder="1" applyAlignment="1">
      <alignment horizontal="center" vertical="center"/>
    </xf>
    <xf numFmtId="2" fontId="0" fillId="0" borderId="0" xfId="0" applyNumberFormat="1" applyAlignment="1">
      <alignment horizontal="justify" vertical="top"/>
    </xf>
    <xf numFmtId="0" fontId="3" fillId="0" borderId="0" xfId="0" applyFont="1" applyAlignment="1">
      <alignment horizontal="justify" vertical="top"/>
    </xf>
    <xf numFmtId="0" fontId="0" fillId="8" borderId="10" xfId="0" applyFill="1" applyBorder="1" applyAlignment="1">
      <alignment horizontal="left" vertical="top"/>
    </xf>
    <xf numFmtId="0" fontId="3" fillId="0" borderId="1" xfId="0" applyFont="1" applyBorder="1" applyAlignment="1">
      <alignment horizontal="justify" vertical="center" wrapText="1"/>
    </xf>
    <xf numFmtId="0" fontId="13" fillId="0" borderId="6" xfId="0" applyFont="1" applyBorder="1" applyAlignment="1">
      <alignment horizontal="justify" vertical="top" wrapText="1"/>
    </xf>
    <xf numFmtId="0" fontId="13" fillId="0" borderId="51" xfId="0" applyFont="1" applyBorder="1" applyAlignment="1">
      <alignment horizontal="justify" vertical="top" wrapText="1"/>
    </xf>
    <xf numFmtId="0" fontId="17" fillId="0" borderId="14" xfId="0" applyFont="1" applyBorder="1" applyAlignment="1">
      <alignment horizontal="left" vertical="top"/>
    </xf>
    <xf numFmtId="1" fontId="17" fillId="0" borderId="0" xfId="0" applyNumberFormat="1" applyFont="1" applyAlignment="1">
      <alignment horizontal="center" vertical="center"/>
    </xf>
    <xf numFmtId="0" fontId="17" fillId="0" borderId="0" xfId="0" applyFont="1" applyAlignment="1">
      <alignment horizontal="left" vertical="top"/>
    </xf>
    <xf numFmtId="0" fontId="17" fillId="0" borderId="8" xfId="0" applyFont="1" applyBorder="1" applyAlignment="1">
      <alignment horizontal="right" vertical="center"/>
    </xf>
    <xf numFmtId="0" fontId="17" fillId="0" borderId="0" xfId="0" applyFont="1" applyAlignment="1">
      <alignment horizontal="center" vertical="center"/>
    </xf>
    <xf numFmtId="0" fontId="37" fillId="0" borderId="0" xfId="0" applyFont="1" applyAlignment="1">
      <alignment horizontal="justify" vertical="top"/>
    </xf>
    <xf numFmtId="0" fontId="13" fillId="0" borderId="11" xfId="0" applyFont="1" applyBorder="1" applyAlignment="1">
      <alignment horizontal="justify" vertical="top" wrapText="1"/>
    </xf>
    <xf numFmtId="0" fontId="13" fillId="0" borderId="10" xfId="0" applyFont="1" applyBorder="1" applyAlignment="1">
      <alignment horizontal="justify" vertical="top" wrapText="1"/>
    </xf>
    <xf numFmtId="0" fontId="0" fillId="0" borderId="0" xfId="0" applyAlignment="1">
      <alignment horizontal="justify" vertical="top" wrapText="1"/>
    </xf>
    <xf numFmtId="0" fontId="17" fillId="0" borderId="3" xfId="0" applyFont="1" applyBorder="1" applyAlignment="1">
      <alignment horizontal="center" vertical="top"/>
    </xf>
    <xf numFmtId="0" fontId="0" fillId="0" borderId="13" xfId="0" applyBorder="1" applyAlignment="1">
      <alignment horizontal="left" vertical="top"/>
    </xf>
    <xf numFmtId="0" fontId="74" fillId="0" borderId="0" xfId="0" applyFont="1" applyAlignment="1">
      <alignment horizontal="justify" vertical="top" wrapText="1"/>
    </xf>
    <xf numFmtId="1" fontId="17" fillId="0" borderId="7" xfId="0" applyNumberFormat="1" applyFont="1" applyBorder="1" applyAlignment="1">
      <alignment horizontal="left" vertical="center"/>
    </xf>
    <xf numFmtId="0" fontId="17" fillId="0" borderId="0" xfId="0" applyFont="1" applyAlignment="1">
      <alignment horizontal="center" vertical="top" wrapText="1"/>
    </xf>
    <xf numFmtId="0" fontId="17" fillId="0" borderId="4" xfId="0" applyFont="1" applyBorder="1" applyAlignment="1">
      <alignment horizontal="center" vertical="top" wrapText="1"/>
    </xf>
    <xf numFmtId="0" fontId="17" fillId="0" borderId="0" xfId="0" applyFont="1" applyAlignment="1">
      <alignment horizontal="right" vertical="top"/>
    </xf>
    <xf numFmtId="0" fontId="17" fillId="0" borderId="0" xfId="0" applyFont="1" applyAlignment="1">
      <alignment horizontal="left" vertical="top" wrapText="1"/>
    </xf>
    <xf numFmtId="0" fontId="5" fillId="0" borderId="0" xfId="0" applyFont="1" applyAlignment="1">
      <alignment horizontal="center" vertical="top"/>
    </xf>
    <xf numFmtId="0" fontId="13" fillId="0" borderId="0" xfId="0" applyFont="1" applyAlignment="1">
      <alignment horizontal="right" vertical="top"/>
    </xf>
    <xf numFmtId="0" fontId="4" fillId="0" borderId="0" xfId="0" applyFont="1" applyAlignment="1">
      <alignment horizontal="justify" vertical="top"/>
    </xf>
    <xf numFmtId="0" fontId="13" fillId="0" borderId="0" xfId="0" applyFont="1" applyAlignment="1">
      <alignment horizontal="justify" vertical="top"/>
    </xf>
    <xf numFmtId="1" fontId="77" fillId="0" borderId="11" xfId="0" applyNumberFormat="1" applyFont="1" applyBorder="1" applyAlignment="1">
      <alignment horizontal="center" vertical="center"/>
    </xf>
    <xf numFmtId="1" fontId="23" fillId="13" borderId="0" xfId="0" applyNumberFormat="1" applyFont="1" applyFill="1" applyBorder="1" applyAlignment="1">
      <alignment horizontal="right"/>
    </xf>
    <xf numFmtId="0" fontId="0" fillId="0" borderId="0" xfId="0" applyBorder="1"/>
    <xf numFmtId="0" fontId="10" fillId="0" borderId="0" xfId="0" applyFont="1" applyBorder="1"/>
    <xf numFmtId="0" fontId="10" fillId="0" borderId="0" xfId="0" applyFont="1" applyBorder="1" applyAlignment="1">
      <alignment horizontal="right"/>
    </xf>
    <xf numFmtId="0" fontId="10" fillId="0" borderId="0" xfId="0" applyFont="1" applyBorder="1" applyAlignment="1">
      <alignment horizontal="left"/>
    </xf>
    <xf numFmtId="1" fontId="13" fillId="13" borderId="0" xfId="0" applyNumberFormat="1" applyFont="1" applyFill="1" applyBorder="1" applyAlignment="1">
      <alignment horizontal="center" wrapText="1"/>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249247</xdr:colOff>
      <xdr:row>2</xdr:row>
      <xdr:rowOff>476250</xdr:rowOff>
    </xdr:to>
    <xdr:pic>
      <xdr:nvPicPr>
        <xdr:cNvPr id="2" name="Imagen 1">
          <a:extLst>
            <a:ext uri="{FF2B5EF4-FFF2-40B4-BE49-F238E27FC236}">
              <a16:creationId xmlns:a16="http://schemas.microsoft.com/office/drawing/2014/main" id="{C4544F10-F816-44B2-82F1-85A6F063B953}"/>
            </a:ext>
          </a:extLst>
        </xdr:cNvPr>
        <xdr:cNvPicPr>
          <a:picLocks noChangeAspect="1"/>
        </xdr:cNvPicPr>
      </xdr:nvPicPr>
      <xdr:blipFill>
        <a:blip xmlns:r="http://schemas.openxmlformats.org/officeDocument/2006/relationships" r:embed="rId1"/>
        <a:srcRect/>
        <a:stretch>
          <a:fillRect/>
        </a:stretch>
      </xdr:blipFill>
      <xdr:spPr bwMode="auto">
        <a:xfrm>
          <a:off x="0" y="0"/>
          <a:ext cx="5726122" cy="11049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vmlDrawing" Target="../drawings/vmlDrawing2.vm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4"/>
  <sheetViews>
    <sheetView workbookViewId="0">
      <pane ySplit="1" topLeftCell="A2" activePane="bottomLeft" state="frozen"/>
      <selection pane="bottomLeft"/>
    </sheetView>
  </sheetViews>
  <sheetFormatPr baseColWidth="10" defaultColWidth="9.140625" defaultRowHeight="15" x14ac:dyDescent="0.25"/>
  <cols>
    <col min="1" max="1" width="45.7109375" style="756" customWidth="1"/>
    <col min="2" max="2" width="60.7109375" style="756" customWidth="1"/>
    <col min="3" max="16384" width="9.140625" style="756"/>
  </cols>
  <sheetData>
    <row r="1" spans="1:2" ht="24.95" customHeight="1" x14ac:dyDescent="0.25">
      <c r="A1" s="755" t="s">
        <v>688</v>
      </c>
      <c r="B1" s="755" t="s">
        <v>689</v>
      </c>
    </row>
    <row r="2" spans="1:2" x14ac:dyDescent="0.25">
      <c r="A2" s="757" t="s">
        <v>690</v>
      </c>
      <c r="B2" s="758" t="s">
        <v>739</v>
      </c>
    </row>
    <row r="3" spans="1:2" x14ac:dyDescent="0.25">
      <c r="A3" s="757" t="s">
        <v>691</v>
      </c>
      <c r="B3" s="758" t="s">
        <v>740</v>
      </c>
    </row>
    <row r="4" spans="1:2" x14ac:dyDescent="0.25">
      <c r="A4" s="757" t="s">
        <v>692</v>
      </c>
      <c r="B4" s="758" t="s">
        <v>30</v>
      </c>
    </row>
    <row r="5" spans="1:2" x14ac:dyDescent="0.25">
      <c r="A5" s="757" t="s">
        <v>693</v>
      </c>
      <c r="B5" s="758" t="s">
        <v>694</v>
      </c>
    </row>
    <row r="6" spans="1:2" ht="30" x14ac:dyDescent="0.25">
      <c r="A6" s="757" t="s">
        <v>695</v>
      </c>
      <c r="B6" s="758" t="s">
        <v>696</v>
      </c>
    </row>
    <row r="7" spans="1:2" x14ac:dyDescent="0.25">
      <c r="A7" s="757" t="s">
        <v>697</v>
      </c>
      <c r="B7" s="758" t="s">
        <v>30</v>
      </c>
    </row>
    <row r="8" spans="1:2" x14ac:dyDescent="0.25">
      <c r="A8" s="757" t="s">
        <v>698</v>
      </c>
      <c r="B8" s="758" t="s">
        <v>30</v>
      </c>
    </row>
    <row r="9" spans="1:2" x14ac:dyDescent="0.25">
      <c r="A9" s="757" t="s">
        <v>699</v>
      </c>
      <c r="B9" s="758" t="s">
        <v>700</v>
      </c>
    </row>
    <row r="10" spans="1:2" x14ac:dyDescent="0.25">
      <c r="A10" s="757" t="s">
        <v>701</v>
      </c>
      <c r="B10" s="758" t="s">
        <v>702</v>
      </c>
    </row>
    <row r="11" spans="1:2" x14ac:dyDescent="0.25">
      <c r="A11" s="757" t="s">
        <v>703</v>
      </c>
      <c r="B11" s="758" t="s">
        <v>0</v>
      </c>
    </row>
    <row r="12" spans="1:2" x14ac:dyDescent="0.25">
      <c r="A12" s="757" t="s">
        <v>704</v>
      </c>
      <c r="B12" s="758" t="s">
        <v>1</v>
      </c>
    </row>
    <row r="13" spans="1:2" x14ac:dyDescent="0.25">
      <c r="A13" s="757" t="s">
        <v>705</v>
      </c>
      <c r="B13" s="758" t="s">
        <v>706</v>
      </c>
    </row>
    <row r="14" spans="1:2" x14ac:dyDescent="0.25">
      <c r="A14" s="757" t="s">
        <v>707</v>
      </c>
      <c r="B14" s="758" t="s">
        <v>708</v>
      </c>
    </row>
    <row r="15" spans="1:2" x14ac:dyDescent="0.25">
      <c r="A15" s="757" t="s">
        <v>709</v>
      </c>
      <c r="B15" s="758" t="s">
        <v>710</v>
      </c>
    </row>
    <row r="16" spans="1:2" x14ac:dyDescent="0.25">
      <c r="A16" s="757" t="s">
        <v>711</v>
      </c>
      <c r="B16" s="758" t="s">
        <v>741</v>
      </c>
    </row>
    <row r="17" spans="1:2" x14ac:dyDescent="0.25">
      <c r="A17" s="757" t="s">
        <v>712</v>
      </c>
      <c r="B17" s="758" t="s">
        <v>713</v>
      </c>
    </row>
    <row r="18" spans="1:2" x14ac:dyDescent="0.25">
      <c r="A18" s="757" t="s">
        <v>2</v>
      </c>
      <c r="B18" s="758" t="s">
        <v>676</v>
      </c>
    </row>
    <row r="19" spans="1:2" x14ac:dyDescent="0.25">
      <c r="A19" s="757" t="s">
        <v>714</v>
      </c>
      <c r="B19" s="758" t="s">
        <v>715</v>
      </c>
    </row>
    <row r="20" spans="1:2" x14ac:dyDescent="0.25">
      <c r="A20" s="757" t="s">
        <v>716</v>
      </c>
      <c r="B20" s="758" t="s">
        <v>717</v>
      </c>
    </row>
    <row r="21" spans="1:2" x14ac:dyDescent="0.25">
      <c r="A21" s="757" t="s">
        <v>718</v>
      </c>
      <c r="B21" s="758" t="s">
        <v>719</v>
      </c>
    </row>
    <row r="22" spans="1:2" x14ac:dyDescent="0.25">
      <c r="A22" s="757" t="s">
        <v>720</v>
      </c>
      <c r="B22" s="758" t="s">
        <v>715</v>
      </c>
    </row>
    <row r="23" spans="1:2" x14ac:dyDescent="0.25">
      <c r="A23" s="757" t="s">
        <v>721</v>
      </c>
      <c r="B23" s="758" t="s">
        <v>3</v>
      </c>
    </row>
    <row r="24" spans="1:2" x14ac:dyDescent="0.25">
      <c r="A24" s="757" t="s">
        <v>722</v>
      </c>
      <c r="B24" s="758" t="s">
        <v>723</v>
      </c>
    </row>
    <row r="25" spans="1:2" x14ac:dyDescent="0.25">
      <c r="A25" s="757" t="s">
        <v>724</v>
      </c>
      <c r="B25" s="758" t="s">
        <v>725</v>
      </c>
    </row>
    <row r="26" spans="1:2" x14ac:dyDescent="0.25">
      <c r="A26" s="757" t="s">
        <v>726</v>
      </c>
      <c r="B26" s="758" t="s">
        <v>4</v>
      </c>
    </row>
    <row r="27" spans="1:2" x14ac:dyDescent="0.25">
      <c r="A27" s="757" t="s">
        <v>727</v>
      </c>
      <c r="B27" s="758" t="s">
        <v>706</v>
      </c>
    </row>
    <row r="28" spans="1:2" x14ac:dyDescent="0.25">
      <c r="A28" s="757" t="s">
        <v>728</v>
      </c>
      <c r="B28" s="758" t="s">
        <v>708</v>
      </c>
    </row>
    <row r="29" spans="1:2" x14ac:dyDescent="0.25">
      <c r="A29" s="757" t="s">
        <v>729</v>
      </c>
      <c r="B29" s="758" t="s">
        <v>730</v>
      </c>
    </row>
    <row r="30" spans="1:2" x14ac:dyDescent="0.25">
      <c r="A30" s="757" t="s">
        <v>731</v>
      </c>
      <c r="B30" s="758" t="s">
        <v>742</v>
      </c>
    </row>
    <row r="31" spans="1:2" x14ac:dyDescent="0.25">
      <c r="A31" s="757" t="s">
        <v>732</v>
      </c>
      <c r="B31" s="758" t="s">
        <v>733</v>
      </c>
    </row>
    <row r="32" spans="1:2" x14ac:dyDescent="0.25">
      <c r="A32" s="757" t="s">
        <v>734</v>
      </c>
      <c r="B32" s="758" t="s">
        <v>676</v>
      </c>
    </row>
    <row r="33" spans="1:2" x14ac:dyDescent="0.25">
      <c r="A33" s="757" t="s">
        <v>735</v>
      </c>
      <c r="B33" s="758" t="s">
        <v>736</v>
      </c>
    </row>
    <row r="34" spans="1:2" x14ac:dyDescent="0.25">
      <c r="A34" s="757" t="s">
        <v>737</v>
      </c>
      <c r="B34" s="758" t="s">
        <v>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defaultGridColor="0" view="pageBreakPreview" colorId="8" zoomScale="115" zoomScaleNormal="75" zoomScaleSheetLayoutView="115" workbookViewId="0">
      <selection activeCell="D4" sqref="D4:E4"/>
    </sheetView>
  </sheetViews>
  <sheetFormatPr baseColWidth="10" defaultColWidth="13.7109375" defaultRowHeight="12.75" x14ac:dyDescent="0.2"/>
  <cols>
    <col min="1" max="1" width="25.140625" style="25" customWidth="1"/>
    <col min="2" max="2" width="23.42578125" style="25" customWidth="1"/>
    <col min="3" max="3" width="11.28515625" style="25" customWidth="1"/>
    <col min="4" max="4" width="16.42578125" style="25" customWidth="1"/>
    <col min="5" max="5" width="16" style="25" customWidth="1"/>
    <col min="6" max="6" width="10.140625" style="25" customWidth="1"/>
    <col min="7" max="7" width="19.2851562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800" t="s">
        <v>5</v>
      </c>
      <c r="B1" s="760"/>
      <c r="C1" s="760"/>
      <c r="D1" s="760"/>
      <c r="E1" s="760"/>
      <c r="F1" s="760"/>
      <c r="G1" s="760"/>
      <c r="I1" s="352"/>
      <c r="S1" s="25" t="s">
        <v>6</v>
      </c>
    </row>
    <row r="2" spans="1:19" ht="17.25" customHeight="1" x14ac:dyDescent="0.2">
      <c r="D2" s="681" t="s">
        <v>7</v>
      </c>
      <c r="E2" s="681" t="s">
        <v>8</v>
      </c>
      <c r="F2" s="681" t="s">
        <v>9</v>
      </c>
      <c r="H2" s="678"/>
      <c r="I2" s="679" t="s">
        <v>10</v>
      </c>
      <c r="J2" s="808" t="str">
        <f>CONCATENATE(D3, " de ",E3, " de ",F3)</f>
        <v>20 de noviembre de 2025</v>
      </c>
      <c r="K2" s="760"/>
      <c r="L2" s="678"/>
      <c r="S2" s="25" t="s">
        <v>11</v>
      </c>
    </row>
    <row r="3" spans="1:19" ht="12.75" customHeight="1" x14ac:dyDescent="0.2">
      <c r="C3" s="491" t="s">
        <v>12</v>
      </c>
      <c r="D3" s="676">
        <v>20</v>
      </c>
      <c r="E3" s="677" t="s">
        <v>687</v>
      </c>
      <c r="F3" s="676">
        <v>2025</v>
      </c>
      <c r="H3" s="675"/>
      <c r="I3" s="679" t="s">
        <v>13</v>
      </c>
      <c r="J3" s="808" t="str">
        <f>CONCATENATE(D3, " de ",E3, " de ",F3+2)</f>
        <v>20 de noviembre de 2027</v>
      </c>
      <c r="K3" s="760"/>
      <c r="L3" s="675"/>
    </row>
    <row r="4" spans="1:19" s="22" customFormat="1" ht="12.75" customHeight="1" x14ac:dyDescent="0.2">
      <c r="A4" s="491" t="s">
        <v>14</v>
      </c>
      <c r="B4" s="572" t="str">
        <f>'datos vpe'!B2</f>
        <v>307-64088</v>
      </c>
      <c r="C4" s="23" t="s">
        <v>15</v>
      </c>
      <c r="D4" s="805" t="str">
        <f>'datos vpe'!B10</f>
        <v>COSTA DE ARAUJO</v>
      </c>
      <c r="E4" s="775"/>
      <c r="F4" s="23"/>
      <c r="G4" s="223"/>
      <c r="H4" s="815"/>
      <c r="I4" s="789"/>
      <c r="J4" s="789"/>
      <c r="K4" s="789"/>
      <c r="L4" s="789"/>
      <c r="S4" s="25" t="s">
        <v>16</v>
      </c>
    </row>
    <row r="5" spans="1:19" s="22" customFormat="1" ht="12.75" customHeight="1" x14ac:dyDescent="0.2">
      <c r="A5" s="23" t="str">
        <f>IF(ISBLANK(B17),"",VLOOKUP('Identificación del Instrumento'!$B$17,$L$28:$Q$31,6,FALSE))</f>
        <v>VPE Nº:</v>
      </c>
      <c r="B5" s="569" t="str">
        <f>'datos vpe'!B3</f>
        <v>93084</v>
      </c>
      <c r="C5" s="23" t="s">
        <v>17</v>
      </c>
      <c r="D5" s="805" t="s">
        <v>0</v>
      </c>
      <c r="E5" s="775"/>
      <c r="F5" s="23"/>
      <c r="G5" s="223"/>
      <c r="H5" s="816"/>
      <c r="I5" s="789"/>
      <c r="J5" s="623"/>
      <c r="S5" s="25" t="s">
        <v>18</v>
      </c>
    </row>
    <row r="6" spans="1:19" ht="12" customHeight="1" x14ac:dyDescent="0.2">
      <c r="A6" s="21"/>
      <c r="B6" s="21"/>
      <c r="C6" s="22"/>
      <c r="D6" s="21"/>
      <c r="E6" s="21"/>
      <c r="F6" s="21"/>
      <c r="G6" s="21"/>
      <c r="H6" s="760"/>
      <c r="I6" s="760"/>
      <c r="J6" s="673"/>
      <c r="K6" s="77"/>
      <c r="L6" s="77"/>
      <c r="S6" s="25" t="s">
        <v>19</v>
      </c>
    </row>
    <row r="7" spans="1:19" ht="12.75" customHeight="1" x14ac:dyDescent="0.2">
      <c r="A7" s="817" t="s">
        <v>20</v>
      </c>
      <c r="B7" s="760"/>
      <c r="C7" s="760"/>
      <c r="D7" s="760"/>
      <c r="E7" s="760"/>
      <c r="F7" s="760"/>
      <c r="G7" s="760"/>
      <c r="H7" s="760"/>
      <c r="I7" s="760"/>
      <c r="J7" s="623"/>
      <c r="K7" s="77"/>
      <c r="L7" s="77"/>
      <c r="S7" s="25" t="s">
        <v>21</v>
      </c>
    </row>
    <row r="8" spans="1:19" ht="12.75" customHeight="1" x14ac:dyDescent="0.2">
      <c r="A8" s="760"/>
      <c r="B8" s="760"/>
      <c r="C8" s="760"/>
      <c r="D8" s="760"/>
      <c r="E8" s="760"/>
      <c r="F8" s="760"/>
      <c r="G8" s="760"/>
      <c r="H8" s="760"/>
      <c r="I8" s="760"/>
      <c r="J8" s="623"/>
      <c r="K8" s="77"/>
      <c r="L8" s="421" t="s">
        <v>22</v>
      </c>
      <c r="M8" s="25">
        <v>2</v>
      </c>
      <c r="N8" s="401"/>
      <c r="S8" s="25" t="s">
        <v>23</v>
      </c>
    </row>
    <row r="9" spans="1:19" ht="12.75" customHeight="1" x14ac:dyDescent="0.2">
      <c r="A9" s="760"/>
      <c r="B9" s="760"/>
      <c r="C9" s="760"/>
      <c r="D9" s="760"/>
      <c r="E9" s="760"/>
      <c r="F9" s="760"/>
      <c r="G9" s="760"/>
      <c r="H9" s="760"/>
      <c r="I9" s="760"/>
      <c r="J9" s="623"/>
      <c r="K9" s="77"/>
      <c r="L9" s="421" t="s">
        <v>24</v>
      </c>
      <c r="M9" s="25">
        <v>1</v>
      </c>
      <c r="N9" s="401"/>
      <c r="S9" s="25" t="s">
        <v>25</v>
      </c>
    </row>
    <row r="10" spans="1:19" ht="15.75" customHeight="1" x14ac:dyDescent="0.2">
      <c r="A10" s="760"/>
      <c r="B10" s="760"/>
      <c r="C10" s="760"/>
      <c r="D10" s="760"/>
      <c r="E10" s="760"/>
      <c r="F10" s="760"/>
      <c r="G10" s="760"/>
      <c r="H10" s="517"/>
      <c r="I10" s="517"/>
      <c r="J10" s="226"/>
      <c r="K10" s="77"/>
      <c r="L10" s="421" t="s">
        <v>26</v>
      </c>
      <c r="N10" s="402"/>
      <c r="S10" s="25" t="s">
        <v>27</v>
      </c>
    </row>
    <row r="11" spans="1:19" ht="15.75" customHeight="1" x14ac:dyDescent="0.2">
      <c r="A11" s="22"/>
      <c r="B11" s="807"/>
      <c r="C11" s="781"/>
      <c r="D11" s="781"/>
      <c r="E11" s="781"/>
      <c r="F11" s="781"/>
      <c r="G11" s="781"/>
      <c r="H11" s="517"/>
      <c r="I11" s="517"/>
      <c r="J11" s="226"/>
      <c r="K11" s="77"/>
      <c r="L11" s="77" t="s">
        <v>28</v>
      </c>
      <c r="N11" s="401"/>
      <c r="S11" s="25" t="s">
        <v>29</v>
      </c>
    </row>
    <row r="12" spans="1:19" ht="15.75" customHeight="1" x14ac:dyDescent="0.2">
      <c r="A12" s="22"/>
      <c r="B12" s="23"/>
      <c r="C12" s="730"/>
      <c r="D12" s="22"/>
      <c r="E12" s="23"/>
      <c r="F12" s="730"/>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89" t="s">
        <v>33</v>
      </c>
      <c r="B14" s="760"/>
      <c r="C14" s="774" t="str">
        <f>'datos vpe'!B5</f>
        <v>Marolio S.A.</v>
      </c>
      <c r="D14" s="775"/>
      <c r="E14" s="775"/>
      <c r="F14" s="775"/>
      <c r="G14" s="775"/>
      <c r="H14" s="517"/>
      <c r="I14" s="517"/>
      <c r="L14" s="77" t="s">
        <v>34</v>
      </c>
      <c r="N14" s="402" t="s">
        <v>30</v>
      </c>
      <c r="S14" s="25" t="s">
        <v>0</v>
      </c>
    </row>
    <row r="15" spans="1:19" x14ac:dyDescent="0.2">
      <c r="A15" s="352" t="s">
        <v>35</v>
      </c>
      <c r="B15" s="774" t="str">
        <f>'datos vpe'!B6</f>
        <v>Empedrado 2531 - Ciudad Autónoma de Buenos Aires - Buenos Aires</v>
      </c>
      <c r="C15" s="775"/>
      <c r="D15" s="775"/>
      <c r="E15" s="775"/>
      <c r="F15" s="775"/>
      <c r="G15" s="775"/>
      <c r="S15" s="25" t="s">
        <v>36</v>
      </c>
    </row>
    <row r="16" spans="1:19" ht="12" customHeight="1" x14ac:dyDescent="0.2">
      <c r="A16" s="24" t="str">
        <f>CONCATENATE(IF(F16="Ciudad Autónoma de Buenos Aires","","Localidad: "))</f>
        <v/>
      </c>
      <c r="B16" s="784"/>
      <c r="C16" s="764"/>
      <c r="D16" s="764"/>
      <c r="E16" s="65" t="str">
        <f>CONCATENATE(IF(F16="Ciudad Autónoma de Buenos Aires"," Localidad: "," Provincia: "))</f>
        <v xml:space="preserve"> Localidad: </v>
      </c>
      <c r="F16" s="784" t="s">
        <v>19</v>
      </c>
      <c r="G16" s="764"/>
      <c r="J16" s="412"/>
      <c r="S16" s="25" t="s">
        <v>37</v>
      </c>
    </row>
    <row r="17" spans="1:19" ht="22.5" customHeight="1" x14ac:dyDescent="0.2">
      <c r="A17" s="215" t="s">
        <v>38</v>
      </c>
      <c r="B17" s="763" t="s">
        <v>24</v>
      </c>
      <c r="C17" s="764"/>
      <c r="D17" s="764"/>
      <c r="E17" s="507" t="s">
        <v>39</v>
      </c>
      <c r="F17" s="763" t="s">
        <v>24</v>
      </c>
      <c r="G17" s="764"/>
      <c r="J17" s="412"/>
      <c r="S17" s="25" t="s">
        <v>40</v>
      </c>
    </row>
    <row r="18" spans="1:19" ht="15.75" customHeight="1" x14ac:dyDescent="0.2">
      <c r="A18" s="788" t="s">
        <v>41</v>
      </c>
      <c r="B18" s="760"/>
      <c r="C18" s="813" t="s">
        <v>42</v>
      </c>
      <c r="D18" s="814"/>
      <c r="E18" s="814"/>
      <c r="F18" s="814"/>
      <c r="G18" s="814"/>
      <c r="H18" s="680"/>
      <c r="S18" s="25" t="s">
        <v>43</v>
      </c>
    </row>
    <row r="19" spans="1:19" x14ac:dyDescent="0.2">
      <c r="A19" s="352" t="s">
        <v>44</v>
      </c>
      <c r="B19" s="796" t="str">
        <f>'datos vpe'!B9</f>
        <v>RUTA PROVINCIAL Nº 20 S/N</v>
      </c>
      <c r="C19" s="775"/>
      <c r="D19" s="775"/>
      <c r="E19" s="775"/>
      <c r="F19" s="775"/>
      <c r="G19" s="775"/>
      <c r="H19" s="680"/>
      <c r="I19" s="25" t="b">
        <f>AND(ISBLANK(F20),ISBLANK(B19))</f>
        <v>0</v>
      </c>
      <c r="S19" s="25" t="s">
        <v>45</v>
      </c>
    </row>
    <row r="20" spans="1:19" x14ac:dyDescent="0.2">
      <c r="A20" s="24" t="str">
        <f>CONCATENATE(IF(F20="Ciudad Autónoma de Buenos Aires","","Localidad (*): "))</f>
        <v xml:space="preserve">Localidad (*): </v>
      </c>
      <c r="B20" s="791" t="str">
        <f>'datos vpe'!B10</f>
        <v>COSTA DE ARAUJO</v>
      </c>
      <c r="C20" s="768"/>
      <c r="D20" s="768"/>
      <c r="E20" s="65" t="str">
        <f>CONCATENATE(IF(F20="Ciudad Autónoma de Buenos Aires"," Localidad: (*) "," Provincia (*): "))</f>
        <v xml:space="preserve"> Provincia (*): </v>
      </c>
      <c r="F20" s="791" t="str">
        <f>D5</f>
        <v>Mendoza</v>
      </c>
      <c r="G20" s="768"/>
      <c r="H20" s="680"/>
      <c r="I20" s="506"/>
      <c r="S20" s="25" t="s">
        <v>46</v>
      </c>
    </row>
    <row r="21" spans="1:19" ht="12.75" customHeight="1" thickBot="1" x14ac:dyDescent="0.25">
      <c r="A21" s="792" t="s">
        <v>47</v>
      </c>
      <c r="B21" s="760"/>
      <c r="C21" s="760"/>
      <c r="D21" s="760"/>
      <c r="E21" s="760"/>
      <c r="F21" s="22"/>
      <c r="G21" s="22"/>
      <c r="S21" s="25" t="s">
        <v>48</v>
      </c>
    </row>
    <row r="22" spans="1:19" ht="12.75" customHeight="1" thickBot="1" x14ac:dyDescent="0.25">
      <c r="A22" s="24" t="s">
        <v>49</v>
      </c>
      <c r="B22" s="810" t="s">
        <v>1</v>
      </c>
      <c r="C22" s="775"/>
      <c r="D22" s="775"/>
      <c r="E22" s="775"/>
      <c r="F22" s="775"/>
      <c r="G22" s="775"/>
      <c r="J22" s="216">
        <f>IF(ISBLANK(B22),"",VLOOKUP(B22,$K$40:$O$51,5,FALSE))</f>
        <v>1</v>
      </c>
      <c r="S22" s="25" t="s">
        <v>50</v>
      </c>
    </row>
    <row r="23" spans="1:19" s="21" customFormat="1" ht="18.75" customHeight="1" thickBot="1" x14ac:dyDescent="0.25">
      <c r="A23" s="738" t="s">
        <v>51</v>
      </c>
      <c r="B23" s="739" t="str">
        <f>'datos vpe'!B13</f>
        <v>INDUSTRIAL SYSTEMS S.A.</v>
      </c>
      <c r="C23" s="740" t="s">
        <v>52</v>
      </c>
      <c r="D23" s="739" t="str">
        <f>'datos vpe'!B27</f>
        <v>INDUSTRIAL SYSTEMS S.A.</v>
      </c>
      <c r="E23" s="674" t="s">
        <v>53</v>
      </c>
      <c r="F23" s="801" t="s">
        <v>4</v>
      </c>
      <c r="G23" s="802"/>
      <c r="S23" s="21" t="s">
        <v>54</v>
      </c>
    </row>
    <row r="24" spans="1:19" ht="16.5" customHeight="1" x14ac:dyDescent="0.2">
      <c r="A24" s="495" t="s">
        <v>55</v>
      </c>
      <c r="B24" s="790" t="str">
        <f>'datos vpe'!B14</f>
        <v>BIANCHETTI</v>
      </c>
      <c r="C24" s="790"/>
      <c r="D24" s="790"/>
      <c r="E24" s="355" t="s">
        <v>52</v>
      </c>
      <c r="F24" s="753" t="str">
        <f>'datos vpe'!B28</f>
        <v>BIANCHETTI</v>
      </c>
      <c r="G24" s="752"/>
      <c r="H24" s="752"/>
      <c r="S24" s="25" t="s">
        <v>56</v>
      </c>
    </row>
    <row r="25" spans="1:19" x14ac:dyDescent="0.2">
      <c r="A25" s="495" t="s">
        <v>57</v>
      </c>
      <c r="B25" s="803" t="str">
        <f>'datos vpe'!B15</f>
        <v>TruckTRONIX 8020</v>
      </c>
      <c r="C25" s="803"/>
      <c r="D25" s="803"/>
      <c r="E25" s="355" t="s">
        <v>52</v>
      </c>
      <c r="F25" s="753" t="str">
        <f>'datos vpe'!B29</f>
        <v>PB 10.000</v>
      </c>
      <c r="G25" s="752"/>
      <c r="H25" s="752"/>
      <c r="S25" s="25" t="s">
        <v>58</v>
      </c>
    </row>
    <row r="26" spans="1:19" ht="25.5" x14ac:dyDescent="0.2">
      <c r="A26" s="495" t="s">
        <v>59</v>
      </c>
      <c r="B26" s="803" t="str">
        <f>'datos vpe'!B16</f>
        <v>28082017214</v>
      </c>
      <c r="C26" s="803"/>
      <c r="D26" s="803"/>
      <c r="E26" s="355" t="s">
        <v>52</v>
      </c>
      <c r="F26" s="753" t="str">
        <f>'datos vpe'!B30</f>
        <v>28082017215</v>
      </c>
      <c r="G26" s="752"/>
      <c r="H26" s="752"/>
    </row>
    <row r="27" spans="1:19" ht="12.75" customHeight="1" x14ac:dyDescent="0.2">
      <c r="A27" s="495" t="s">
        <v>60</v>
      </c>
      <c r="B27" s="803" t="str">
        <f>'datos vpe'!B17</f>
        <v>BF.80-2172</v>
      </c>
      <c r="C27" s="803"/>
      <c r="D27" s="803"/>
      <c r="E27" s="355" t="s">
        <v>52</v>
      </c>
      <c r="F27" s="753" t="str">
        <f>'datos vpe'!B31</f>
        <v>BF.60-1624</v>
      </c>
      <c r="G27" s="752"/>
      <c r="H27" s="752"/>
    </row>
    <row r="28" spans="1:19" x14ac:dyDescent="0.2">
      <c r="A28" s="741" t="s">
        <v>2</v>
      </c>
      <c r="B28" s="754" t="str">
        <f>'datos vpe'!B18</f>
        <v>Argentina</v>
      </c>
      <c r="C28" s="752"/>
      <c r="D28" s="752"/>
      <c r="E28" s="355" t="s">
        <v>52</v>
      </c>
      <c r="F28" s="754" t="str">
        <f>'datos vpe'!B32</f>
        <v>Argentina</v>
      </c>
      <c r="G28" s="742"/>
      <c r="H28" s="706"/>
      <c r="K28" s="77" t="s">
        <v>3</v>
      </c>
      <c r="L28" s="421" t="s">
        <v>22</v>
      </c>
      <c r="M28" s="77" t="s">
        <v>4</v>
      </c>
      <c r="N28" s="25">
        <v>10</v>
      </c>
      <c r="O28" s="77" t="s">
        <v>61</v>
      </c>
      <c r="P28" s="212" t="s">
        <v>62</v>
      </c>
      <c r="Q28" s="352" t="s">
        <v>63</v>
      </c>
    </row>
    <row r="29" spans="1:19" ht="12.75" customHeight="1" x14ac:dyDescent="0.2">
      <c r="A29" s="785" t="s">
        <v>64</v>
      </c>
      <c r="B29" s="760"/>
      <c r="C29" s="760"/>
      <c r="D29" s="528">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528">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1" t="s">
        <v>75</v>
      </c>
      <c r="B31" s="732" t="str">
        <f>'datos vpe'!B24</f>
        <v>237/2010</v>
      </c>
      <c r="C31" s="58"/>
      <c r="D31" s="58"/>
      <c r="E31" s="719" t="s">
        <v>52</v>
      </c>
      <c r="F31" s="736" t="str">
        <f>'datos vpe'!B33</f>
        <v>607/1999</v>
      </c>
      <c r="G31" s="22"/>
      <c r="L31" s="421" t="s">
        <v>34</v>
      </c>
      <c r="N31" s="25">
        <v>1</v>
      </c>
      <c r="P31" s="212" t="s">
        <v>76</v>
      </c>
      <c r="Q31" s="352" t="s">
        <v>63</v>
      </c>
    </row>
    <row r="32" spans="1:19" ht="42.75" customHeight="1" x14ac:dyDescent="0.2">
      <c r="A32" s="731" t="s">
        <v>77</v>
      </c>
      <c r="B32" s="733" t="str">
        <f>'datos vpe'!B25</f>
        <v>8 de abril de 2010</v>
      </c>
      <c r="C32" s="58"/>
      <c r="D32" s="58"/>
      <c r="E32" s="719" t="s">
        <v>52</v>
      </c>
      <c r="F32" s="737" t="str">
        <f>'datos vpe'!B34</f>
        <v>20 de mayo de 1999</v>
      </c>
      <c r="G32" s="22"/>
      <c r="L32" s="421"/>
      <c r="P32" s="212"/>
      <c r="Q32" s="352"/>
    </row>
    <row r="33" spans="1:17" ht="42.75" customHeight="1" x14ac:dyDescent="0.2">
      <c r="A33" s="734" t="s">
        <v>78</v>
      </c>
      <c r="B33" s="735" t="s">
        <v>99</v>
      </c>
      <c r="C33" s="58"/>
      <c r="D33" s="58"/>
      <c r="E33" s="719"/>
      <c r="F33" s="720"/>
      <c r="G33" s="22"/>
      <c r="I33" s="743" t="s">
        <v>80</v>
      </c>
      <c r="J33" s="743">
        <v>123</v>
      </c>
      <c r="L33" s="421"/>
      <c r="P33" s="212"/>
      <c r="Q33" s="352"/>
    </row>
    <row r="34" spans="1:17" ht="42.75" customHeight="1" x14ac:dyDescent="0.2">
      <c r="A34" s="734" t="s">
        <v>81</v>
      </c>
      <c r="B34" s="735" t="str">
        <f>VLOOKUP($B$33,$I$33:$J$58,2,FALSE)</f>
        <v>30-71107332-5</v>
      </c>
      <c r="C34" s="58"/>
      <c r="D34" s="58"/>
      <c r="E34" s="719"/>
      <c r="F34" s="720"/>
      <c r="G34" s="22"/>
      <c r="I34" s="744" t="s">
        <v>82</v>
      </c>
      <c r="J34" s="744">
        <v>456</v>
      </c>
      <c r="L34" s="421"/>
      <c r="P34" s="212"/>
      <c r="Q34" s="352"/>
    </row>
    <row r="35" spans="1:17" ht="13.5" customHeight="1" thickBot="1" x14ac:dyDescent="0.25">
      <c r="A35" s="789" t="s">
        <v>83</v>
      </c>
      <c r="B35" s="760"/>
      <c r="C35" s="760"/>
      <c r="D35" s="22"/>
      <c r="E35" s="22"/>
      <c r="F35" s="22"/>
      <c r="G35" s="22"/>
      <c r="I35" s="744" t="s">
        <v>84</v>
      </c>
      <c r="J35" s="744" t="s">
        <v>85</v>
      </c>
      <c r="N35" s="25">
        <v>2</v>
      </c>
      <c r="P35" s="212" t="s">
        <v>86</v>
      </c>
    </row>
    <row r="36" spans="1:17" x14ac:dyDescent="0.2">
      <c r="A36" s="777" t="s">
        <v>87</v>
      </c>
      <c r="B36" s="778"/>
      <c r="C36" s="778"/>
      <c r="D36" s="778"/>
      <c r="E36" s="779"/>
      <c r="F36" s="786" t="s">
        <v>69</v>
      </c>
      <c r="G36" s="787"/>
      <c r="I36" s="744" t="s">
        <v>79</v>
      </c>
      <c r="J36" s="744" t="s">
        <v>88</v>
      </c>
      <c r="N36" s="25">
        <v>0.5</v>
      </c>
      <c r="P36" s="212" t="s">
        <v>89</v>
      </c>
    </row>
    <row r="37" spans="1:17" ht="14.25" customHeight="1" x14ac:dyDescent="0.2">
      <c r="A37" s="773" t="s">
        <v>90</v>
      </c>
      <c r="B37" s="768"/>
      <c r="C37" s="768"/>
      <c r="D37" s="768"/>
      <c r="E37" s="769"/>
      <c r="F37" s="793" t="s">
        <v>69</v>
      </c>
      <c r="G37" s="794"/>
      <c r="I37" s="744" t="s">
        <v>91</v>
      </c>
      <c r="J37" s="744" t="s">
        <v>92</v>
      </c>
      <c r="P37" s="212" t="s">
        <v>93</v>
      </c>
      <c r="Q37" s="25" t="s">
        <v>30</v>
      </c>
    </row>
    <row r="38" spans="1:17" ht="12.75" customHeight="1" x14ac:dyDescent="0.2">
      <c r="A38" s="809" t="s">
        <v>94</v>
      </c>
      <c r="B38" s="768"/>
      <c r="C38" s="768"/>
      <c r="D38" s="768"/>
      <c r="E38" s="769"/>
      <c r="F38" s="793" t="s">
        <v>69</v>
      </c>
      <c r="G38" s="794"/>
      <c r="I38" s="745" t="s">
        <v>95</v>
      </c>
      <c r="J38" s="745" t="s">
        <v>96</v>
      </c>
      <c r="K38" s="25" t="s">
        <v>3</v>
      </c>
      <c r="L38" s="25">
        <v>50</v>
      </c>
      <c r="P38" s="212" t="s">
        <v>97</v>
      </c>
    </row>
    <row r="39" spans="1:17" x14ac:dyDescent="0.2">
      <c r="A39" s="767" t="s">
        <v>98</v>
      </c>
      <c r="B39" s="768"/>
      <c r="C39" s="768"/>
      <c r="D39" s="768"/>
      <c r="E39" s="769"/>
      <c r="F39" s="793" t="s">
        <v>61</v>
      </c>
      <c r="G39" s="794"/>
      <c r="I39" s="745" t="s">
        <v>99</v>
      </c>
      <c r="J39" s="745" t="s">
        <v>100</v>
      </c>
      <c r="K39" s="25" t="s">
        <v>67</v>
      </c>
      <c r="L39" s="25">
        <v>10</v>
      </c>
      <c r="P39" s="212" t="s">
        <v>101</v>
      </c>
    </row>
    <row r="40" spans="1:17" ht="15.75" customHeight="1" thickBot="1" x14ac:dyDescent="0.25">
      <c r="A40" s="375" t="s">
        <v>102</v>
      </c>
      <c r="B40" s="770"/>
      <c r="C40" s="771"/>
      <c r="D40" s="771"/>
      <c r="E40" s="772"/>
      <c r="F40" s="782" t="s">
        <v>74</v>
      </c>
      <c r="G40" s="783"/>
      <c r="I40" s="745" t="s">
        <v>103</v>
      </c>
      <c r="J40" s="745" t="s">
        <v>104</v>
      </c>
      <c r="K40" s="214" t="s">
        <v>1</v>
      </c>
      <c r="O40" s="25">
        <v>1</v>
      </c>
      <c r="P40" s="212"/>
    </row>
    <row r="41" spans="1:17" ht="15" customHeight="1" x14ac:dyDescent="0.2">
      <c r="A41" s="22"/>
      <c r="B41" s="22"/>
      <c r="C41" s="22"/>
      <c r="D41" s="22"/>
      <c r="E41" s="22"/>
      <c r="F41" s="22"/>
      <c r="G41" s="22"/>
      <c r="I41" s="744" t="s">
        <v>105</v>
      </c>
      <c r="J41" s="744">
        <v>4</v>
      </c>
      <c r="K41" s="214" t="s">
        <v>106</v>
      </c>
      <c r="O41" s="25">
        <v>1</v>
      </c>
      <c r="P41" s="212"/>
    </row>
    <row r="42" spans="1:17" ht="15" customHeight="1" x14ac:dyDescent="0.2">
      <c r="A42" s="797" t="s">
        <v>107</v>
      </c>
      <c r="B42" s="760"/>
      <c r="C42" s="760"/>
      <c r="D42" s="22"/>
      <c r="E42" s="22"/>
      <c r="F42" s="22"/>
      <c r="G42" s="22"/>
      <c r="I42" s="745" t="s">
        <v>108</v>
      </c>
      <c r="J42" s="745" t="s">
        <v>109</v>
      </c>
      <c r="K42" s="214" t="s">
        <v>110</v>
      </c>
      <c r="O42" s="25">
        <v>2</v>
      </c>
      <c r="P42" s="232"/>
    </row>
    <row r="43" spans="1:17" ht="15" customHeight="1" x14ac:dyDescent="0.2">
      <c r="A43" s="780" t="s">
        <v>111</v>
      </c>
      <c r="B43" s="781"/>
      <c r="C43" s="781"/>
      <c r="D43" s="781"/>
      <c r="E43" s="781"/>
      <c r="F43" s="781"/>
      <c r="G43" s="781"/>
      <c r="I43" s="745" t="s">
        <v>112</v>
      </c>
      <c r="J43" s="745" t="s">
        <v>113</v>
      </c>
      <c r="K43" s="214" t="s">
        <v>114</v>
      </c>
      <c r="O43" s="25">
        <v>2</v>
      </c>
      <c r="P43" s="232"/>
    </row>
    <row r="44" spans="1:17" ht="15" customHeight="1" x14ac:dyDescent="0.2">
      <c r="A44" s="812"/>
      <c r="B44" s="760"/>
      <c r="C44" s="799"/>
      <c r="D44" s="760"/>
      <c r="E44" s="760"/>
      <c r="F44" s="760"/>
      <c r="G44" s="760"/>
      <c r="I44" s="745" t="s">
        <v>115</v>
      </c>
      <c r="J44" s="745" t="s">
        <v>116</v>
      </c>
      <c r="K44" s="214" t="s">
        <v>117</v>
      </c>
      <c r="O44" s="25">
        <v>2</v>
      </c>
      <c r="P44" s="232"/>
    </row>
    <row r="45" spans="1:17" x14ac:dyDescent="0.2">
      <c r="A45" s="503"/>
      <c r="B45" s="503"/>
      <c r="C45" s="503"/>
      <c r="D45" s="503"/>
      <c r="E45" s="503"/>
      <c r="F45" s="503"/>
      <c r="G45" s="503"/>
      <c r="I45" s="744" t="s">
        <v>118</v>
      </c>
      <c r="J45" s="744">
        <v>8</v>
      </c>
      <c r="K45" s="214" t="s">
        <v>119</v>
      </c>
      <c r="O45" s="25">
        <v>2</v>
      </c>
    </row>
    <row r="46" spans="1:17" x14ac:dyDescent="0.2">
      <c r="A46" s="503"/>
      <c r="B46" s="503"/>
      <c r="C46" s="503"/>
      <c r="D46" s="503"/>
      <c r="E46" s="503"/>
      <c r="F46" s="503"/>
      <c r="G46" s="503"/>
      <c r="I46" s="744" t="s">
        <v>120</v>
      </c>
      <c r="J46" s="744" t="s">
        <v>121</v>
      </c>
      <c r="K46" s="214" t="s">
        <v>122</v>
      </c>
      <c r="O46" s="25">
        <v>2</v>
      </c>
    </row>
    <row r="47" spans="1:17" x14ac:dyDescent="0.2">
      <c r="A47" s="503"/>
      <c r="B47" s="503"/>
      <c r="C47" s="503"/>
      <c r="D47" s="503"/>
      <c r="E47" s="503"/>
      <c r="F47" s="503"/>
      <c r="G47" s="503"/>
      <c r="I47" s="744"/>
      <c r="J47" s="744"/>
      <c r="K47" s="214" t="s">
        <v>123</v>
      </c>
      <c r="O47" s="25">
        <v>2</v>
      </c>
    </row>
    <row r="48" spans="1:17" ht="14.25" customHeight="1" x14ac:dyDescent="0.2">
      <c r="F48" s="21"/>
      <c r="G48" s="21"/>
      <c r="I48" s="745" t="s">
        <v>124</v>
      </c>
      <c r="J48" s="745" t="s">
        <v>125</v>
      </c>
      <c r="K48" s="214" t="s">
        <v>126</v>
      </c>
      <c r="O48" s="25">
        <v>1</v>
      </c>
    </row>
    <row r="49" spans="1:19" ht="16.5" customHeight="1" x14ac:dyDescent="0.2">
      <c r="A49" s="761" t="s">
        <v>127</v>
      </c>
      <c r="B49" s="762"/>
      <c r="C49" s="762"/>
      <c r="D49" s="762"/>
      <c r="E49" s="762"/>
      <c r="F49" s="508"/>
      <c r="G49" s="508"/>
      <c r="I49" s="745" t="s">
        <v>128</v>
      </c>
      <c r="J49" s="745" t="s">
        <v>129</v>
      </c>
      <c r="K49" s="25" t="s">
        <v>130</v>
      </c>
      <c r="O49" s="25">
        <v>1</v>
      </c>
    </row>
    <row r="50" spans="1:19" ht="12.75" customHeight="1" x14ac:dyDescent="0.2">
      <c r="A50" s="774"/>
      <c r="B50" s="781"/>
      <c r="C50" s="781"/>
      <c r="D50" s="781"/>
      <c r="E50" s="781"/>
      <c r="F50" s="781"/>
      <c r="G50" s="781"/>
      <c r="I50" s="745" t="s">
        <v>131</v>
      </c>
      <c r="J50" s="745" t="s">
        <v>132</v>
      </c>
      <c r="K50" s="25" t="s">
        <v>133</v>
      </c>
      <c r="O50" s="25">
        <v>1</v>
      </c>
    </row>
    <row r="51" spans="1:19" ht="12.75" customHeight="1" x14ac:dyDescent="0.2">
      <c r="A51" s="781"/>
      <c r="B51" s="781"/>
      <c r="C51" s="781"/>
      <c r="D51" s="781"/>
      <c r="E51" s="781"/>
      <c r="F51" s="781"/>
      <c r="G51" s="781"/>
      <c r="I51" s="745" t="s">
        <v>134</v>
      </c>
      <c r="J51" s="745" t="s">
        <v>135</v>
      </c>
      <c r="K51" s="352" t="s">
        <v>136</v>
      </c>
      <c r="O51" s="25">
        <v>1</v>
      </c>
    </row>
    <row r="52" spans="1:19" x14ac:dyDescent="0.2">
      <c r="A52" s="781"/>
      <c r="B52" s="781"/>
      <c r="C52" s="781"/>
      <c r="D52" s="781"/>
      <c r="E52" s="781"/>
      <c r="F52" s="781"/>
      <c r="G52" s="781"/>
      <c r="I52" s="745" t="s">
        <v>137</v>
      </c>
      <c r="J52" s="745" t="s">
        <v>138</v>
      </c>
    </row>
    <row r="53" spans="1:19" ht="18.75" customHeight="1" x14ac:dyDescent="0.2">
      <c r="A53" s="781"/>
      <c r="B53" s="781"/>
      <c r="C53" s="781"/>
      <c r="D53" s="781"/>
      <c r="E53" s="781"/>
      <c r="F53" s="781"/>
      <c r="G53" s="781"/>
      <c r="I53" s="728" t="s">
        <v>139</v>
      </c>
      <c r="J53" s="728" t="s">
        <v>140</v>
      </c>
    </row>
    <row r="54" spans="1:19" ht="12" customHeight="1" x14ac:dyDescent="0.2">
      <c r="A54" s="781"/>
      <c r="B54" s="781"/>
      <c r="C54" s="781"/>
      <c r="D54" s="781"/>
      <c r="E54" s="781"/>
      <c r="F54" s="781"/>
      <c r="G54" s="781"/>
      <c r="I54" s="728" t="s">
        <v>141</v>
      </c>
      <c r="J54" s="728" t="s">
        <v>142</v>
      </c>
    </row>
    <row r="55" spans="1:19" ht="14.25" customHeight="1" x14ac:dyDescent="0.2">
      <c r="A55" s="781"/>
      <c r="B55" s="781"/>
      <c r="C55" s="781"/>
      <c r="D55" s="781"/>
      <c r="E55" s="781"/>
      <c r="F55" s="781"/>
      <c r="G55" s="781"/>
      <c r="I55" s="728" t="s">
        <v>82</v>
      </c>
      <c r="J55" s="728" t="s">
        <v>143</v>
      </c>
      <c r="K55" s="776">
        <f>IF(OR('Identificación del Instrumento'!B22='Identificación del Instrumento'!K42,'Identificación del Instrumento'!B22='Identificación del Instrumento'!K44,'Identificación del Instrumento'!B22='Identificación del Instrumento'!K46),1,0)</f>
        <v>0</v>
      </c>
      <c r="L55" s="760"/>
    </row>
    <row r="56" spans="1:19" ht="26.25" customHeight="1" x14ac:dyDescent="0.2">
      <c r="A56" s="775"/>
      <c r="B56" s="775"/>
      <c r="C56" s="775"/>
      <c r="D56" s="775"/>
      <c r="E56" s="775"/>
      <c r="F56" s="775"/>
      <c r="G56" s="775"/>
      <c r="I56" s="728" t="s">
        <v>144</v>
      </c>
      <c r="J56" s="728" t="s">
        <v>145</v>
      </c>
      <c r="K56" s="776">
        <f>IF(OR('Identificación del Instrumento'!B22='Identificación del Instrumento'!K43,'Identificación del Instrumento'!B22='Identificación del Instrumento'!K45,'Identificación del Instrumento'!B22='Identificación del Instrumento'!K47),1,0)</f>
        <v>0</v>
      </c>
      <c r="L56" s="760"/>
    </row>
    <row r="57" spans="1:19" ht="35.25" hidden="1" customHeight="1" x14ac:dyDescent="0.2">
      <c r="A57" s="21" t="s">
        <v>30</v>
      </c>
      <c r="B57" s="21"/>
      <c r="C57" s="21"/>
      <c r="D57" s="21"/>
      <c r="E57" s="21"/>
      <c r="F57" s="21"/>
      <c r="G57" s="21"/>
      <c r="I57" s="728"/>
      <c r="J57" s="728"/>
      <c r="K57" s="352"/>
      <c r="L57" s="352"/>
    </row>
    <row r="58" spans="1:19" ht="65.25" customHeight="1" x14ac:dyDescent="0.2">
      <c r="A58" s="804" t="s">
        <v>146</v>
      </c>
      <c r="B58" s="760"/>
      <c r="C58" s="760"/>
      <c r="D58" s="59"/>
      <c r="E58" s="804" t="s">
        <v>147</v>
      </c>
      <c r="F58" s="760"/>
      <c r="G58" s="760"/>
      <c r="H58" s="493"/>
      <c r="I58" s="729"/>
      <c r="J58" s="729"/>
      <c r="K58" s="352"/>
      <c r="L58" s="352"/>
    </row>
    <row r="59" spans="1:19" ht="2.25" hidden="1" customHeight="1" x14ac:dyDescent="0.2">
      <c r="A59" s="806"/>
      <c r="B59" s="760"/>
      <c r="C59" s="760"/>
      <c r="D59" s="376"/>
      <c r="E59" s="376"/>
      <c r="F59" s="376"/>
      <c r="G59" s="376"/>
      <c r="S59" s="499"/>
    </row>
    <row r="60" spans="1:19" s="499" customFormat="1" ht="15" customHeight="1" x14ac:dyDescent="0.2">
      <c r="A60" s="795" t="str">
        <f>'Acta Verificación '!K19</f>
        <v>Sr. Nievas Aldo Dario</v>
      </c>
      <c r="B60" s="766"/>
      <c r="C60" s="766"/>
      <c r="D60" s="232"/>
      <c r="E60" s="765" t="str">
        <f>IF(ISBLANK('Datos de Ensayos'!E4),"",'Datos de Ensayos'!E4)</f>
        <v>Tco. Pablo Javier Siklosi A.</v>
      </c>
      <c r="F60" s="766"/>
      <c r="G60" s="766"/>
      <c r="I60" s="785" t="s">
        <v>148</v>
      </c>
      <c r="J60" s="766"/>
      <c r="K60" s="500"/>
    </row>
    <row r="61" spans="1:19" s="499" customFormat="1" ht="15" customHeight="1" x14ac:dyDescent="0.3">
      <c r="A61" s="811" t="str">
        <f>IF(ISBLANK(C14)," ",(C14))</f>
        <v>Marolio S.A.</v>
      </c>
      <c r="B61" s="766"/>
      <c r="C61" s="766"/>
      <c r="D61" s="232"/>
      <c r="E61" s="798" t="s">
        <v>149</v>
      </c>
      <c r="F61" s="766"/>
      <c r="G61" s="766"/>
      <c r="I61" s="785" t="s">
        <v>150</v>
      </c>
      <c r="J61" s="766"/>
      <c r="K61" s="500"/>
    </row>
    <row r="62" spans="1:19" s="499" customFormat="1" ht="15" customHeight="1" x14ac:dyDescent="0.2">
      <c r="A62" s="765"/>
      <c r="B62" s="766"/>
      <c r="C62" s="766"/>
      <c r="E62" s="765"/>
      <c r="F62" s="766"/>
      <c r="G62" s="766"/>
      <c r="H62" s="501"/>
      <c r="K62" s="500"/>
      <c r="S62" s="25"/>
    </row>
    <row r="63" spans="1:19" ht="51.75" customHeight="1" x14ac:dyDescent="0.2">
      <c r="E63" s="759"/>
      <c r="F63" s="760"/>
      <c r="G63" s="760"/>
      <c r="K63" s="492"/>
    </row>
    <row r="64" spans="1:19" ht="55.5" customHeight="1" x14ac:dyDescent="0.2">
      <c r="A64" s="52"/>
      <c r="B64" s="52"/>
      <c r="E64" s="759"/>
      <c r="F64" s="760"/>
      <c r="G64" s="760"/>
      <c r="K64" s="492"/>
    </row>
    <row r="65" spans="1:7" ht="50.1" customHeight="1" x14ac:dyDescent="0.2">
      <c r="A65" s="52"/>
      <c r="B65" s="52"/>
      <c r="E65" s="759"/>
      <c r="F65" s="760"/>
      <c r="G65" s="760"/>
    </row>
    <row r="66" spans="1:7" ht="50.1" customHeight="1" x14ac:dyDescent="0.2">
      <c r="A66" s="52"/>
      <c r="B66" s="52"/>
      <c r="E66" s="759"/>
      <c r="F66" s="760"/>
      <c r="G66" s="760"/>
    </row>
    <row r="67" spans="1:7" ht="50.1" customHeight="1" x14ac:dyDescent="0.2">
      <c r="A67" s="52"/>
      <c r="B67" s="52"/>
      <c r="E67" s="759"/>
      <c r="F67" s="760"/>
      <c r="G67" s="760"/>
    </row>
    <row r="68" spans="1:7" ht="50.1" customHeight="1" x14ac:dyDescent="0.2">
      <c r="E68" s="759"/>
      <c r="F68" s="760"/>
      <c r="G68" s="760"/>
    </row>
    <row r="69" spans="1:7" ht="50.1" customHeight="1" x14ac:dyDescent="0.2">
      <c r="E69" s="759"/>
      <c r="F69" s="760"/>
      <c r="G69" s="760"/>
    </row>
    <row r="70" spans="1:7" ht="50.1" customHeight="1" x14ac:dyDescent="0.2">
      <c r="E70" s="785" t="s">
        <v>151</v>
      </c>
      <c r="F70" s="760"/>
      <c r="G70" s="760"/>
    </row>
    <row r="71" spans="1:7" ht="50.1" customHeight="1" x14ac:dyDescent="0.2"/>
    <row r="72" spans="1:7" ht="50.1" customHeight="1" x14ac:dyDescent="0.2"/>
    <row r="73" spans="1:7" ht="50.1" customHeight="1" x14ac:dyDescent="0.2"/>
  </sheetData>
  <mergeCells count="67">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B15:G15"/>
    <mergeCell ref="F17:G17"/>
    <mergeCell ref="K56:L56"/>
    <mergeCell ref="C14:G14"/>
    <mergeCell ref="A36:E36"/>
    <mergeCell ref="A43:G43"/>
    <mergeCell ref="F40:G40"/>
    <mergeCell ref="K55:L55"/>
    <mergeCell ref="F16:G16"/>
    <mergeCell ref="E69:G69"/>
    <mergeCell ref="E65:G65"/>
    <mergeCell ref="A49:E49"/>
    <mergeCell ref="B17:D17"/>
    <mergeCell ref="A62:C62"/>
    <mergeCell ref="E63:G63"/>
    <mergeCell ref="A39:E39"/>
    <mergeCell ref="B40:E40"/>
    <mergeCell ref="E60:G60"/>
    <mergeCell ref="A37:E37"/>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A58" zoomScaleNormal="100" workbookViewId="0">
      <selection activeCell="E62" sqref="E62"/>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903" t="s">
        <v>152</v>
      </c>
      <c r="E1" s="840"/>
      <c r="F1" s="840"/>
      <c r="G1" s="840"/>
      <c r="H1" s="840"/>
      <c r="I1" s="840"/>
      <c r="J1" s="840"/>
      <c r="K1" s="840"/>
      <c r="L1" s="851"/>
      <c r="M1" s="98"/>
      <c r="N1" s="98"/>
      <c r="O1" s="98"/>
      <c r="P1" s="98"/>
      <c r="Y1" s="67"/>
      <c r="AE1" s="906"/>
      <c r="AF1" s="907"/>
      <c r="AG1" s="907"/>
      <c r="AH1" s="907"/>
      <c r="AI1" s="101"/>
      <c r="AJ1" s="102"/>
      <c r="AK1" s="100"/>
    </row>
    <row r="2" spans="4:38" ht="55.5" customHeight="1" thickBot="1" x14ac:dyDescent="0.3">
      <c r="D2" s="859" t="s">
        <v>153</v>
      </c>
      <c r="E2" s="840"/>
      <c r="F2" s="840"/>
      <c r="G2" s="840"/>
      <c r="H2" s="840"/>
      <c r="I2" s="840"/>
      <c r="J2" s="840"/>
      <c r="K2" s="840"/>
      <c r="L2" s="851"/>
      <c r="M2" s="371"/>
      <c r="N2" s="103"/>
      <c r="O2" s="103"/>
      <c r="P2" s="98"/>
      <c r="Y2" s="67"/>
      <c r="AC2" s="249" t="s">
        <v>154</v>
      </c>
      <c r="AD2" s="250" t="s">
        <v>155</v>
      </c>
      <c r="AE2" s="250" t="s">
        <v>156</v>
      </c>
      <c r="AF2" s="250" t="s">
        <v>157</v>
      </c>
      <c r="AG2" s="251" t="s">
        <v>158</v>
      </c>
      <c r="AH2" s="100"/>
      <c r="AI2" s="101"/>
      <c r="AJ2" s="102"/>
      <c r="AK2" s="100"/>
    </row>
    <row r="3" spans="4:38" s="104" customFormat="1" ht="18" customHeight="1" x14ac:dyDescent="0.3">
      <c r="D3" s="224" t="s">
        <v>159</v>
      </c>
      <c r="E3" s="872" t="s">
        <v>160</v>
      </c>
      <c r="F3" s="873"/>
      <c r="G3" s="873"/>
      <c r="H3" s="873"/>
      <c r="I3" s="873"/>
      <c r="J3" s="873"/>
      <c r="K3" s="873"/>
      <c r="L3" s="874"/>
      <c r="N3" s="707"/>
      <c r="O3" s="107"/>
      <c r="P3" s="106"/>
      <c r="AB3" s="104" t="s">
        <v>161</v>
      </c>
      <c r="AC3" s="243" t="s">
        <v>162</v>
      </c>
      <c r="AD3" s="241" t="s">
        <v>163</v>
      </c>
      <c r="AE3" s="240">
        <v>145</v>
      </c>
      <c r="AF3" s="240" t="s">
        <v>164</v>
      </c>
      <c r="AG3" s="511" t="s">
        <v>165</v>
      </c>
      <c r="AH3" s="109"/>
      <c r="AI3" s="110"/>
      <c r="AJ3" s="111"/>
      <c r="AK3" s="108"/>
    </row>
    <row r="4" spans="4:38" s="104" customFormat="1" ht="18" customHeight="1" thickBot="1" x14ac:dyDescent="0.35">
      <c r="D4" s="225" t="s">
        <v>166</v>
      </c>
      <c r="E4" s="912" t="s">
        <v>160</v>
      </c>
      <c r="F4" s="913"/>
      <c r="G4" s="913"/>
      <c r="H4" s="913"/>
      <c r="I4" s="913"/>
      <c r="J4" s="913"/>
      <c r="K4" s="913"/>
      <c r="L4" s="914"/>
      <c r="M4" s="852" t="s">
        <v>167</v>
      </c>
      <c r="N4" s="853"/>
      <c r="O4" s="853"/>
      <c r="P4" s="853"/>
      <c r="AB4" s="104" t="s">
        <v>168</v>
      </c>
      <c r="AC4" s="243" t="s">
        <v>169</v>
      </c>
      <c r="AD4" s="241" t="s">
        <v>170</v>
      </c>
      <c r="AE4" s="240">
        <v>52</v>
      </c>
      <c r="AF4" s="240" t="s">
        <v>171</v>
      </c>
      <c r="AG4" s="511" t="s">
        <v>172</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173</v>
      </c>
      <c r="AC5" s="243" t="s">
        <v>174</v>
      </c>
      <c r="AD5" s="241" t="s">
        <v>175</v>
      </c>
      <c r="AE5" s="727" t="s">
        <v>176</v>
      </c>
      <c r="AF5" s="242" t="s">
        <v>177</v>
      </c>
      <c r="AG5" s="511" t="s">
        <v>178</v>
      </c>
      <c r="AH5" s="108"/>
      <c r="AI5" s="114"/>
      <c r="AJ5" s="115"/>
      <c r="AK5" s="108"/>
    </row>
    <row r="6" spans="4:38" s="104" customFormat="1" ht="18" customHeight="1" thickBot="1" x14ac:dyDescent="0.35">
      <c r="D6" s="82" t="s">
        <v>179</v>
      </c>
      <c r="E6" s="869" t="str">
        <f>IF(ISBLANK('Identificación del Instrumento'!B4),"",'Identificación del Instrumento'!B4)</f>
        <v>307-64088</v>
      </c>
      <c r="F6" s="840"/>
      <c r="G6" s="840"/>
      <c r="H6" s="851"/>
      <c r="I6" s="860" t="s">
        <v>180</v>
      </c>
      <c r="J6" s="778"/>
      <c r="K6" s="905" t="str">
        <f>'Identificación del Instrumento'!J2</f>
        <v>20 de noviembre de 2025</v>
      </c>
      <c r="L6" s="851"/>
      <c r="M6" s="105"/>
      <c r="N6" s="106"/>
      <c r="O6" s="106"/>
      <c r="P6" s="106"/>
      <c r="AB6" s="104" t="s">
        <v>181</v>
      </c>
      <c r="AC6" s="243" t="s">
        <v>182</v>
      </c>
      <c r="AD6" s="241" t="s">
        <v>183</v>
      </c>
      <c r="AE6" s="240">
        <v>212</v>
      </c>
      <c r="AF6" s="240" t="s">
        <v>171</v>
      </c>
      <c r="AG6" s="511" t="s">
        <v>184</v>
      </c>
      <c r="AH6" s="109"/>
      <c r="AI6" s="110"/>
      <c r="AJ6" s="111"/>
      <c r="AK6" s="108"/>
    </row>
    <row r="7" spans="4:38" s="104" customFormat="1" ht="18" customHeight="1" thickBot="1" x14ac:dyDescent="0.35">
      <c r="D7" s="82" t="s">
        <v>185</v>
      </c>
      <c r="E7" s="881" t="str">
        <f>IF(ISBLANK('Identificación del Instrumento'!C14),"",'Identificación del Instrumento'!C14)</f>
        <v>Marolio S.A.</v>
      </c>
      <c r="F7" s="840"/>
      <c r="G7" s="840"/>
      <c r="H7" s="840"/>
      <c r="I7" s="840"/>
      <c r="J7" s="840"/>
      <c r="K7" s="840"/>
      <c r="L7" s="851"/>
      <c r="M7" s="105"/>
      <c r="N7" s="354"/>
      <c r="O7" s="106"/>
      <c r="P7" s="106"/>
      <c r="AB7" s="104" t="s">
        <v>186</v>
      </c>
      <c r="AC7" s="243" t="s">
        <v>187</v>
      </c>
      <c r="AD7" s="241" t="s">
        <v>188</v>
      </c>
      <c r="AE7" s="240">
        <v>138</v>
      </c>
      <c r="AF7" s="240" t="s">
        <v>171</v>
      </c>
      <c r="AG7" s="511" t="s">
        <v>189</v>
      </c>
      <c r="AH7" s="109"/>
      <c r="AI7" s="110"/>
      <c r="AJ7" s="111"/>
      <c r="AK7" s="108"/>
    </row>
    <row r="8" spans="4:38" s="104" customFormat="1" ht="18" customHeight="1" thickBot="1" x14ac:dyDescent="0.35">
      <c r="D8" s="82" t="s">
        <v>190</v>
      </c>
      <c r="E8" s="867" t="str">
        <f>IF(ISBLANK('Identificación del Instrumento'!B15),"",+'Identificación del Instrumento'!B15)</f>
        <v>Empedrado 2531 - Ciudad Autónoma de Buenos Aires - Buenos Aires</v>
      </c>
      <c r="F8" s="840"/>
      <c r="G8" s="840"/>
      <c r="H8" s="840"/>
      <c r="I8" s="840"/>
      <c r="J8" s="840"/>
      <c r="K8" s="840"/>
      <c r="L8" s="851"/>
      <c r="M8" s="105"/>
      <c r="N8" s="105"/>
      <c r="O8" s="106"/>
      <c r="P8" s="106"/>
      <c r="AB8" s="104" t="s">
        <v>191</v>
      </c>
      <c r="AC8" s="243" t="s">
        <v>192</v>
      </c>
      <c r="AD8" s="241" t="s">
        <v>193</v>
      </c>
      <c r="AE8" s="240">
        <v>59</v>
      </c>
      <c r="AF8" s="240" t="s">
        <v>194</v>
      </c>
      <c r="AG8" s="511" t="s">
        <v>195</v>
      </c>
      <c r="AH8" s="109"/>
      <c r="AI8" s="110"/>
      <c r="AJ8" s="111"/>
      <c r="AK8" s="116"/>
      <c r="AL8" s="117"/>
    </row>
    <row r="9" spans="4:38" s="104" customFormat="1" ht="18" customHeight="1" thickBot="1" x14ac:dyDescent="0.35">
      <c r="D9" s="82" t="s">
        <v>15</v>
      </c>
      <c r="E9" s="911" t="str">
        <f>IF(ISBLANK('Identificación del Instrumento'!B16),"",'Identificación del Instrumento'!B16)</f>
        <v/>
      </c>
      <c r="F9" s="831"/>
      <c r="G9" s="831"/>
      <c r="H9" s="83" t="s">
        <v>17</v>
      </c>
      <c r="I9" s="868" t="str">
        <f>IF(ISBLANK('Identificación del Instrumento'!F16),"",'Identificación del Instrumento'!F16)</f>
        <v>Ciudad Autónoma de Buenos Aires</v>
      </c>
      <c r="J9" s="840"/>
      <c r="K9" s="840"/>
      <c r="L9" s="851"/>
      <c r="M9" s="105"/>
      <c r="N9" s="105"/>
      <c r="O9" s="106"/>
      <c r="P9" s="106"/>
      <c r="AB9" s="104" t="s">
        <v>196</v>
      </c>
      <c r="AC9" s="243" t="s">
        <v>197</v>
      </c>
      <c r="AD9" s="241" t="s">
        <v>198</v>
      </c>
      <c r="AE9" s="240">
        <v>54</v>
      </c>
      <c r="AF9" s="240" t="s">
        <v>171</v>
      </c>
      <c r="AG9" s="511" t="s">
        <v>199</v>
      </c>
      <c r="AH9" s="109"/>
      <c r="AI9" s="110"/>
      <c r="AJ9" s="111"/>
      <c r="AK9" s="108"/>
    </row>
    <row r="10" spans="4:38" s="104" customFormat="1" ht="18" customHeight="1" thickBot="1" x14ac:dyDescent="0.35">
      <c r="D10" s="82" t="s">
        <v>200</v>
      </c>
      <c r="E10" s="881"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0"/>
      <c r="G10" s="840"/>
      <c r="H10" s="840"/>
      <c r="I10" s="840"/>
      <c r="J10" s="840"/>
      <c r="K10" s="840"/>
      <c r="L10" s="851"/>
      <c r="M10" s="105"/>
      <c r="N10" s="105"/>
      <c r="O10" s="106"/>
      <c r="P10" s="106"/>
      <c r="AB10" s="104" t="s">
        <v>201</v>
      </c>
      <c r="AC10" s="243" t="s">
        <v>202</v>
      </c>
      <c r="AD10" s="241" t="s">
        <v>203</v>
      </c>
      <c r="AE10" s="242" t="s">
        <v>204</v>
      </c>
      <c r="AF10" s="242" t="s">
        <v>171</v>
      </c>
      <c r="AG10" s="511" t="s">
        <v>205</v>
      </c>
      <c r="AH10" s="109"/>
      <c r="AI10" s="110"/>
      <c r="AJ10" s="111"/>
      <c r="AK10" s="108"/>
    </row>
    <row r="11" spans="4:38" s="104" customFormat="1" ht="18" customHeight="1" thickBot="1" x14ac:dyDescent="0.35">
      <c r="D11" s="82" t="s">
        <v>206</v>
      </c>
      <c r="E11" s="917" t="str">
        <f>IF(ISBLANK('Identificación del Instrumento'!B24),"",'Identificación del Instrumento'!B24)</f>
        <v>BIANCHETTI</v>
      </c>
      <c r="F11" s="840"/>
      <c r="G11" s="840"/>
      <c r="H11" s="83" t="s">
        <v>52</v>
      </c>
      <c r="I11" s="881" t="str">
        <f>IF(ISBLANK('Identificación del Instrumento'!F24),"",'Identificación del Instrumento'!F24)</f>
        <v>BIANCHETTI</v>
      </c>
      <c r="J11" s="840"/>
      <c r="K11" s="840"/>
      <c r="L11" s="851"/>
      <c r="M11" s="105"/>
      <c r="N11" s="105"/>
      <c r="O11" s="106"/>
      <c r="P11" s="106"/>
      <c r="AB11" s="104" t="s">
        <v>207</v>
      </c>
      <c r="AC11" s="243" t="s">
        <v>208</v>
      </c>
      <c r="AD11" s="241" t="s">
        <v>209</v>
      </c>
      <c r="AE11" s="242" t="s">
        <v>210</v>
      </c>
      <c r="AF11" s="242" t="s">
        <v>171</v>
      </c>
      <c r="AG11" s="511" t="s">
        <v>211</v>
      </c>
      <c r="AH11" s="109"/>
      <c r="AI11" s="110"/>
      <c r="AJ11" s="111"/>
      <c r="AK11" s="108"/>
    </row>
    <row r="12" spans="4:38" s="104" customFormat="1" ht="18" customHeight="1" thickBot="1" x14ac:dyDescent="0.35">
      <c r="D12" s="82" t="s">
        <v>212</v>
      </c>
      <c r="E12" s="869" t="str">
        <f>IF(ISBLANK('Identificación del Instrumento'!B25),"",'Identificación del Instrumento'!B25)</f>
        <v>TruckTRONIX 8020</v>
      </c>
      <c r="F12" s="840"/>
      <c r="G12" s="851"/>
      <c r="H12" s="83" t="s">
        <v>52</v>
      </c>
      <c r="I12" s="868" t="str">
        <f>IF(ISBLANK('Identificación del Instrumento'!F25),"",'Identificación del Instrumento'!F25)</f>
        <v>PB 10.000</v>
      </c>
      <c r="J12" s="840"/>
      <c r="K12" s="840"/>
      <c r="L12" s="851"/>
      <c r="M12" s="105"/>
      <c r="N12" s="105"/>
      <c r="O12" s="106"/>
      <c r="P12" s="106"/>
      <c r="AB12" s="104" t="s">
        <v>213</v>
      </c>
      <c r="AC12" s="243" t="s">
        <v>214</v>
      </c>
      <c r="AD12" s="241" t="s">
        <v>215</v>
      </c>
      <c r="AE12" s="242" t="s">
        <v>216</v>
      </c>
      <c r="AF12" s="242" t="s">
        <v>217</v>
      </c>
      <c r="AG12" s="511" t="s">
        <v>218</v>
      </c>
      <c r="AH12" s="109"/>
      <c r="AI12" s="110"/>
      <c r="AJ12" s="111"/>
      <c r="AK12" s="108"/>
    </row>
    <row r="13" spans="4:38" s="104" customFormat="1" ht="18" customHeight="1" thickBot="1" x14ac:dyDescent="0.35">
      <c r="D13" s="84" t="s">
        <v>219</v>
      </c>
      <c r="E13" s="839" t="str">
        <f>IF(ISBLANK('Identificación del Instrumento'!B26),"",'Identificación del Instrumento'!B26)</f>
        <v>28082017214</v>
      </c>
      <c r="F13" s="840"/>
      <c r="G13" s="840"/>
      <c r="H13" s="83" t="s">
        <v>52</v>
      </c>
      <c r="I13" s="868" t="str">
        <f>IF(ISBLANK('Identificación del Instrumento'!F26),"",'Identificación del Instrumento'!F26)</f>
        <v>28082017215</v>
      </c>
      <c r="J13" s="840"/>
      <c r="K13" s="840"/>
      <c r="L13" s="851"/>
      <c r="M13" s="105"/>
      <c r="N13" s="105"/>
      <c r="O13" s="106"/>
      <c r="P13" s="106"/>
      <c r="AB13" s="104" t="s">
        <v>220</v>
      </c>
      <c r="AC13" s="243" t="s">
        <v>221</v>
      </c>
      <c r="AD13" s="241" t="s">
        <v>222</v>
      </c>
      <c r="AE13" s="242" t="s">
        <v>223</v>
      </c>
      <c r="AF13" s="242" t="s">
        <v>171</v>
      </c>
      <c r="AG13" s="511" t="s">
        <v>224</v>
      </c>
      <c r="AH13" s="109"/>
      <c r="AI13" s="110"/>
      <c r="AJ13" s="111"/>
      <c r="AK13" s="108"/>
    </row>
    <row r="14" spans="4:38" s="104" customFormat="1" ht="18" customHeight="1" thickBot="1" x14ac:dyDescent="0.35">
      <c r="D14" s="85" t="s">
        <v>225</v>
      </c>
      <c r="E14" s="850" t="str">
        <f>IF(ISBLANK('Identificación del Instrumento'!B27),"",'Identificación del Instrumento'!B27)</f>
        <v>BF.80-2172</v>
      </c>
      <c r="F14" s="840"/>
      <c r="G14" s="851"/>
      <c r="H14" s="83" t="s">
        <v>52</v>
      </c>
      <c r="I14" s="847" t="str">
        <f>IF(ISBLANK('Identificación del Instrumento'!F27),"",'Identificación del Instrumento'!F27)</f>
        <v>BF.60-1624</v>
      </c>
      <c r="J14" s="840"/>
      <c r="K14" s="840"/>
      <c r="L14" s="356">
        <f>VLOOKUP(I15,AE56:AF57,2,0)</f>
        <v>1</v>
      </c>
      <c r="M14" s="353">
        <f>L14</f>
        <v>1</v>
      </c>
      <c r="N14" s="105"/>
      <c r="O14" s="106"/>
      <c r="P14" s="106"/>
      <c r="AB14" s="104" t="s">
        <v>220</v>
      </c>
      <c r="AC14" s="243" t="s">
        <v>226</v>
      </c>
      <c r="AD14" s="241" t="s">
        <v>227</v>
      </c>
      <c r="AE14" s="240">
        <v>97</v>
      </c>
      <c r="AF14" s="242" t="s">
        <v>171</v>
      </c>
      <c r="AG14" s="511" t="s">
        <v>228</v>
      </c>
      <c r="AH14" s="109"/>
      <c r="AI14" s="110"/>
      <c r="AJ14" s="111"/>
      <c r="AK14" s="108"/>
    </row>
    <row r="15" spans="4:38" s="104" customFormat="1" ht="18" customHeight="1" thickBot="1" x14ac:dyDescent="0.35">
      <c r="D15" s="85" t="s">
        <v>38</v>
      </c>
      <c r="E15" s="850" t="str">
        <f>IF(ISBLANK('Identificación del Instrumento'!B17)," ",'Identificación del Instrumento'!B17)</f>
        <v>VERIFICACIÓN PERIÓDICA</v>
      </c>
      <c r="F15" s="840"/>
      <c r="G15" s="851"/>
      <c r="H15" s="83" t="s">
        <v>39</v>
      </c>
      <c r="I15" s="847" t="str">
        <f>IF(ISBLANK('Identificación del Instrumento'!F17),"",'Identificación del Instrumento'!F17)</f>
        <v>VERIFICACIÓN PERIÓDICA</v>
      </c>
      <c r="J15" s="840"/>
      <c r="K15" s="840"/>
      <c r="L15" s="76"/>
      <c r="M15" s="105"/>
      <c r="N15" s="105"/>
      <c r="O15" s="106"/>
      <c r="P15" s="106"/>
      <c r="AB15" s="104" t="s">
        <v>220</v>
      </c>
      <c r="AC15" s="243" t="s">
        <v>229</v>
      </c>
      <c r="AD15" s="241" t="s">
        <v>230</v>
      </c>
      <c r="AE15" s="242" t="s">
        <v>231</v>
      </c>
      <c r="AF15" s="242" t="s">
        <v>171</v>
      </c>
      <c r="AG15" s="511" t="s">
        <v>232</v>
      </c>
      <c r="AH15" s="109"/>
      <c r="AI15" s="110"/>
      <c r="AJ15" s="111"/>
      <c r="AK15" s="108"/>
    </row>
    <row r="16" spans="4:38" s="104" customFormat="1" ht="18" customHeight="1" thickBot="1" x14ac:dyDescent="0.35">
      <c r="D16" s="85" t="s">
        <v>233</v>
      </c>
      <c r="E16" s="865" t="str">
        <f>IF(ISBLANK('Identificación del Instrumento'!B22),"",'Identificación del Instrumento'!B22)</f>
        <v>Balanza para pesar camiones</v>
      </c>
      <c r="F16" s="840"/>
      <c r="G16" s="840"/>
      <c r="H16" s="840"/>
      <c r="I16" s="840"/>
      <c r="J16" s="840"/>
      <c r="K16" s="840"/>
      <c r="L16" s="76"/>
      <c r="M16" s="105"/>
      <c r="N16" s="105"/>
      <c r="O16" s="106"/>
      <c r="P16" s="106"/>
      <c r="AB16" s="104" t="s">
        <v>220</v>
      </c>
      <c r="AC16" s="243" t="s">
        <v>234</v>
      </c>
      <c r="AD16" s="241" t="s">
        <v>235</v>
      </c>
      <c r="AE16" s="242" t="s">
        <v>236</v>
      </c>
      <c r="AF16" s="242" t="s">
        <v>171</v>
      </c>
      <c r="AG16" s="511" t="s">
        <v>237</v>
      </c>
      <c r="AH16" s="109"/>
      <c r="AI16" s="110"/>
      <c r="AJ16" s="111"/>
      <c r="AK16" s="108"/>
    </row>
    <row r="17" spans="4:42" s="104" customFormat="1" ht="18" customHeight="1" thickBot="1" x14ac:dyDescent="0.35">
      <c r="D17" s="82" t="s">
        <v>238</v>
      </c>
      <c r="E17" s="868" t="str">
        <f>IF(ISBLANK('Identificación del Instrumento'!F23),"",'Identificación del Instrumento'!F23)</f>
        <v>electrónica</v>
      </c>
      <c r="F17" s="840"/>
      <c r="G17" s="840"/>
      <c r="H17" s="851"/>
      <c r="I17" s="86" t="s">
        <v>239</v>
      </c>
      <c r="J17" s="87" t="str">
        <f>IF(ISBLANK('Identificación del Instrumento'!F30),"",'Identificación del Instrumento'!F30)</f>
        <v>III</v>
      </c>
      <c r="K17" s="75"/>
      <c r="L17" s="76"/>
      <c r="M17" s="105"/>
      <c r="N17" s="105"/>
      <c r="O17" s="106"/>
      <c r="P17" s="106"/>
      <c r="AB17" s="104" t="s">
        <v>220</v>
      </c>
      <c r="AC17" s="243" t="s">
        <v>240</v>
      </c>
      <c r="AD17" s="241" t="s">
        <v>241</v>
      </c>
      <c r="AE17" s="242" t="s">
        <v>242</v>
      </c>
      <c r="AF17" s="242" t="s">
        <v>171</v>
      </c>
      <c r="AG17" s="511" t="s">
        <v>243</v>
      </c>
      <c r="AH17" s="109"/>
      <c r="AI17" s="110"/>
      <c r="AJ17" s="111"/>
      <c r="AK17" s="108"/>
      <c r="AP17" s="104" t="s">
        <v>30</v>
      </c>
    </row>
    <row r="18" spans="4:42" s="104" customFormat="1" ht="18" customHeight="1" thickBot="1" x14ac:dyDescent="0.35">
      <c r="D18" s="85" t="s">
        <v>244</v>
      </c>
      <c r="E18" s="88">
        <f>IF(ISNUMBER('Identificación del Instrumento'!D30),'Identificación del Instrumento'!B30,"")</f>
        <v>20</v>
      </c>
      <c r="F18" s="89" t="s">
        <v>245</v>
      </c>
      <c r="G18" s="88">
        <f>IF(ISBLANK('Identificación del Instrumento'!D30),"",'Identificación del Instrumento'!D30)</f>
        <v>20</v>
      </c>
      <c r="H18" s="83" t="s">
        <v>246</v>
      </c>
      <c r="I18" s="88">
        <f>IF(ISBLANK('Identificación del Instrumento'!D29),"",'Identificación del Instrumento'!D29)</f>
        <v>80000</v>
      </c>
      <c r="J18" s="79"/>
      <c r="K18" s="90"/>
      <c r="L18" s="91"/>
      <c r="M18" s="105"/>
      <c r="N18" s="105"/>
      <c r="O18" s="106"/>
      <c r="P18" s="106"/>
      <c r="AB18" s="104" t="s">
        <v>220</v>
      </c>
      <c r="AC18" s="243" t="s">
        <v>247</v>
      </c>
      <c r="AD18" s="241" t="s">
        <v>248</v>
      </c>
      <c r="AE18" s="242" t="s">
        <v>249</v>
      </c>
      <c r="AF18" s="242" t="s">
        <v>171</v>
      </c>
      <c r="AG18" s="511" t="s">
        <v>250</v>
      </c>
      <c r="AH18" s="109"/>
      <c r="AI18" s="110"/>
      <c r="AJ18" s="111"/>
      <c r="AK18" s="108"/>
      <c r="AO18" s="104" t="s">
        <v>30</v>
      </c>
      <c r="AP18" s="104" t="s">
        <v>30</v>
      </c>
    </row>
    <row r="19" spans="4:42" s="104" customFormat="1" ht="18" customHeight="1" x14ac:dyDescent="0.3">
      <c r="D19" s="92" t="s">
        <v>251</v>
      </c>
      <c r="E19" s="93"/>
      <c r="F19" s="93"/>
      <c r="G19" s="93"/>
      <c r="H19" s="93"/>
      <c r="I19" s="93"/>
      <c r="J19" s="93"/>
      <c r="K19" s="94"/>
      <c r="L19" s="95"/>
      <c r="M19" s="105"/>
      <c r="P19" s="106"/>
      <c r="AB19" s="104" t="s">
        <v>220</v>
      </c>
      <c r="AC19" s="243" t="s">
        <v>252</v>
      </c>
      <c r="AD19" s="241" t="s">
        <v>253</v>
      </c>
      <c r="AE19" s="242" t="s">
        <v>254</v>
      </c>
      <c r="AF19" s="242" t="s">
        <v>171</v>
      </c>
      <c r="AG19" s="511" t="s">
        <v>255</v>
      </c>
      <c r="AH19" s="109"/>
      <c r="AI19" s="110"/>
      <c r="AJ19" s="111"/>
      <c r="AK19" s="108"/>
    </row>
    <row r="20" spans="4:42" s="104" customFormat="1" ht="18" customHeight="1" x14ac:dyDescent="0.3">
      <c r="D20" s="863" t="str">
        <f>IF(ISBLANK('Identificación del Instrumento'!A50),"",'Identificación del Instrumento'!A50)</f>
        <v/>
      </c>
      <c r="E20" s="853"/>
      <c r="F20" s="853"/>
      <c r="G20" s="853"/>
      <c r="H20" s="853"/>
      <c r="I20" s="853"/>
      <c r="J20" s="853"/>
      <c r="K20" s="853"/>
      <c r="L20" s="843"/>
      <c r="M20" s="105"/>
      <c r="N20" s="106"/>
      <c r="O20" s="108"/>
      <c r="P20" s="106"/>
      <c r="AC20" s="243" t="s">
        <v>256</v>
      </c>
      <c r="AD20" s="241" t="s">
        <v>257</v>
      </c>
      <c r="AE20" s="242" t="s">
        <v>258</v>
      </c>
      <c r="AF20" s="242" t="s">
        <v>259</v>
      </c>
      <c r="AG20" s="511" t="s">
        <v>260</v>
      </c>
      <c r="AH20" s="109"/>
      <c r="AI20" s="110"/>
      <c r="AJ20" s="111"/>
      <c r="AK20" s="108"/>
    </row>
    <row r="21" spans="4:42" s="104" customFormat="1" ht="108" customHeight="1" thickBot="1" x14ac:dyDescent="0.35">
      <c r="D21" s="864"/>
      <c r="E21" s="831"/>
      <c r="F21" s="831"/>
      <c r="G21" s="831"/>
      <c r="H21" s="831"/>
      <c r="I21" s="831"/>
      <c r="J21" s="831"/>
      <c r="K21" s="831"/>
      <c r="L21" s="836"/>
      <c r="M21" s="105"/>
      <c r="P21" s="106"/>
      <c r="AC21" s="243" t="s">
        <v>160</v>
      </c>
      <c r="AD21" s="241" t="s">
        <v>261</v>
      </c>
      <c r="AE21" s="242" t="s">
        <v>262</v>
      </c>
      <c r="AF21" s="242" t="s">
        <v>263</v>
      </c>
      <c r="AG21" s="511" t="s">
        <v>264</v>
      </c>
      <c r="AH21" s="109"/>
      <c r="AI21" s="110"/>
      <c r="AJ21" s="111"/>
      <c r="AK21" s="108"/>
    </row>
    <row r="22" spans="4:42" s="104" customFormat="1" ht="18" customHeight="1" thickBot="1" x14ac:dyDescent="0.35">
      <c r="D22" s="922" t="s">
        <v>265</v>
      </c>
      <c r="E22" s="840"/>
      <c r="F22" s="840"/>
      <c r="G22" s="840"/>
      <c r="H22" s="840"/>
      <c r="I22" s="840"/>
      <c r="J22" s="840"/>
      <c r="K22" s="840"/>
      <c r="L22" s="851"/>
      <c r="M22" s="105"/>
      <c r="P22" s="106"/>
      <c r="R22" s="116"/>
      <c r="S22" s="116"/>
      <c r="AC22" s="243" t="s">
        <v>266</v>
      </c>
      <c r="AD22" s="241" t="s">
        <v>267</v>
      </c>
      <c r="AE22" s="242" t="s">
        <v>268</v>
      </c>
      <c r="AF22" s="242" t="s">
        <v>269</v>
      </c>
      <c r="AG22" s="511" t="s">
        <v>270</v>
      </c>
      <c r="AH22" s="109"/>
      <c r="AI22" s="110"/>
      <c r="AJ22" s="111"/>
      <c r="AK22" s="108"/>
    </row>
    <row r="23" spans="4:42" ht="18" customHeight="1" x14ac:dyDescent="0.25">
      <c r="D23" s="885"/>
      <c r="E23" s="855"/>
      <c r="F23" s="855"/>
      <c r="G23" s="855"/>
      <c r="H23" s="855"/>
      <c r="I23" s="855"/>
      <c r="J23" s="855"/>
      <c r="K23" s="855"/>
      <c r="L23" s="856"/>
      <c r="M23" s="118"/>
      <c r="R23" s="100"/>
      <c r="S23" s="100"/>
      <c r="AC23" s="243"/>
      <c r="AD23" s="241"/>
      <c r="AE23" s="242"/>
      <c r="AF23" s="242"/>
      <c r="AG23" s="244"/>
      <c r="AH23" s="120"/>
      <c r="AI23" s="121"/>
      <c r="AJ23" s="122"/>
    </row>
    <row r="24" spans="4:42" ht="5.25" customHeight="1" x14ac:dyDescent="0.25">
      <c r="D24" s="886"/>
      <c r="E24" s="781"/>
      <c r="F24" s="781"/>
      <c r="G24" s="781"/>
      <c r="H24" s="781"/>
      <c r="I24" s="781"/>
      <c r="J24" s="781"/>
      <c r="K24" s="781"/>
      <c r="L24" s="887"/>
      <c r="M24" s="118"/>
      <c r="R24" s="100"/>
      <c r="S24" s="100"/>
      <c r="AC24" s="243"/>
      <c r="AD24" s="241"/>
      <c r="AE24" s="242"/>
      <c r="AF24" s="242"/>
      <c r="AG24" s="244"/>
      <c r="AH24" s="120"/>
      <c r="AI24" s="121"/>
      <c r="AJ24" s="122"/>
    </row>
    <row r="25" spans="4:42" ht="18" hidden="1" customHeight="1" thickBot="1" x14ac:dyDescent="0.3">
      <c r="D25" s="886"/>
      <c r="E25" s="781"/>
      <c r="F25" s="781"/>
      <c r="G25" s="781"/>
      <c r="H25" s="781"/>
      <c r="I25" s="781"/>
      <c r="J25" s="781"/>
      <c r="K25" s="781"/>
      <c r="L25" s="887"/>
      <c r="M25" s="118"/>
      <c r="R25" s="100"/>
      <c r="S25" s="100"/>
      <c r="AC25" s="243"/>
      <c r="AD25" s="241"/>
      <c r="AE25" s="242"/>
      <c r="AF25" s="242"/>
      <c r="AG25" s="244"/>
      <c r="AH25" s="120"/>
      <c r="AI25" s="121"/>
      <c r="AJ25" s="122"/>
    </row>
    <row r="26" spans="4:42" ht="18" hidden="1" customHeight="1" thickBot="1" x14ac:dyDescent="0.3">
      <c r="D26" s="886"/>
      <c r="E26" s="781"/>
      <c r="F26" s="781"/>
      <c r="G26" s="781"/>
      <c r="H26" s="781"/>
      <c r="I26" s="781"/>
      <c r="J26" s="781"/>
      <c r="K26" s="781"/>
      <c r="L26" s="887"/>
      <c r="M26" s="118"/>
      <c r="R26" s="100"/>
      <c r="S26" s="100"/>
      <c r="AC26" s="243"/>
      <c r="AD26" s="241"/>
      <c r="AE26" s="242"/>
      <c r="AF26" s="242"/>
      <c r="AG26" s="244"/>
      <c r="AH26" s="120"/>
      <c r="AI26" s="121"/>
      <c r="AJ26" s="122"/>
    </row>
    <row r="27" spans="4:42" ht="18" hidden="1" customHeight="1" thickBot="1" x14ac:dyDescent="0.3">
      <c r="D27" s="886"/>
      <c r="E27" s="781"/>
      <c r="F27" s="781"/>
      <c r="G27" s="781"/>
      <c r="H27" s="781"/>
      <c r="I27" s="781"/>
      <c r="J27" s="781"/>
      <c r="K27" s="781"/>
      <c r="L27" s="887"/>
      <c r="M27" s="118"/>
      <c r="R27" s="100"/>
      <c r="S27" s="100"/>
      <c r="AC27" s="243"/>
      <c r="AD27" s="241"/>
      <c r="AE27" s="242"/>
      <c r="AF27" s="242"/>
      <c r="AG27" s="244"/>
      <c r="AH27" s="120"/>
      <c r="AI27" s="121"/>
      <c r="AJ27" s="122"/>
    </row>
    <row r="28" spans="4:42" ht="18" hidden="1" customHeight="1" thickBot="1" x14ac:dyDescent="0.3">
      <c r="D28" s="886"/>
      <c r="E28" s="781"/>
      <c r="F28" s="781"/>
      <c r="G28" s="781"/>
      <c r="H28" s="781"/>
      <c r="I28" s="781"/>
      <c r="J28" s="781"/>
      <c r="K28" s="781"/>
      <c r="L28" s="887"/>
      <c r="M28" s="118"/>
      <c r="R28" s="100"/>
      <c r="S28" s="100"/>
      <c r="AC28" s="243"/>
      <c r="AD28" s="241"/>
      <c r="AE28" s="242"/>
      <c r="AF28" s="242"/>
      <c r="AG28" s="244"/>
      <c r="AH28" s="120"/>
      <c r="AI28" s="121"/>
      <c r="AJ28" s="122"/>
    </row>
    <row r="29" spans="4:42" ht="18" hidden="1" customHeight="1" thickBot="1" x14ac:dyDescent="0.3">
      <c r="D29" s="886"/>
      <c r="E29" s="781"/>
      <c r="F29" s="781"/>
      <c r="G29" s="781"/>
      <c r="H29" s="781"/>
      <c r="I29" s="781"/>
      <c r="J29" s="781"/>
      <c r="K29" s="781"/>
      <c r="L29" s="887"/>
      <c r="M29" s="118"/>
      <c r="R29" s="100"/>
      <c r="S29" s="100"/>
      <c r="AC29" s="243"/>
      <c r="AD29" s="241"/>
      <c r="AE29" s="242"/>
      <c r="AF29" s="242"/>
      <c r="AG29" s="244"/>
      <c r="AH29" s="120"/>
      <c r="AI29" s="121"/>
      <c r="AJ29" s="122"/>
    </row>
    <row r="30" spans="4:42" ht="15.75" customHeight="1" x14ac:dyDescent="0.25">
      <c r="D30" s="886"/>
      <c r="E30" s="781"/>
      <c r="F30" s="781"/>
      <c r="G30" s="781"/>
      <c r="H30" s="781"/>
      <c r="I30" s="781"/>
      <c r="J30" s="781"/>
      <c r="K30" s="781"/>
      <c r="L30" s="887"/>
      <c r="M30" s="118"/>
      <c r="R30" s="100"/>
      <c r="S30" s="100"/>
      <c r="AC30" s="243"/>
      <c r="AD30" s="241"/>
      <c r="AE30" s="242"/>
      <c r="AF30" s="242"/>
      <c r="AG30" s="244"/>
      <c r="AH30" s="120"/>
      <c r="AI30" s="121"/>
      <c r="AJ30" s="122"/>
    </row>
    <row r="31" spans="4:42" ht="15.75" customHeight="1" x14ac:dyDescent="0.25">
      <c r="D31" s="886"/>
      <c r="E31" s="781"/>
      <c r="F31" s="781"/>
      <c r="G31" s="781"/>
      <c r="H31" s="781"/>
      <c r="I31" s="781"/>
      <c r="J31" s="781"/>
      <c r="K31" s="781"/>
      <c r="L31" s="887"/>
      <c r="M31" s="118"/>
      <c r="R31" s="100"/>
      <c r="S31" s="100"/>
      <c r="AC31" s="243"/>
      <c r="AD31" s="241"/>
      <c r="AE31" s="242"/>
      <c r="AF31" s="242"/>
      <c r="AG31" s="244"/>
      <c r="AH31" s="120"/>
      <c r="AI31" s="121"/>
      <c r="AJ31" s="122"/>
    </row>
    <row r="32" spans="4:42" ht="15.75" customHeight="1" x14ac:dyDescent="0.25">
      <c r="D32" s="886"/>
      <c r="E32" s="781"/>
      <c r="F32" s="781"/>
      <c r="G32" s="781"/>
      <c r="H32" s="781"/>
      <c r="I32" s="781"/>
      <c r="J32" s="781"/>
      <c r="K32" s="781"/>
      <c r="L32" s="887"/>
      <c r="M32" s="118"/>
      <c r="R32" s="100"/>
      <c r="S32" s="100"/>
      <c r="AC32" s="243"/>
      <c r="AD32" s="241"/>
      <c r="AE32" s="242"/>
      <c r="AF32" s="242"/>
      <c r="AG32" s="244"/>
      <c r="AH32" s="120"/>
      <c r="AI32" s="121"/>
      <c r="AJ32" s="122"/>
    </row>
    <row r="33" spans="4:37" ht="15.75" customHeight="1" x14ac:dyDescent="0.25">
      <c r="D33" s="886"/>
      <c r="E33" s="781"/>
      <c r="F33" s="781"/>
      <c r="G33" s="781"/>
      <c r="H33" s="781"/>
      <c r="I33" s="781"/>
      <c r="J33" s="781"/>
      <c r="K33" s="781"/>
      <c r="L33" s="887"/>
      <c r="M33" s="118"/>
      <c r="R33" s="100"/>
      <c r="S33" s="100"/>
      <c r="AC33" s="243"/>
      <c r="AD33" s="241"/>
      <c r="AE33" s="242"/>
      <c r="AF33" s="242"/>
      <c r="AG33" s="244"/>
      <c r="AH33" s="120"/>
      <c r="AI33" s="121"/>
      <c r="AJ33" s="122"/>
    </row>
    <row r="34" spans="4:37" ht="16.5" customHeight="1" thickBot="1" x14ac:dyDescent="0.3">
      <c r="D34" s="888"/>
      <c r="E34" s="771"/>
      <c r="F34" s="771"/>
      <c r="G34" s="771"/>
      <c r="H34" s="771"/>
      <c r="I34" s="771"/>
      <c r="J34" s="771"/>
      <c r="K34" s="771"/>
      <c r="L34" s="889"/>
      <c r="M34" s="118"/>
      <c r="R34" s="100"/>
      <c r="S34" s="100"/>
      <c r="AC34" s="243"/>
      <c r="AD34" s="241"/>
      <c r="AE34" s="242"/>
      <c r="AF34" s="242"/>
      <c r="AG34" s="244"/>
      <c r="AH34" s="120"/>
      <c r="AI34" s="121"/>
      <c r="AJ34" s="122"/>
    </row>
    <row r="35" spans="4:37" ht="36.75" customHeight="1" thickBot="1" x14ac:dyDescent="0.3">
      <c r="D35" s="832"/>
      <c r="E35" s="828"/>
      <c r="F35" s="828"/>
      <c r="G35" s="829"/>
      <c r="H35" s="891" t="s">
        <v>271</v>
      </c>
      <c r="I35" s="828"/>
      <c r="J35" s="829"/>
      <c r="K35" s="518">
        <v>10</v>
      </c>
      <c r="L35" s="460"/>
      <c r="M35" s="118"/>
      <c r="N35" s="67"/>
      <c r="P35" s="837" t="s">
        <v>272</v>
      </c>
      <c r="Q35" s="828"/>
      <c r="R35" s="828"/>
      <c r="S35" s="828"/>
      <c r="T35" s="829"/>
      <c r="AC35" s="243"/>
      <c r="AD35" s="240"/>
      <c r="AE35" s="242"/>
      <c r="AF35" s="242"/>
      <c r="AG35" s="244"/>
      <c r="AH35" s="120"/>
      <c r="AI35" s="121"/>
      <c r="AJ35" s="122"/>
    </row>
    <row r="36" spans="4:37" ht="15" customHeight="1" thickBot="1" x14ac:dyDescent="0.3">
      <c r="D36" s="481"/>
      <c r="E36" s="482"/>
      <c r="F36" s="482" t="s">
        <v>273</v>
      </c>
      <c r="G36" s="482"/>
      <c r="H36" s="482"/>
      <c r="I36" s="482"/>
      <c r="J36" s="483"/>
      <c r="K36" s="484"/>
      <c r="L36" s="485"/>
      <c r="M36" s="118"/>
      <c r="N36" s="67"/>
      <c r="P36" s="835" t="s">
        <v>274</v>
      </c>
      <c r="Q36" s="831"/>
      <c r="R36" s="831"/>
      <c r="S36" s="831"/>
      <c r="T36" s="836"/>
      <c r="AC36" s="243"/>
      <c r="AD36" s="240"/>
      <c r="AE36" s="242"/>
      <c r="AF36" s="242"/>
      <c r="AG36" s="244"/>
      <c r="AH36" s="120"/>
      <c r="AI36" s="121"/>
      <c r="AJ36" s="122"/>
    </row>
    <row r="37" spans="4:37" ht="15" customHeight="1" thickBot="1" x14ac:dyDescent="0.3">
      <c r="D37" s="461"/>
      <c r="E37" s="464"/>
      <c r="F37" s="464"/>
      <c r="G37" s="462"/>
      <c r="H37" s="464"/>
      <c r="I37" s="465"/>
      <c r="J37" s="463"/>
      <c r="K37" s="842" t="s">
        <v>275</v>
      </c>
      <c r="L37" s="843"/>
      <c r="M37" s="118"/>
      <c r="N37" s="67"/>
      <c r="P37" s="833"/>
      <c r="Q37" s="834"/>
      <c r="R37" s="834"/>
      <c r="S37" s="834"/>
      <c r="T37" s="834"/>
      <c r="AC37" s="243"/>
      <c r="AD37" s="240"/>
      <c r="AE37" s="242"/>
      <c r="AF37" s="242"/>
      <c r="AG37" s="244"/>
      <c r="AH37" s="120"/>
      <c r="AI37" s="121"/>
      <c r="AJ37" s="122"/>
    </row>
    <row r="38" spans="4:37" ht="15" customHeight="1" x14ac:dyDescent="0.25">
      <c r="D38" s="461"/>
      <c r="E38" s="854" t="str">
        <f>IF('Identificación del Instrumento'!B22="Balanza de plataforma","1",(IF(K35=12,CONCATENATE(P35,"",),IF(K35=10,CONCATENATE(P38,"",),IF(K35=8,CONCATENATE(P41,"",),IF(K35=6,CONCATENATE(P44,"",),IF(K35=4,CONCATENATE(P47,"",),"")))))))</f>
        <v>6                                   7                                   8                                   9                                   10</v>
      </c>
      <c r="F38" s="855"/>
      <c r="G38" s="855"/>
      <c r="H38" s="855"/>
      <c r="I38" s="856"/>
      <c r="J38" s="463"/>
      <c r="K38" s="844"/>
      <c r="L38" s="843"/>
      <c r="M38" s="118"/>
      <c r="N38" s="67"/>
      <c r="P38" s="845" t="s">
        <v>276</v>
      </c>
      <c r="Q38" s="828"/>
      <c r="R38" s="828"/>
      <c r="S38" s="828"/>
      <c r="T38" s="829"/>
      <c r="AC38" s="243"/>
      <c r="AD38" s="240"/>
      <c r="AE38" s="242"/>
      <c r="AF38" s="242"/>
      <c r="AG38" s="244"/>
      <c r="AH38" s="120"/>
      <c r="AI38" s="121"/>
      <c r="AJ38" s="122"/>
    </row>
    <row r="39" spans="4:37" ht="27.75" customHeight="1" thickBot="1" x14ac:dyDescent="0.3">
      <c r="D39" s="708" t="s">
        <v>277</v>
      </c>
      <c r="E39" s="838" t="str">
        <f>IF('Identificación del Instrumento'!B22="Balanza de plataforma","3","")</f>
        <v/>
      </c>
      <c r="F39" s="870" t="s">
        <v>278</v>
      </c>
      <c r="G39" s="819"/>
      <c r="H39" s="819"/>
      <c r="I39" s="919" t="str">
        <f>IF('Identificación del Instrumento'!B22="Balanza de plataforma","4","")</f>
        <v/>
      </c>
      <c r="J39" s="708" t="s">
        <v>279</v>
      </c>
      <c r="K39" s="844"/>
      <c r="L39" s="843"/>
      <c r="M39" s="118"/>
      <c r="N39" s="67"/>
      <c r="P39" s="835" t="s">
        <v>280</v>
      </c>
      <c r="Q39" s="831"/>
      <c r="R39" s="831"/>
      <c r="S39" s="831"/>
      <c r="T39" s="836"/>
      <c r="AC39" s="243"/>
      <c r="AD39" s="240"/>
      <c r="AE39" s="242"/>
      <c r="AF39" s="242"/>
      <c r="AG39" s="244"/>
      <c r="AH39" s="120"/>
      <c r="AI39" s="121"/>
      <c r="AJ39" s="122"/>
    </row>
    <row r="40" spans="4:37" ht="15" customHeight="1" thickBot="1" x14ac:dyDescent="0.3">
      <c r="D40" s="461"/>
      <c r="E40" s="821"/>
      <c r="F40" s="819"/>
      <c r="G40" s="819"/>
      <c r="H40" s="819"/>
      <c r="I40" s="843"/>
      <c r="J40" s="463"/>
      <c r="K40" s="844"/>
      <c r="L40" s="843"/>
      <c r="M40" s="118"/>
      <c r="N40" s="67"/>
      <c r="P40" s="833"/>
      <c r="Q40" s="834"/>
      <c r="R40" s="834"/>
      <c r="S40" s="834"/>
      <c r="T40" s="834"/>
      <c r="AC40" s="243"/>
      <c r="AD40" s="240"/>
      <c r="AE40" s="242"/>
      <c r="AF40" s="242"/>
      <c r="AG40" s="244"/>
      <c r="AH40" s="120"/>
      <c r="AI40" s="121"/>
      <c r="AJ40" s="122"/>
    </row>
    <row r="41" spans="4:37" ht="15" customHeight="1" thickBot="1" x14ac:dyDescent="0.3">
      <c r="D41" s="461"/>
      <c r="E41" s="904" t="str">
        <f>IF('Identificación del Instrumento'!B22="Balanza de plataforma","2",(IF(K35=12,CONCATENATE(P36,"",),IF(K35=10,CONCATENATE(P39,"",),IF(K35=8,CONCATENATE(P42,"",),IF(K35=6,CONCATENATE(P45,"",),IF(K35=4,CONCATENATE(P48,"",),"")))))))</f>
        <v>5                                   4                                   3                                   2                                     1</v>
      </c>
      <c r="F41" s="771"/>
      <c r="G41" s="771"/>
      <c r="H41" s="771"/>
      <c r="I41" s="889"/>
      <c r="J41" s="463"/>
      <c r="K41" s="844"/>
      <c r="L41" s="843"/>
      <c r="M41" s="118"/>
      <c r="N41" s="67"/>
      <c r="P41" s="845" t="s">
        <v>281</v>
      </c>
      <c r="Q41" s="828"/>
      <c r="R41" s="828"/>
      <c r="S41" s="828"/>
      <c r="T41" s="829"/>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35" t="s">
        <v>282</v>
      </c>
      <c r="Q42" s="831"/>
      <c r="R42" s="831"/>
      <c r="S42" s="831"/>
      <c r="T42" s="836"/>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33"/>
      <c r="Q43" s="834"/>
      <c r="R43" s="834"/>
      <c r="S43" s="834"/>
      <c r="T43" s="834"/>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45" t="s">
        <v>283</v>
      </c>
      <c r="Q44" s="828"/>
      <c r="R44" s="828"/>
      <c r="S44" s="828"/>
      <c r="T44" s="829"/>
      <c r="AC44" s="243"/>
      <c r="AD44" s="240"/>
      <c r="AE44" s="242"/>
      <c r="AF44" s="242"/>
      <c r="AG44" s="244"/>
      <c r="AH44" s="120"/>
      <c r="AI44" s="121"/>
      <c r="AJ44" s="122"/>
    </row>
    <row r="45" spans="4:37" ht="16.5" customHeight="1" thickBot="1" x14ac:dyDescent="0.3">
      <c r="D45" s="125"/>
      <c r="J45" s="126"/>
      <c r="K45" s="127"/>
      <c r="M45" s="118"/>
      <c r="N45" s="124"/>
      <c r="O45" s="124"/>
      <c r="P45" s="835" t="s">
        <v>284</v>
      </c>
      <c r="Q45" s="831"/>
      <c r="R45" s="831"/>
      <c r="S45" s="831"/>
      <c r="T45" s="836"/>
      <c r="AC45" s="243"/>
      <c r="AD45" s="240"/>
      <c r="AE45" s="242"/>
      <c r="AF45" s="242"/>
      <c r="AG45" s="244"/>
      <c r="AH45" s="120"/>
      <c r="AI45" s="121"/>
      <c r="AJ45" s="122"/>
    </row>
    <row r="46" spans="4:37" s="130" customFormat="1" ht="18" customHeight="1" thickBot="1" x14ac:dyDescent="0.3">
      <c r="D46" s="827" t="s">
        <v>285</v>
      </c>
      <c r="E46" s="829"/>
      <c r="F46" s="827" t="s">
        <v>286</v>
      </c>
      <c r="G46" s="828"/>
      <c r="H46" s="828"/>
      <c r="I46" s="828"/>
      <c r="J46" s="829"/>
      <c r="K46" s="128"/>
      <c r="L46" s="129"/>
      <c r="M46" s="129"/>
      <c r="N46" s="124"/>
      <c r="O46" s="124"/>
      <c r="P46" s="833"/>
      <c r="Q46" s="880"/>
      <c r="R46" s="880"/>
      <c r="S46" s="880"/>
      <c r="T46" s="880"/>
      <c r="AC46" s="243"/>
      <c r="AD46" s="240"/>
      <c r="AE46" s="242"/>
      <c r="AF46" s="242"/>
      <c r="AG46" s="244"/>
      <c r="AH46" s="132"/>
      <c r="AI46" s="133"/>
      <c r="AJ46" s="134"/>
      <c r="AK46" s="131"/>
    </row>
    <row r="47" spans="4:37" s="130" customFormat="1" ht="18" customHeight="1" x14ac:dyDescent="0.25">
      <c r="D47" s="135" t="s">
        <v>287</v>
      </c>
      <c r="E47" s="136" t="str">
        <f>IF(D47=J$17,"&lt;====","")</f>
        <v/>
      </c>
      <c r="F47" s="884" t="s">
        <v>288</v>
      </c>
      <c r="G47" s="769"/>
      <c r="H47" s="918" t="s">
        <v>289</v>
      </c>
      <c r="I47" s="768"/>
      <c r="J47" s="769"/>
      <c r="K47" s="128"/>
      <c r="L47" s="129"/>
      <c r="M47" s="129"/>
      <c r="N47" s="124"/>
      <c r="O47" s="124"/>
      <c r="P47" s="845" t="s">
        <v>290</v>
      </c>
      <c r="Q47" s="828"/>
      <c r="R47" s="828"/>
      <c r="S47" s="828"/>
      <c r="T47" s="829"/>
      <c r="AC47" s="243"/>
      <c r="AD47" s="240"/>
      <c r="AE47" s="242"/>
      <c r="AF47" s="242"/>
      <c r="AG47" s="244"/>
      <c r="AH47" s="132"/>
      <c r="AI47" s="133"/>
      <c r="AJ47" s="134"/>
      <c r="AK47" s="131"/>
    </row>
    <row r="48" spans="4:37" s="130" customFormat="1" ht="18" customHeight="1" thickBot="1" x14ac:dyDescent="0.3">
      <c r="D48" s="135" t="s">
        <v>291</v>
      </c>
      <c r="E48" s="136" t="str">
        <f>IF(D48=J$17,"&lt;====","")</f>
        <v/>
      </c>
      <c r="F48" s="137">
        <f>IF(ISNUMBER(E51),IF(J17=D50,10*E51,IF(J17=D49,50*E51,IF(J17=D48,50*E51,IF(J17=D47,50*E51,"")))),"")</f>
        <v>1000</v>
      </c>
      <c r="G48" s="138" t="s">
        <v>292</v>
      </c>
      <c r="H48" s="139"/>
      <c r="I48" s="140" t="s">
        <v>293</v>
      </c>
      <c r="J48" s="141" t="s">
        <v>30</v>
      </c>
      <c r="K48" s="128"/>
      <c r="L48" s="129"/>
      <c r="M48" s="129"/>
      <c r="N48" s="124"/>
      <c r="O48" s="124"/>
      <c r="P48" s="835" t="s">
        <v>294</v>
      </c>
      <c r="Q48" s="831"/>
      <c r="R48" s="831"/>
      <c r="S48" s="831"/>
      <c r="T48" s="836"/>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292</v>
      </c>
      <c r="H49" s="143" t="s">
        <v>295</v>
      </c>
      <c r="I49" s="144">
        <f>IF(AND(ISNUMBER($E$51),ISNUMBER($L$14)),$E$51/$L$14,"")</f>
        <v>20</v>
      </c>
      <c r="J49" s="145" t="s">
        <v>292</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292</v>
      </c>
      <c r="H50" s="143" t="s">
        <v>296</v>
      </c>
      <c r="I50" s="144">
        <f>IF(AND(ISNUMBER(E51),ISNUMBER($L$14)),2*$E$51/$L$14,"")</f>
        <v>40</v>
      </c>
      <c r="J50" s="145" t="s">
        <v>292</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295</v>
      </c>
      <c r="E51" s="147">
        <f>E18</f>
        <v>20</v>
      </c>
      <c r="F51" s="148">
        <f>IF(ISNUMBER(I18),I18,"")</f>
        <v>80000</v>
      </c>
      <c r="G51" s="149" t="s">
        <v>292</v>
      </c>
      <c r="H51" s="150" t="s">
        <v>297</v>
      </c>
      <c r="I51" s="151">
        <f>IF(AND(ISNUMBER(E51),ISNUMBER($L$14)),3*$E$51/$L$14,"")</f>
        <v>60</v>
      </c>
      <c r="J51" s="152" t="s">
        <v>292</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298</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916" t="s">
        <v>299</v>
      </c>
      <c r="E54" s="828"/>
      <c r="F54" s="828"/>
      <c r="G54" s="828"/>
      <c r="H54" s="828"/>
      <c r="I54" s="828"/>
      <c r="J54" s="829"/>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894" t="s">
        <v>300</v>
      </c>
      <c r="E55" s="895"/>
      <c r="F55" s="520" t="s">
        <v>61</v>
      </c>
      <c r="G55" s="879"/>
      <c r="H55" s="880"/>
      <c r="I55" s="880"/>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894" t="s">
        <v>301</v>
      </c>
      <c r="E56" s="880"/>
      <c r="F56" s="895"/>
      <c r="G56" s="96" t="s">
        <v>302</v>
      </c>
      <c r="H56" s="159" t="s">
        <v>303</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0" t="s">
        <v>304</v>
      </c>
      <c r="E57" s="831"/>
      <c r="F57" s="831"/>
      <c r="G57" s="831"/>
      <c r="H57" s="831"/>
      <c r="I57" s="831"/>
      <c r="J57" s="836"/>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893" t="s">
        <v>305</v>
      </c>
      <c r="E59" s="840"/>
      <c r="F59" s="851"/>
      <c r="G59" s="97" t="s">
        <v>306</v>
      </c>
      <c r="H59" s="877"/>
      <c r="I59" s="840"/>
      <c r="J59" s="840"/>
      <c r="K59" s="851"/>
      <c r="L59" s="161"/>
      <c r="AE59" s="119" t="s">
        <v>306</v>
      </c>
      <c r="AF59" s="99" t="s">
        <v>307</v>
      </c>
      <c r="AG59" s="99" t="s">
        <v>61</v>
      </c>
      <c r="AH59" s="120">
        <v>1</v>
      </c>
      <c r="AI59" s="121"/>
      <c r="AJ59" s="122"/>
    </row>
    <row r="60" spans="2:37" ht="48" customHeight="1" thickBot="1" x14ac:dyDescent="0.25">
      <c r="D60" s="211" t="s">
        <v>308</v>
      </c>
      <c r="E60" s="207" t="str">
        <f>CONCATENATE("Carga aplicada ",IF(G59="discontinua","en equilibrio","")," (kg)")</f>
        <v>Carga aplicada en equilibrio (kg)</v>
      </c>
      <c r="F60" s="206" t="s">
        <v>309</v>
      </c>
      <c r="G60" s="522" t="str">
        <f>IF(G59="discontinua","sobrecarga [1,4.dd]",IF(G59="continua","sobrecarga [EMT]",IF(G59="ENA","sobrecarga [0,4.EMT]","complete G59")))</f>
        <v>sobrecarga [1,4.dd]</v>
      </c>
      <c r="H60" s="206" t="str">
        <f>+IF(G59="discontinua","Indicación 2 
(kg)","")</f>
        <v>Indicación 2 
(kg)</v>
      </c>
      <c r="I60" s="206" t="s">
        <v>310</v>
      </c>
      <c r="J60" s="206" t="s">
        <v>311</v>
      </c>
      <c r="K60" s="367" t="s">
        <v>312</v>
      </c>
      <c r="N60" s="478" t="s">
        <v>313</v>
      </c>
      <c r="AE60" s="119" t="s">
        <v>314</v>
      </c>
      <c r="AF60" s="99" t="s">
        <v>302</v>
      </c>
      <c r="AG60" s="99" t="s">
        <v>69</v>
      </c>
      <c r="AH60" s="120">
        <v>1</v>
      </c>
      <c r="AI60" s="121"/>
      <c r="AJ60" s="122"/>
    </row>
    <row r="61" spans="2:37" ht="18" customHeight="1" x14ac:dyDescent="0.25">
      <c r="D61" s="257" t="s">
        <v>315</v>
      </c>
      <c r="E61" s="208">
        <v>1000</v>
      </c>
      <c r="F61" s="204">
        <v>1000</v>
      </c>
      <c r="G61" s="747">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316</v>
      </c>
      <c r="AF61" s="99" t="s">
        <v>317</v>
      </c>
      <c r="AH61" s="120">
        <v>1</v>
      </c>
      <c r="AI61" s="121"/>
      <c r="AJ61" s="122"/>
    </row>
    <row r="62" spans="2:37" ht="18" customHeight="1" x14ac:dyDescent="0.25">
      <c r="D62" s="258" t="s">
        <v>318</v>
      </c>
      <c r="E62" s="209">
        <v>22000</v>
      </c>
      <c r="F62" s="8">
        <v>22000</v>
      </c>
      <c r="G62" s="747">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319</v>
      </c>
      <c r="E63" s="210">
        <v>44000</v>
      </c>
      <c r="F63" s="60">
        <v>44000</v>
      </c>
      <c r="G63" s="748">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320</v>
      </c>
      <c r="E66" s="165"/>
      <c r="F66" s="165"/>
      <c r="G66" s="862"/>
      <c r="H66" s="828"/>
      <c r="I66" s="828"/>
      <c r="J66" s="828"/>
      <c r="K66" s="166"/>
      <c r="L66" s="124"/>
      <c r="M66" s="167"/>
      <c r="N66" s="124"/>
      <c r="O66" s="124"/>
      <c r="P66" s="124"/>
      <c r="AE66" s="119"/>
      <c r="AF66" s="123"/>
      <c r="AH66" s="9"/>
      <c r="AI66" s="121"/>
      <c r="AJ66" s="122"/>
    </row>
    <row r="67" spans="4:37" ht="24" customHeight="1" x14ac:dyDescent="0.25">
      <c r="D67" s="311" t="s">
        <v>321</v>
      </c>
      <c r="E67" s="509">
        <v>8</v>
      </c>
      <c r="F67" s="312"/>
      <c r="G67" s="819"/>
      <c r="H67" s="819"/>
      <c r="I67" s="819"/>
      <c r="J67" s="819"/>
      <c r="K67" s="314"/>
      <c r="L67" s="315"/>
      <c r="M67" s="316"/>
      <c r="N67" s="124"/>
      <c r="O67" s="124"/>
      <c r="P67" s="124"/>
      <c r="AC67" s="100"/>
      <c r="AD67" s="100"/>
      <c r="AE67" s="173"/>
      <c r="AF67" s="100"/>
      <c r="AG67" s="100"/>
      <c r="AH67" s="9"/>
      <c r="AI67" s="121"/>
      <c r="AJ67" s="122"/>
    </row>
    <row r="68" spans="4:37" ht="17.25" customHeight="1" thickBot="1" x14ac:dyDescent="0.3">
      <c r="D68" s="311" t="s">
        <v>322</v>
      </c>
      <c r="E68" s="372">
        <v>10000</v>
      </c>
      <c r="F68" s="317" t="s">
        <v>292</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323</v>
      </c>
      <c r="E69" s="319" t="s">
        <v>324</v>
      </c>
      <c r="F69" s="319" t="s">
        <v>325</v>
      </c>
      <c r="G69" s="320" t="s">
        <v>326</v>
      </c>
      <c r="H69" s="321" t="s">
        <v>327</v>
      </c>
      <c r="I69" s="319" t="s">
        <v>328</v>
      </c>
      <c r="J69" s="319" t="s">
        <v>329</v>
      </c>
      <c r="K69" s="363" t="s">
        <v>330</v>
      </c>
      <c r="L69" s="361" t="s">
        <v>331</v>
      </c>
      <c r="M69" s="322" t="s">
        <v>332</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846" t="str">
        <f>+IF(K82=0,"cumple excentricidad","¡no cumple excentricidad !")</f>
        <v>cumple excentricidad</v>
      </c>
      <c r="E82" s="831"/>
      <c r="F82" s="831"/>
      <c r="G82" s="831"/>
      <c r="H82" s="326"/>
      <c r="I82" s="458"/>
      <c r="J82" s="365" t="s">
        <v>333</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334</v>
      </c>
      <c r="H83" s="330">
        <f>SUM(H70:H81)</f>
        <v>80160</v>
      </c>
      <c r="I83" s="331"/>
      <c r="J83" s="315"/>
      <c r="K83" s="316"/>
      <c r="L83" s="332">
        <f>SUM(L70:L77)</f>
        <v>0</v>
      </c>
      <c r="M83" s="315"/>
      <c r="N83" s="124"/>
      <c r="O83" s="124"/>
      <c r="P83" s="124"/>
    </row>
    <row r="84" spans="4:42" ht="27" customHeight="1" thickBot="1" x14ac:dyDescent="0.4">
      <c r="D84" s="187" t="s">
        <v>335</v>
      </c>
      <c r="E84" s="521">
        <f>'Identificación del Instrumento'!D30</f>
        <v>20</v>
      </c>
      <c r="F84" s="186"/>
      <c r="G84" s="329" t="s">
        <v>336</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337</v>
      </c>
      <c r="E87" s="282"/>
      <c r="F87" s="368" t="s">
        <v>338</v>
      </c>
      <c r="G87" s="97" t="s">
        <v>339</v>
      </c>
      <c r="H87" s="369" t="s">
        <v>340</v>
      </c>
      <c r="I87" s="285" t="s">
        <v>279</v>
      </c>
      <c r="J87" s="287"/>
      <c r="K87" s="288"/>
      <c r="L87" s="289"/>
      <c r="M87" s="289"/>
      <c r="N87" s="290"/>
      <c r="S87" s="510" t="s">
        <v>341</v>
      </c>
      <c r="T87" s="510" t="s">
        <v>279</v>
      </c>
    </row>
    <row r="88" spans="4:42" ht="15" customHeight="1" x14ac:dyDescent="0.25">
      <c r="D88" s="291"/>
      <c r="E88" s="281"/>
      <c r="F88" s="281" t="s">
        <v>342</v>
      </c>
      <c r="G88" s="373">
        <v>2000</v>
      </c>
      <c r="H88" s="286" t="s">
        <v>292</v>
      </c>
      <c r="I88" s="280"/>
      <c r="J88" s="280"/>
      <c r="K88" s="292"/>
      <c r="L88" s="280"/>
      <c r="M88" s="280"/>
      <c r="N88" s="293"/>
      <c r="S88" s="510" t="s">
        <v>339</v>
      </c>
      <c r="T88" s="510" t="s">
        <v>277</v>
      </c>
    </row>
    <row r="89" spans="4:42" ht="15" customHeight="1" thickBot="1" x14ac:dyDescent="0.3">
      <c r="D89" s="291"/>
      <c r="E89" s="357"/>
      <c r="F89" s="357" t="s">
        <v>343</v>
      </c>
      <c r="G89" s="370">
        <f>IF(ISNUMBER(G88),IF(G88&lt;=$F$49,I$49,IF(G88&lt;=$F$50,$I$50,$I$51)),"")</f>
        <v>20</v>
      </c>
      <c r="H89" s="286" t="s">
        <v>292</v>
      </c>
      <c r="I89" s="280"/>
      <c r="J89" s="280"/>
      <c r="K89" s="292"/>
      <c r="L89" s="280"/>
      <c r="M89" s="280"/>
      <c r="N89" s="293"/>
    </row>
    <row r="90" spans="4:42" ht="33.75" customHeight="1" thickBot="1" x14ac:dyDescent="0.25">
      <c r="D90" s="276" t="s">
        <v>344</v>
      </c>
      <c r="E90" s="274" t="s">
        <v>345</v>
      </c>
      <c r="F90" s="435" t="s">
        <v>346</v>
      </c>
      <c r="G90" s="430" t="s">
        <v>347</v>
      </c>
      <c r="H90" s="274" t="s">
        <v>348</v>
      </c>
      <c r="I90" s="435" t="s">
        <v>349</v>
      </c>
      <c r="J90" s="430" t="s">
        <v>350</v>
      </c>
      <c r="K90" s="436" t="s">
        <v>351</v>
      </c>
      <c r="L90" s="435" t="s">
        <v>352</v>
      </c>
      <c r="M90" s="275" t="s">
        <v>353</v>
      </c>
      <c r="N90" s="277" t="s">
        <v>354</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50">
        <v>12560</v>
      </c>
      <c r="I91" s="710">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50">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50">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50">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50">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355</v>
      </c>
      <c r="K96" s="429">
        <f>IF(ISNUMBER(STDEV(N91:N95)),STDEV(N91:N95),"")</f>
        <v>0</v>
      </c>
      <c r="L96" s="928" t="s">
        <v>356</v>
      </c>
      <c r="M96" s="929"/>
      <c r="N96" s="384">
        <f>IF(COUNT(N91:N95)&gt;=3,MAX(N91:N95)-MIN(N91:N95),"")</f>
        <v>0</v>
      </c>
    </row>
    <row r="97" spans="4:23" ht="15.75" customHeight="1" thickBot="1" x14ac:dyDescent="0.3">
      <c r="D97" s="830" t="str">
        <f>+IF(N96&lt;=G89,"cumple fidelidad","no cumple fidelidad!")</f>
        <v>cumple fidelidad</v>
      </c>
      <c r="E97" s="831"/>
      <c r="F97" s="831"/>
      <c r="G97" s="831"/>
      <c r="H97" s="831"/>
      <c r="I97" s="831"/>
      <c r="J97" s="294"/>
      <c r="K97" s="295"/>
      <c r="L97" s="294"/>
      <c r="M97" s="386" t="s">
        <v>312</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357</v>
      </c>
      <c r="E99" s="282"/>
      <c r="F99" s="283" t="s">
        <v>358</v>
      </c>
      <c r="G99" s="97" t="s">
        <v>339</v>
      </c>
      <c r="H99" s="284" t="s">
        <v>340</v>
      </c>
      <c r="I99" s="285" t="s">
        <v>277</v>
      </c>
      <c r="J99" s="287"/>
      <c r="K99" s="288"/>
      <c r="L99" s="289"/>
      <c r="M99" s="289"/>
      <c r="N99" s="290"/>
      <c r="R99" s="98"/>
      <c r="S99" s="98"/>
      <c r="T99" s="98"/>
      <c r="U99" s="98"/>
      <c r="V99" s="98"/>
      <c r="W99" s="98"/>
    </row>
    <row r="100" spans="4:23" ht="15" customHeight="1" x14ac:dyDescent="0.25">
      <c r="D100" s="291"/>
      <c r="E100" s="281"/>
      <c r="F100" s="281" t="s">
        <v>342</v>
      </c>
      <c r="G100" s="373">
        <f>+G88</f>
        <v>2000</v>
      </c>
      <c r="H100" s="286" t="s">
        <v>292</v>
      </c>
      <c r="I100" s="280"/>
      <c r="J100" s="280"/>
      <c r="K100" s="292"/>
      <c r="L100" s="280"/>
      <c r="M100" s="280"/>
      <c r="N100" s="293"/>
      <c r="R100" s="98"/>
      <c r="S100" s="98"/>
      <c r="T100" s="98"/>
      <c r="U100" s="98"/>
      <c r="V100" s="98"/>
      <c r="W100" s="98"/>
    </row>
    <row r="101" spans="4:23" ht="15" customHeight="1" thickBot="1" x14ac:dyDescent="0.3">
      <c r="D101" s="291"/>
      <c r="E101" s="826" t="s">
        <v>343</v>
      </c>
      <c r="F101" s="819"/>
      <c r="G101" s="370">
        <f>IF(ISNUMBER(G100),IF(G100&lt;=$F$49,I$49,IF(G100&lt;=$F$50,$I$50,$I$51)),"")</f>
        <v>20</v>
      </c>
      <c r="H101" s="286" t="s">
        <v>292</v>
      </c>
      <c r="I101" s="280"/>
      <c r="J101" s="280"/>
      <c r="K101" s="292"/>
      <c r="L101" s="280"/>
      <c r="M101" s="280"/>
      <c r="N101" s="293"/>
      <c r="R101" s="98"/>
      <c r="S101" s="98"/>
      <c r="T101" s="98"/>
      <c r="U101" s="98"/>
      <c r="V101" s="98"/>
      <c r="W101" s="98"/>
    </row>
    <row r="102" spans="4:23" ht="33" customHeight="1" thickBot="1" x14ac:dyDescent="0.3">
      <c r="D102" s="276" t="s">
        <v>344</v>
      </c>
      <c r="E102" s="274" t="s">
        <v>345</v>
      </c>
      <c r="F102" s="435" t="s">
        <v>346</v>
      </c>
      <c r="G102" s="430" t="s">
        <v>347</v>
      </c>
      <c r="H102" s="274" t="s">
        <v>348</v>
      </c>
      <c r="I102" s="435" t="s">
        <v>349</v>
      </c>
      <c r="J102" s="430" t="s">
        <v>350</v>
      </c>
      <c r="K102" s="436" t="s">
        <v>351</v>
      </c>
      <c r="L102" s="435" t="s">
        <v>352</v>
      </c>
      <c r="M102" s="275" t="s">
        <v>353</v>
      </c>
      <c r="N102" s="277" t="s">
        <v>354</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09">
        <f>H91</f>
        <v>12560</v>
      </c>
      <c r="I103" s="710">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09">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09">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09">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09">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355</v>
      </c>
      <c r="K108" s="385">
        <f>IF(ISNUMBER(STDEV(N103:N107)),STDEV(N103:N107),"")</f>
        <v>0</v>
      </c>
      <c r="L108" s="858" t="s">
        <v>356</v>
      </c>
      <c r="M108" s="769"/>
      <c r="N108" s="388">
        <f>IF(COUNT(N103:N107)&gt;=3,MAX(N103:N107)-MIN(N103:N107),"")</f>
        <v>0</v>
      </c>
      <c r="R108" s="98"/>
      <c r="S108" s="98"/>
      <c r="T108" s="98"/>
      <c r="U108" s="98"/>
      <c r="V108" s="98"/>
      <c r="W108" s="98"/>
    </row>
    <row r="109" spans="4:23" ht="15.75" customHeight="1" thickBot="1" x14ac:dyDescent="0.3">
      <c r="D109" s="830" t="str">
        <f>+IF(N108&lt;=G101,"cumple fidelidad","no cumple fidelidad!")</f>
        <v>cumple fidelidad</v>
      </c>
      <c r="E109" s="831"/>
      <c r="F109" s="831"/>
      <c r="G109" s="831"/>
      <c r="H109" s="831"/>
      <c r="I109" s="831"/>
      <c r="J109" s="294"/>
      <c r="K109" s="295"/>
      <c r="L109" s="294"/>
      <c r="M109" s="386" t="s">
        <v>312</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359</v>
      </c>
      <c r="E111" s="282"/>
      <c r="F111" s="283" t="s">
        <v>358</v>
      </c>
      <c r="G111" s="97" t="s">
        <v>341</v>
      </c>
      <c r="H111" s="284" t="s">
        <v>340</v>
      </c>
      <c r="I111" s="285" t="s">
        <v>279</v>
      </c>
      <c r="J111" s="287"/>
      <c r="K111" s="288"/>
      <c r="L111" s="289"/>
      <c r="M111" s="289"/>
      <c r="N111" s="290"/>
    </row>
    <row r="112" spans="4:23" ht="15" customHeight="1" x14ac:dyDescent="0.25">
      <c r="D112" s="291"/>
      <c r="E112" s="281"/>
      <c r="F112" s="281" t="s">
        <v>342</v>
      </c>
      <c r="G112" s="373">
        <v>36540</v>
      </c>
      <c r="H112" s="286" t="s">
        <v>292</v>
      </c>
      <c r="I112" s="280"/>
      <c r="J112" s="280"/>
      <c r="K112" s="292"/>
      <c r="L112" s="280"/>
      <c r="M112" s="280"/>
      <c r="N112" s="293"/>
    </row>
    <row r="113" spans="4:23" ht="15" customHeight="1" thickBot="1" x14ac:dyDescent="0.3">
      <c r="D113" s="291"/>
      <c r="E113" s="826" t="s">
        <v>343</v>
      </c>
      <c r="F113" s="819"/>
      <c r="G113" s="370">
        <f>IF(ISNUMBER(G112),IF(G112&lt;=$F$49,I$49,IF(G112&lt;=$F$50,$I$50,$I$51)),"")</f>
        <v>40</v>
      </c>
      <c r="H113" s="286"/>
      <c r="I113" s="280"/>
      <c r="J113" s="280"/>
      <c r="K113" s="292"/>
      <c r="L113" s="280"/>
      <c r="M113" s="280"/>
      <c r="N113" s="293"/>
    </row>
    <row r="114" spans="4:23" ht="33" customHeight="1" thickBot="1" x14ac:dyDescent="0.25">
      <c r="D114" s="276" t="s">
        <v>344</v>
      </c>
      <c r="E114" s="274" t="s">
        <v>345</v>
      </c>
      <c r="F114" s="435" t="s">
        <v>346</v>
      </c>
      <c r="G114" s="430" t="s">
        <v>347</v>
      </c>
      <c r="H114" s="274" t="s">
        <v>348</v>
      </c>
      <c r="I114" s="435" t="s">
        <v>349</v>
      </c>
      <c r="J114" s="430" t="s">
        <v>350</v>
      </c>
      <c r="K114" s="436" t="s">
        <v>351</v>
      </c>
      <c r="L114" s="435" t="s">
        <v>352</v>
      </c>
      <c r="M114" s="275" t="s">
        <v>353</v>
      </c>
      <c r="N114" s="277" t="s">
        <v>354</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1">
        <v>39560</v>
      </c>
      <c r="I115" s="710">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1">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1">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1">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1">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355</v>
      </c>
      <c r="K120" s="390">
        <f>IF(ISNUMBER(STDEV(N115:N119)),STDEV(N115:N119),"")</f>
        <v>0</v>
      </c>
      <c r="L120" s="861" t="s">
        <v>360</v>
      </c>
      <c r="M120" s="814"/>
      <c r="N120" s="385">
        <f>IF(COUNT(N115:N119)&gt;=3,MAX(N115:N119)-MIN(N115:N119),"")</f>
        <v>0</v>
      </c>
    </row>
    <row r="121" spans="4:23" ht="16.5" customHeight="1" thickBot="1" x14ac:dyDescent="0.3">
      <c r="D121" s="830" t="str">
        <f>+IF(N120&lt;=G113,"cumple fidelidad","no cumple fidelidad!")</f>
        <v>cumple fidelidad</v>
      </c>
      <c r="E121" s="831"/>
      <c r="F121" s="831"/>
      <c r="G121" s="831"/>
      <c r="H121" s="831"/>
      <c r="I121" s="831"/>
      <c r="J121" s="294"/>
      <c r="K121" s="295"/>
      <c r="L121" s="294"/>
      <c r="M121" s="386" t="s">
        <v>312</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361</v>
      </c>
      <c r="E123" s="282"/>
      <c r="F123" s="283" t="s">
        <v>358</v>
      </c>
      <c r="G123" s="97" t="s">
        <v>341</v>
      </c>
      <c r="H123" s="284" t="s">
        <v>340</v>
      </c>
      <c r="I123" s="285" t="s">
        <v>277</v>
      </c>
      <c r="J123" s="264"/>
      <c r="K123" s="265"/>
      <c r="L123" s="266"/>
      <c r="M123" s="266"/>
      <c r="N123" s="267"/>
      <c r="R123" s="98"/>
      <c r="S123" s="98"/>
      <c r="T123" s="98"/>
      <c r="U123" s="98"/>
      <c r="V123" s="98"/>
      <c r="W123" s="98"/>
    </row>
    <row r="124" spans="4:23" ht="15" customHeight="1" x14ac:dyDescent="0.3">
      <c r="D124" s="268"/>
      <c r="E124" s="281"/>
      <c r="F124" s="281" t="s">
        <v>342</v>
      </c>
      <c r="G124" s="373">
        <f>+G112</f>
        <v>36540</v>
      </c>
      <c r="H124" s="286" t="s">
        <v>292</v>
      </c>
      <c r="I124" s="280"/>
      <c r="J124" s="269"/>
      <c r="K124" s="270"/>
      <c r="L124" s="269"/>
      <c r="M124" s="269"/>
      <c r="N124" s="271"/>
      <c r="R124" s="98"/>
      <c r="S124" s="98"/>
      <c r="T124" s="98"/>
      <c r="U124" s="98"/>
      <c r="V124" s="98"/>
      <c r="W124" s="98"/>
    </row>
    <row r="125" spans="4:23" ht="15" customHeight="1" thickBot="1" x14ac:dyDescent="0.35">
      <c r="D125" s="268"/>
      <c r="E125" s="826" t="s">
        <v>343</v>
      </c>
      <c r="F125" s="819"/>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362</v>
      </c>
      <c r="E126" s="274" t="s">
        <v>345</v>
      </c>
      <c r="F126" s="435" t="s">
        <v>346</v>
      </c>
      <c r="G126" s="430" t="s">
        <v>347</v>
      </c>
      <c r="H126" s="274" t="s">
        <v>348</v>
      </c>
      <c r="I126" s="435" t="s">
        <v>349</v>
      </c>
      <c r="J126" s="430" t="s">
        <v>350</v>
      </c>
      <c r="K126" s="436" t="s">
        <v>351</v>
      </c>
      <c r="L126" s="435" t="s">
        <v>352</v>
      </c>
      <c r="M126" s="275" t="s">
        <v>353</v>
      </c>
      <c r="N126" s="277" t="s">
        <v>354</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1">
        <v>39560</v>
      </c>
      <c r="I127" s="710">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1">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1">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1">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1">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355</v>
      </c>
      <c r="K132" s="391">
        <f>IF(ISNUMBER(STDEV(N127:N131)),STDEV(N127:N131),"")</f>
        <v>0</v>
      </c>
      <c r="L132" s="858" t="s">
        <v>356</v>
      </c>
      <c r="M132" s="769"/>
      <c r="N132" s="384">
        <f>IF(COUNT(N127:N131)&gt;=3,MAX(N127:N131)-MIN(N127:N131),"")</f>
        <v>0</v>
      </c>
      <c r="R132" s="98"/>
      <c r="S132" s="98"/>
      <c r="T132" s="98"/>
      <c r="U132" s="98"/>
      <c r="V132" s="98"/>
      <c r="W132" s="98"/>
    </row>
    <row r="133" spans="1:146" ht="18.75" customHeight="1" thickBot="1" x14ac:dyDescent="0.3">
      <c r="D133" s="925" t="str">
        <f>+IF(N132&lt;=G125,"cumple fidelidad","no cumple fidelidad!")</f>
        <v>cumple fidelidad</v>
      </c>
      <c r="E133" s="831"/>
      <c r="F133" s="831"/>
      <c r="G133" s="831"/>
      <c r="H133" s="831"/>
      <c r="I133" s="831"/>
      <c r="J133" s="272"/>
      <c r="K133" s="273"/>
      <c r="L133" s="272"/>
      <c r="M133" s="386" t="s">
        <v>312</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923" t="s">
        <v>363</v>
      </c>
      <c r="E135" s="840"/>
      <c r="F135" s="840"/>
      <c r="G135" s="840"/>
      <c r="H135" s="851"/>
      <c r="I135" s="296"/>
      <c r="J135" s="296"/>
      <c r="K135" s="297"/>
      <c r="L135" s="377"/>
      <c r="M135" s="378" t="s">
        <v>364</v>
      </c>
      <c r="N135" s="379">
        <f>IF(OR(ISNUMBER(N97),ISNUMBER(N109),ISNUMBER(N121),ISNUMBER(N133)),IF(OR(N97=1,N109=1,N121=1,N133=1),1,0),"")</f>
        <v>0</v>
      </c>
    </row>
    <row r="136" spans="1:146" ht="16.5" customHeight="1" thickBot="1" x14ac:dyDescent="0.3">
      <c r="D136" s="298" t="s">
        <v>365</v>
      </c>
      <c r="E136" s="299" t="str">
        <f>J17</f>
        <v>III</v>
      </c>
      <c r="F136" s="300"/>
      <c r="G136" s="301" t="s">
        <v>366</v>
      </c>
      <c r="H136" s="302">
        <f>E18</f>
        <v>20</v>
      </c>
      <c r="I136" s="296"/>
      <c r="J136" s="296"/>
      <c r="K136" s="297"/>
      <c r="O136" s="191"/>
      <c r="P136" s="156"/>
    </row>
    <row r="137" spans="1:146" ht="16.5" customHeight="1" thickBot="1" x14ac:dyDescent="0.3">
      <c r="D137" s="303" t="s">
        <v>367</v>
      </c>
      <c r="E137" s="299">
        <f>+'Identificación del Instrumento'!F29</f>
        <v>1000</v>
      </c>
      <c r="F137" s="304"/>
      <c r="G137" s="305" t="s">
        <v>368</v>
      </c>
      <c r="H137" s="302">
        <f>+'Identificación del Instrumento'!D29</f>
        <v>80000</v>
      </c>
      <c r="I137" s="296"/>
      <c r="J137" s="296"/>
      <c r="K137" s="297"/>
      <c r="O137" s="191"/>
      <c r="P137" s="156"/>
    </row>
    <row r="138" spans="1:146" ht="23.25" customHeight="1" thickBot="1" x14ac:dyDescent="0.25">
      <c r="D138" s="871" t="s">
        <v>369</v>
      </c>
      <c r="E138" s="828"/>
      <c r="F138" s="828"/>
      <c r="G138" s="828"/>
      <c r="H138" s="829"/>
      <c r="I138" s="296"/>
      <c r="J138" s="296"/>
      <c r="K138" s="297"/>
      <c r="O138" s="191"/>
      <c r="P138" s="156"/>
    </row>
    <row r="139" spans="1:146" ht="15.75" customHeight="1" x14ac:dyDescent="0.25">
      <c r="D139" s="915" t="s">
        <v>370</v>
      </c>
      <c r="E139" s="819"/>
      <c r="F139" s="695">
        <v>19.399999999999999</v>
      </c>
      <c r="G139" s="857" t="s">
        <v>371</v>
      </c>
      <c r="H139" s="875">
        <f>F140-F139</f>
        <v>0.90000000000000213</v>
      </c>
      <c r="I139" s="296"/>
      <c r="J139" s="296"/>
      <c r="K139" s="297"/>
      <c r="L139" s="67" t="s">
        <v>30</v>
      </c>
    </row>
    <row r="140" spans="1:146" ht="16.5" customHeight="1" thickBot="1" x14ac:dyDescent="0.3">
      <c r="D140" s="866" t="s">
        <v>372</v>
      </c>
      <c r="E140" s="831"/>
      <c r="F140" s="696">
        <v>20.3</v>
      </c>
      <c r="G140" s="831"/>
      <c r="H140" s="876"/>
      <c r="I140" s="296"/>
      <c r="J140" s="296"/>
      <c r="K140" s="297"/>
      <c r="L140" s="67" t="s">
        <v>30</v>
      </c>
      <c r="O140" s="191"/>
      <c r="AC140" s="18"/>
      <c r="AD140" s="18"/>
      <c r="AE140" s="18"/>
      <c r="AF140" s="18"/>
      <c r="AG140" s="18"/>
    </row>
    <row r="141" spans="1:146" ht="12.75" customHeight="1" x14ac:dyDescent="0.2">
      <c r="D141" s="848" t="s">
        <v>373</v>
      </c>
      <c r="E141" s="848" t="s">
        <v>374</v>
      </c>
      <c r="F141" s="848" t="str">
        <f>IF($G$59&lt;&gt;"",IF($G$59="DISCONTINUA","Carga de redondeo           (kg)","Carga para alcanzar equilibrio (kg)"),"")</f>
        <v>Carga de redondeo           (kg)</v>
      </c>
      <c r="G141" s="848" t="s">
        <v>375</v>
      </c>
      <c r="H141" s="848" t="str">
        <f>IF($G$59&lt;&gt;"",IF($G$59="DISCONTINUA","Carga de redondeo             (kg)","Carga para alcanzar equilibrio (kg)"),"")</f>
        <v>Carga de redondeo             (kg)</v>
      </c>
      <c r="I141" s="920" t="s">
        <v>376</v>
      </c>
      <c r="J141" s="920" t="s">
        <v>377</v>
      </c>
      <c r="K141" s="920" t="s">
        <v>378</v>
      </c>
      <c r="L141" s="920" t="s">
        <v>379</v>
      </c>
      <c r="M141" s="920" t="s">
        <v>380</v>
      </c>
      <c r="P141" s="932" t="s">
        <v>381</v>
      </c>
      <c r="Q141" s="768"/>
      <c r="R141" s="768"/>
      <c r="S141" s="768"/>
      <c r="T141" s="769"/>
      <c r="U141" s="930" t="s">
        <v>382</v>
      </c>
      <c r="V141" s="926" t="s">
        <v>383</v>
      </c>
      <c r="W141" s="36"/>
      <c r="AC141" s="196"/>
      <c r="AD141" s="197"/>
      <c r="AE141" s="198"/>
      <c r="AF141" s="198"/>
      <c r="AG141" s="197"/>
    </row>
    <row r="142" spans="1:146" s="162" customFormat="1" ht="57" customHeight="1" thickBot="1" x14ac:dyDescent="0.25">
      <c r="D142" s="849"/>
      <c r="E142" s="849"/>
      <c r="F142" s="849"/>
      <c r="G142" s="849"/>
      <c r="H142" s="849"/>
      <c r="I142" s="849"/>
      <c r="J142" s="849"/>
      <c r="K142" s="849"/>
      <c r="L142" s="849"/>
      <c r="M142" s="849"/>
      <c r="O142" s="262"/>
      <c r="P142" s="260" t="s">
        <v>384</v>
      </c>
      <c r="Q142" s="261" t="s">
        <v>385</v>
      </c>
      <c r="R142" s="260" t="s">
        <v>386</v>
      </c>
      <c r="S142" s="260" t="s">
        <v>387</v>
      </c>
      <c r="T142" s="260" t="s">
        <v>388</v>
      </c>
      <c r="U142" s="883"/>
      <c r="V142" s="849"/>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389</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49">
        <f>IF(ISNUMBER(E144),IF('Identificación del Instrumento'!$F$17="PRIMITIVA","",IF($G$59="DISCONTINUA",$E$84/2,0)),"")</f>
        <v>10</v>
      </c>
      <c r="G144" s="537">
        <v>1000</v>
      </c>
      <c r="H144" s="749">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49">
        <f>IF(ISNUMBER(E145),IF('Identificación del Instrumento'!$F$17="PRIMITIVA","",IF($G$59="DISCONTINUA",$E$84/2,0)),"")</f>
        <v>10</v>
      </c>
      <c r="G145" s="537">
        <v>2000</v>
      </c>
      <c r="H145" s="749">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49">
        <f>IF(ISNUMBER(E146),IF('Identificación del Instrumento'!$F$17="PRIMITIVA","",IF($G$59="DISCONTINUA",$E$84/2,0)),"")</f>
        <v>10</v>
      </c>
      <c r="G146" s="537">
        <v>4000</v>
      </c>
      <c r="H146" s="749">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49">
        <f>IF(ISNUMBER(E147),IF('Identificación del Instrumento'!$F$17="PRIMITIVA","",IF($G$59="DISCONTINUA",$E$84/2,0)),"")</f>
        <v>10</v>
      </c>
      <c r="G147" s="537">
        <v>6000</v>
      </c>
      <c r="H147" s="749">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49">
        <f>IF(ISNUMBER(E148),IF('Identificación del Instrumento'!$F$17="PRIMITIVA","",IF($G$59="DISCONTINUA",$E$84/2,0)),"")</f>
        <v>10</v>
      </c>
      <c r="G148" s="537">
        <v>8000</v>
      </c>
      <c r="H148" s="749">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49">
        <f>IF(ISNUMBER(E149),IF('Identificación del Instrumento'!$F$17="PRIMITIVA","",IF($G$59="DISCONTINUA",$E$84/2,0)),"")</f>
        <v>10</v>
      </c>
      <c r="G149" s="537">
        <v>10000</v>
      </c>
      <c r="H149" s="749">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49">
        <f>IF(ISNUMBER(E150),IF('Identificación del Instrumento'!$F$17="PRIMITIVA","",IF($G$59="DISCONTINUA",$E$84/2,0)),"")</f>
        <v>10</v>
      </c>
      <c r="G150" s="537">
        <v>12000</v>
      </c>
      <c r="H150" s="749">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49">
        <f>IF(ISNUMBER(E151),IF('Identificación del Instrumento'!$F$17="PRIMITIVA","",IF($G$59="DISCONTINUA",$E$84/2,0)),"")</f>
        <v>10</v>
      </c>
      <c r="G151" s="537">
        <v>14000</v>
      </c>
      <c r="H151" s="749">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49">
        <f>IF(ISNUMBER(E152),IF('Identificación del Instrumento'!$F$17="PRIMITIVA","",IF($G$59="DISCONTINUA",$E$84/2,0)),"")</f>
        <v>10</v>
      </c>
      <c r="G152" s="537">
        <v>16000</v>
      </c>
      <c r="H152" s="749">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49">
        <f>IF(ISNUMBER(E153),IF('Identificación del Instrumento'!$F$17="PRIMITIVA","",IF($G$59="DISCONTINUA",$E$84/2,0)),"")</f>
        <v>10</v>
      </c>
      <c r="G153" s="537">
        <v>18000</v>
      </c>
      <c r="H153" s="749">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49">
        <f>IF(ISNUMBER(E154),IF('Identificación del Instrumento'!$F$17="PRIMITIVA","",IF($G$59="DISCONTINUA",$E$84/2,0)),"")</f>
        <v>10</v>
      </c>
      <c r="G154" s="537">
        <v>20000</v>
      </c>
      <c r="H154" s="749">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49">
        <f>IF(ISNUMBER(E155),IF('Identificación del Instrumento'!$F$17="PRIMITIVA","",IF($G$59="DISCONTINUA",$E$84/2,0)),"")</f>
        <v>10</v>
      </c>
      <c r="G155" s="537">
        <v>22000</v>
      </c>
      <c r="H155" s="749">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49" t="str">
        <f>IF(ISNUMBER(E156),IF('Identificación del Instrumento'!$F$17="PRIMITIVA","",IF($G$59="DISCONTINUA",$E$84/2,0)),"")</f>
        <v/>
      </c>
      <c r="G156" s="537"/>
      <c r="H156" s="749"/>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49" t="str">
        <f>IF(ISNUMBER(E157),IF('Identificación del Instrumento'!$F$17="PRIMITIVA","",IF($G$59="DISCONTINUA",$E$84/2,0)),"")</f>
        <v/>
      </c>
      <c r="G157" s="537"/>
      <c r="H157" s="749"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49" t="str">
        <f>IF(ISNUMBER(E158),IF('Identificación del Instrumento'!$F$17="PRIMITIVA","",IF($G$59="DISCONTINUA",$E$84/2,0)),"")</f>
        <v/>
      </c>
      <c r="G158" s="537"/>
      <c r="H158" s="749"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49" t="str">
        <f>IF(ISNUMBER(E159),IF('Identificación del Instrumento'!$F$17="PRIMITIVA","",IF($G$59="DISCONTINUA",$E$84/2,0)),"")</f>
        <v/>
      </c>
      <c r="G159" s="537"/>
      <c r="H159" s="749"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49" t="str">
        <f>IF(ISNUMBER(E160),IF('Identificación del Instrumento'!$F$17="PRIMITIVA","",IF($G$59="DISCONTINUA",$E$84/2,0)),"")</f>
        <v/>
      </c>
      <c r="G160" s="537"/>
      <c r="H160" s="749"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49" t="str">
        <f>IF(ISNUMBER(E161),IF('Identificación del Instrumento'!$F$17="PRIMITIVA","",IF($G$59="DISCONTINUA",$E$84/2,0)),"")</f>
        <v/>
      </c>
      <c r="G161" s="537"/>
      <c r="H161" s="749"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49" t="str">
        <f>IF(ISNUMBER(E162),IF('Identificación del Instrumento'!$F$17="PRIMITIVA","",IF($G$59="DISCONTINUA",$E$84/2,0)),"")</f>
        <v/>
      </c>
      <c r="G162" s="537"/>
      <c r="H162" s="749"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49" t="str">
        <f>IF(ISNUMBER(E163),IF('Identificación del Instrumento'!$F$17="PRIMITIVA","",IF($G$59="DISCONTINUA",$E$84/2,0)),"")</f>
        <v/>
      </c>
      <c r="G163" s="537"/>
      <c r="H163" s="749"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49" t="str">
        <f>IF(ISNUMBER(E164),IF('Identificación del Instrumento'!$F$17="PRIMITIVA","",IF($G$59="DISCONTINUA",$E$84/2,0)),"")</f>
        <v/>
      </c>
      <c r="G164" s="537"/>
      <c r="H164" s="749"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841" t="s">
        <v>390</v>
      </c>
      <c r="G187" s="840"/>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901" t="s">
        <v>391</v>
      </c>
      <c r="E191" s="840"/>
      <c r="F191" s="851"/>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927" t="s">
        <v>392</v>
      </c>
      <c r="E192" s="778"/>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924" t="s">
        <v>393</v>
      </c>
      <c r="E193" s="900"/>
      <c r="F193" s="254">
        <v>0</v>
      </c>
      <c r="G193" s="334" t="s">
        <v>394</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22" t="s">
        <v>395</v>
      </c>
      <c r="E194" s="896" t="s">
        <v>396</v>
      </c>
      <c r="F194" s="824" t="s">
        <v>397</v>
      </c>
      <c r="G194" s="902" t="s">
        <v>398</v>
      </c>
      <c r="H194" s="829"/>
      <c r="I194" s="824" t="s">
        <v>399</v>
      </c>
      <c r="J194" s="878" t="s">
        <v>400</v>
      </c>
      <c r="K194" s="768"/>
      <c r="L194" s="768"/>
      <c r="M194" s="768"/>
      <c r="N194" s="769"/>
      <c r="O194" s="882" t="s">
        <v>401</v>
      </c>
      <c r="P194" s="908" t="s">
        <v>383</v>
      </c>
      <c r="W194" s="18"/>
      <c r="AC194" s="202"/>
      <c r="AD194" s="9"/>
      <c r="AE194" s="198"/>
      <c r="AG194" s="9"/>
      <c r="AK194" s="9"/>
      <c r="AL194" s="9"/>
      <c r="AM194" s="9"/>
      <c r="AN194" s="9"/>
    </row>
    <row r="195" spans="1:40" ht="27.75" customHeight="1" thickBot="1" x14ac:dyDescent="0.25">
      <c r="A195" t="s">
        <v>30</v>
      </c>
      <c r="D195" s="823"/>
      <c r="E195" s="897"/>
      <c r="F195" s="825"/>
      <c r="G195" s="97">
        <v>5000</v>
      </c>
      <c r="H195" s="256" t="s">
        <v>292</v>
      </c>
      <c r="I195" s="825"/>
      <c r="J195" s="44" t="s">
        <v>402</v>
      </c>
      <c r="K195" s="49" t="s">
        <v>403</v>
      </c>
      <c r="L195" s="44" t="s">
        <v>404</v>
      </c>
      <c r="M195" s="44" t="s">
        <v>405</v>
      </c>
      <c r="N195" s="44" t="s">
        <v>406</v>
      </c>
      <c r="O195" s="883"/>
      <c r="P195" s="909"/>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333</v>
      </c>
      <c r="P204" s="475">
        <f>IF(COUNT(V113:V156)&gt;0,SUM(V143:V186,P196:P203),1)</f>
        <v>0</v>
      </c>
    </row>
    <row r="205" spans="1:40" ht="21" customHeight="1" x14ac:dyDescent="0.2"/>
    <row r="206" spans="1:40" ht="21" customHeight="1" x14ac:dyDescent="0.2"/>
    <row r="207" spans="1:40" ht="36.75" hidden="1" customHeight="1" thickBot="1" x14ac:dyDescent="0.25">
      <c r="C207" s="99"/>
      <c r="D207" s="901" t="s">
        <v>407</v>
      </c>
      <c r="E207" s="840"/>
      <c r="F207" s="851"/>
      <c r="G207" s="818"/>
      <c r="H207" s="819"/>
      <c r="I207" s="819"/>
      <c r="J207" s="819"/>
      <c r="K207" s="820"/>
      <c r="L207" s="819"/>
      <c r="M207" s="819"/>
      <c r="N207" s="819"/>
      <c r="AH207" s="194"/>
      <c r="AI207" s="120"/>
      <c r="AJ207" s="9"/>
      <c r="AK207" s="9"/>
      <c r="AL207" s="9"/>
      <c r="AM207" s="9"/>
      <c r="AN207" s="9"/>
    </row>
    <row r="208" spans="1:40" ht="27.75" hidden="1" customHeight="1" thickBot="1" x14ac:dyDescent="0.25">
      <c r="D208" s="910" t="s">
        <v>408</v>
      </c>
      <c r="E208" s="778"/>
      <c r="F208" s="252"/>
      <c r="G208" s="821"/>
      <c r="H208" s="819"/>
      <c r="I208" s="819"/>
      <c r="J208" s="819"/>
      <c r="K208" s="820"/>
      <c r="L208" s="819"/>
      <c r="M208" s="819"/>
      <c r="N208" s="819"/>
      <c r="O208" s="74"/>
    </row>
    <row r="209" spans="4:16" ht="30.75" hidden="1" customHeight="1" thickBot="1" x14ac:dyDescent="0.25">
      <c r="D209" s="924" t="s">
        <v>393</v>
      </c>
      <c r="E209" s="900"/>
      <c r="F209" s="254"/>
      <c r="G209" s="334" t="s">
        <v>394</v>
      </c>
      <c r="H209" s="97">
        <v>10</v>
      </c>
      <c r="J209" s="72"/>
      <c r="K209" s="73"/>
      <c r="L209" s="73"/>
      <c r="M209" s="72"/>
      <c r="N209" s="72"/>
      <c r="O209" s="74"/>
    </row>
    <row r="210" spans="4:16" ht="26.25" hidden="1" customHeight="1" thickBot="1" x14ac:dyDescent="0.3">
      <c r="D210" s="822" t="s">
        <v>395</v>
      </c>
      <c r="E210" s="896" t="s">
        <v>396</v>
      </c>
      <c r="F210" s="824" t="s">
        <v>397</v>
      </c>
      <c r="G210" s="898" t="s">
        <v>398</v>
      </c>
      <c r="H210" s="829"/>
      <c r="I210" s="824" t="s">
        <v>399</v>
      </c>
      <c r="J210" s="878" t="s">
        <v>400</v>
      </c>
      <c r="K210" s="768"/>
      <c r="L210" s="768"/>
      <c r="M210" s="768"/>
      <c r="N210" s="769"/>
      <c r="O210" s="882" t="s">
        <v>401</v>
      </c>
      <c r="P210" s="908" t="s">
        <v>383</v>
      </c>
    </row>
    <row r="211" spans="4:16" ht="21.75" hidden="1" customHeight="1" thickBot="1" x14ac:dyDescent="0.25">
      <c r="D211" s="823"/>
      <c r="E211" s="897"/>
      <c r="F211" s="825"/>
      <c r="G211" s="97">
        <v>5000</v>
      </c>
      <c r="H211" s="256" t="s">
        <v>292</v>
      </c>
      <c r="I211" s="825"/>
      <c r="J211" s="44" t="s">
        <v>402</v>
      </c>
      <c r="K211" s="49" t="s">
        <v>403</v>
      </c>
      <c r="L211" s="44" t="s">
        <v>404</v>
      </c>
      <c r="M211" s="44" t="s">
        <v>405</v>
      </c>
      <c r="N211" s="44" t="s">
        <v>406</v>
      </c>
      <c r="O211" s="883"/>
      <c r="P211" s="909"/>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409</v>
      </c>
      <c r="O219" s="474" t="s">
        <v>333</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901" t="s">
        <v>410</v>
      </c>
      <c r="E223" s="840"/>
      <c r="F223" s="851"/>
      <c r="G223" s="892"/>
      <c r="H223" s="819"/>
      <c r="I223" s="819"/>
      <c r="J223" s="819"/>
      <c r="K223" s="820"/>
      <c r="L223" s="819"/>
      <c r="M223" s="819"/>
      <c r="N223" s="819"/>
      <c r="O223" s="819"/>
    </row>
    <row r="224" spans="4:16" ht="21" hidden="1" customHeight="1" thickBot="1" x14ac:dyDescent="0.3">
      <c r="D224" s="921" t="s">
        <v>408</v>
      </c>
      <c r="E224" s="778"/>
      <c r="F224" s="252"/>
      <c r="G224" s="130"/>
      <c r="H224" s="130"/>
      <c r="J224" s="72"/>
      <c r="K224" s="73"/>
      <c r="L224" s="73"/>
      <c r="M224" s="72"/>
      <c r="N224" s="72"/>
      <c r="O224" s="74"/>
    </row>
    <row r="225" spans="4:16" ht="21" hidden="1" customHeight="1" thickBot="1" x14ac:dyDescent="0.25">
      <c r="D225" s="899" t="s">
        <v>411</v>
      </c>
      <c r="E225" s="900"/>
      <c r="F225" s="254"/>
      <c r="G225" s="334" t="s">
        <v>394</v>
      </c>
      <c r="H225" s="255"/>
      <c r="J225" s="72"/>
      <c r="K225" s="73"/>
      <c r="L225" s="73"/>
      <c r="M225" s="72"/>
      <c r="N225" s="72"/>
      <c r="O225" s="74"/>
    </row>
    <row r="226" spans="4:16" ht="16.5" hidden="1" customHeight="1" thickBot="1" x14ac:dyDescent="0.3">
      <c r="D226" s="822" t="s">
        <v>395</v>
      </c>
      <c r="E226" s="896" t="s">
        <v>396</v>
      </c>
      <c r="F226" s="824" t="s">
        <v>397</v>
      </c>
      <c r="G226" s="898" t="s">
        <v>398</v>
      </c>
      <c r="H226" s="829"/>
      <c r="I226" s="824" t="s">
        <v>399</v>
      </c>
      <c r="J226" s="878" t="s">
        <v>400</v>
      </c>
      <c r="K226" s="768"/>
      <c r="L226" s="768"/>
      <c r="M226" s="768"/>
      <c r="N226" s="769"/>
      <c r="O226" s="882" t="s">
        <v>401</v>
      </c>
      <c r="P226" s="908" t="s">
        <v>383</v>
      </c>
    </row>
    <row r="227" spans="4:16" ht="36" hidden="1" customHeight="1" thickBot="1" x14ac:dyDescent="0.25">
      <c r="D227" s="823"/>
      <c r="E227" s="897"/>
      <c r="F227" s="825"/>
      <c r="G227" s="255">
        <v>4000</v>
      </c>
      <c r="H227" s="256" t="s">
        <v>292</v>
      </c>
      <c r="I227" s="825"/>
      <c r="J227" s="44" t="s">
        <v>402</v>
      </c>
      <c r="K227" s="49" t="s">
        <v>403</v>
      </c>
      <c r="L227" s="44" t="s">
        <v>404</v>
      </c>
      <c r="M227" s="44" t="s">
        <v>405</v>
      </c>
      <c r="N227" s="44" t="s">
        <v>406</v>
      </c>
      <c r="O227" s="883"/>
      <c r="P227" s="909"/>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333</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901" t="s">
        <v>412</v>
      </c>
      <c r="E239" s="840"/>
      <c r="F239" s="851"/>
      <c r="G239" s="931"/>
      <c r="H239" s="819"/>
      <c r="I239" s="819"/>
      <c r="J239" s="819"/>
      <c r="K239" s="820"/>
      <c r="L239" s="819"/>
      <c r="M239" s="819"/>
      <c r="N239" s="819"/>
      <c r="O239" s="819"/>
    </row>
    <row r="240" spans="4:16" ht="21" hidden="1" customHeight="1" thickBot="1" x14ac:dyDescent="0.3">
      <c r="D240" s="921" t="s">
        <v>408</v>
      </c>
      <c r="E240" s="778"/>
      <c r="F240" s="252"/>
      <c r="G240" s="130"/>
      <c r="H240" s="130"/>
      <c r="J240" s="72"/>
      <c r="K240" s="73"/>
      <c r="L240" s="73"/>
      <c r="M240" s="72"/>
      <c r="N240" s="72"/>
      <c r="O240" s="74"/>
    </row>
    <row r="241" spans="4:16" ht="21" hidden="1" customHeight="1" thickBot="1" x14ac:dyDescent="0.25">
      <c r="D241" s="899" t="s">
        <v>411</v>
      </c>
      <c r="E241" s="900"/>
      <c r="F241" s="254"/>
      <c r="G241" s="334" t="s">
        <v>394</v>
      </c>
      <c r="H241" s="255"/>
      <c r="J241" s="72"/>
      <c r="K241" s="73"/>
      <c r="L241" s="73"/>
      <c r="M241" s="72"/>
      <c r="N241" s="72"/>
      <c r="O241" s="74"/>
    </row>
    <row r="242" spans="4:16" ht="21" hidden="1" customHeight="1" thickBot="1" x14ac:dyDescent="0.3">
      <c r="D242" s="822" t="s">
        <v>395</v>
      </c>
      <c r="E242" s="896" t="s">
        <v>396</v>
      </c>
      <c r="F242" s="824" t="s">
        <v>397</v>
      </c>
      <c r="G242" s="898" t="s">
        <v>398</v>
      </c>
      <c r="H242" s="829"/>
      <c r="I242" s="824" t="s">
        <v>399</v>
      </c>
      <c r="J242" s="878" t="s">
        <v>400</v>
      </c>
      <c r="K242" s="768"/>
      <c r="L242" s="768"/>
      <c r="M242" s="768"/>
      <c r="N242" s="769"/>
      <c r="O242" s="882" t="s">
        <v>401</v>
      </c>
      <c r="P242" s="908" t="s">
        <v>383</v>
      </c>
    </row>
    <row r="243" spans="4:16" ht="40.5" hidden="1" customHeight="1" thickBot="1" x14ac:dyDescent="0.25">
      <c r="D243" s="823"/>
      <c r="E243" s="897"/>
      <c r="F243" s="825"/>
      <c r="G243" s="255"/>
      <c r="H243" s="256" t="s">
        <v>292</v>
      </c>
      <c r="I243" s="825"/>
      <c r="J243" s="44" t="s">
        <v>402</v>
      </c>
      <c r="K243" s="49" t="s">
        <v>403</v>
      </c>
      <c r="L243" s="44" t="s">
        <v>404</v>
      </c>
      <c r="M243" s="44" t="s">
        <v>405</v>
      </c>
      <c r="N243" s="44" t="s">
        <v>406</v>
      </c>
      <c r="O243" s="883"/>
      <c r="P243" s="909"/>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333</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P37:T37"/>
    <mergeCell ref="P43:T43"/>
    <mergeCell ref="P42:T42"/>
    <mergeCell ref="P35:T35"/>
    <mergeCell ref="E39:E40"/>
    <mergeCell ref="E13:G13"/>
    <mergeCell ref="F187:G187"/>
    <mergeCell ref="K37:L41"/>
    <mergeCell ref="P41:T41"/>
    <mergeCell ref="D82:G82"/>
    <mergeCell ref="I14:K14"/>
    <mergeCell ref="F141:F142"/>
    <mergeCell ref="E15:G15"/>
    <mergeCell ref="G207:N208"/>
    <mergeCell ref="D194:D195"/>
    <mergeCell ref="F194:F195"/>
    <mergeCell ref="I210:I211"/>
    <mergeCell ref="E101:F101"/>
    <mergeCell ref="F46:J46"/>
    <mergeCell ref="E113:F113"/>
    <mergeCell ref="D109:I109"/>
    <mergeCell ref="D35:G35"/>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disablePrompts="1"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2" r:id="rId20" xr:uid="{00000000-0004-0000-0200-000013000000}"/>
  </hyperlinks>
  <pageMargins left="0.21" right="0.32" top="0.62" bottom="1" header="0" footer="0"/>
  <pageSetup paperSize="9" scale="95" orientation="portrait" horizontalDpi="300" verticalDpi="300"/>
  <legacyDrawing r:id="rId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50" t="e">
        <v>#VALUE!</v>
      </c>
      <c r="B1" s="935"/>
      <c r="C1" s="935"/>
      <c r="D1" s="935"/>
      <c r="E1" s="935"/>
      <c r="F1" s="935"/>
      <c r="G1" s="935"/>
      <c r="H1" s="935"/>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35"/>
      <c r="B2" s="935"/>
      <c r="C2" s="935"/>
      <c r="D2" s="935"/>
      <c r="E2" s="935"/>
      <c r="F2" s="935"/>
      <c r="G2" s="935"/>
      <c r="H2" s="935"/>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35"/>
      <c r="B3" s="935"/>
      <c r="C3" s="935"/>
      <c r="D3" s="935"/>
      <c r="E3" s="935"/>
      <c r="F3" s="935"/>
      <c r="G3" s="935"/>
      <c r="H3" s="935"/>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35"/>
      <c r="B4" s="935"/>
      <c r="C4" s="935"/>
      <c r="D4" s="935"/>
      <c r="E4" s="935"/>
      <c r="F4" s="935"/>
      <c r="G4" s="935"/>
      <c r="H4" s="935"/>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35"/>
      <c r="B5" s="935"/>
      <c r="C5" s="935"/>
      <c r="D5" s="935"/>
      <c r="E5" s="935"/>
      <c r="F5" s="935"/>
      <c r="G5" s="935"/>
      <c r="H5" s="935"/>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35"/>
      <c r="B6" s="935"/>
      <c r="C6" s="935"/>
      <c r="D6" s="935"/>
      <c r="E6" s="935"/>
      <c r="F6" s="935"/>
      <c r="G6" s="935"/>
      <c r="H6" s="935"/>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35"/>
      <c r="B7" s="935"/>
      <c r="C7" s="935"/>
      <c r="D7" s="935"/>
      <c r="E7" s="935"/>
      <c r="F7" s="935"/>
      <c r="G7" s="935"/>
      <c r="H7" s="935"/>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37"/>
      <c r="K13" s="935"/>
    </row>
    <row r="14" spans="1:22" ht="15" customHeight="1" x14ac:dyDescent="0.2">
      <c r="A14" s="952" t="str">
        <f>IF(ISBLANK('Identificación del Instrumento'!B17),"",CONCATENATE("ACTA DE ",'Identificación del Instrumento'!B17))</f>
        <v>ACTA DE VERIFICACIÓN PERIÓDICA</v>
      </c>
      <c r="B14" s="935"/>
      <c r="C14" s="935"/>
      <c r="D14" s="935"/>
      <c r="E14" s="935"/>
      <c r="F14" s="935"/>
      <c r="G14" s="935"/>
      <c r="H14" s="935"/>
      <c r="J14" s="937"/>
      <c r="K14" s="935"/>
      <c r="L14" s="672"/>
    </row>
    <row r="15" spans="1:22" ht="15" customHeight="1" thickBot="1" x14ac:dyDescent="0.25">
      <c r="A15" s="575"/>
      <c r="B15" s="575"/>
      <c r="C15" s="575"/>
      <c r="D15" s="575"/>
      <c r="E15" s="575"/>
      <c r="F15" s="575"/>
      <c r="G15" s="575"/>
      <c r="H15" s="575"/>
    </row>
    <row r="16" spans="1:22" ht="15" customHeight="1" thickBot="1" x14ac:dyDescent="0.3">
      <c r="A16" s="957" t="str">
        <f>CONCATENATE("N° O.T.: ",'Identificación del Instrumento'!B4,"           ",'Identificación del Instrumento'!A5,"  ",'Identificación del Instrumento'!B5)</f>
        <v>N° O.T.: 307-64088           VPE Nº:  93084</v>
      </c>
      <c r="B16" s="935"/>
      <c r="C16" s="935"/>
      <c r="D16" s="935"/>
      <c r="E16" s="935"/>
      <c r="F16" s="935"/>
      <c r="G16" s="574"/>
      <c r="H16" s="574"/>
      <c r="J16" s="568" t="s">
        <v>413</v>
      </c>
      <c r="T16" s="398" t="s">
        <v>414</v>
      </c>
      <c r="V16" s="337" t="s">
        <v>415</v>
      </c>
    </row>
    <row r="17" spans="1:22" ht="15" customHeight="1" thickBot="1" x14ac:dyDescent="0.25">
      <c r="A17" s="576"/>
      <c r="B17" s="576"/>
      <c r="C17" s="576"/>
      <c r="D17" s="576"/>
      <c r="E17" s="576"/>
      <c r="F17" s="576"/>
      <c r="G17" s="576"/>
      <c r="H17" s="576"/>
    </row>
    <row r="18" spans="1:22" ht="16.5" customHeight="1" thickBot="1" x14ac:dyDescent="0.25">
      <c r="A18" s="953" t="str">
        <f>IF($J$29=6,CONCATENATE($J$1,$J$2),"¡Completar datos del acta!")</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1"/>
      <c r="C18" s="781"/>
      <c r="D18" s="781"/>
      <c r="E18" s="781"/>
      <c r="F18" s="781"/>
      <c r="G18" s="781"/>
      <c r="H18" s="781"/>
      <c r="J18" s="951" t="s">
        <v>416</v>
      </c>
      <c r="K18" s="941"/>
      <c r="L18" s="942"/>
      <c r="M18" s="682" t="s">
        <v>417</v>
      </c>
      <c r="N18" s="567"/>
      <c r="O18" s="567"/>
      <c r="P18" s="567"/>
      <c r="Q18" s="563"/>
      <c r="S18" s="683" t="s">
        <v>418</v>
      </c>
      <c r="T18" s="684" t="str">
        <f>+'Datos de Ensayos'!E4</f>
        <v>Tco. Pablo Javier Siklosi A.</v>
      </c>
      <c r="V18" s="338" t="s">
        <v>419</v>
      </c>
    </row>
    <row r="19" spans="1:22" ht="16.5" customHeight="1" thickBot="1" x14ac:dyDescent="0.25">
      <c r="A19" s="781"/>
      <c r="B19" s="781"/>
      <c r="C19" s="781"/>
      <c r="D19" s="781"/>
      <c r="E19" s="781"/>
      <c r="F19" s="781"/>
      <c r="G19" s="781"/>
      <c r="H19" s="781"/>
      <c r="J19" s="712"/>
      <c r="K19" s="954" t="s">
        <v>677</v>
      </c>
      <c r="L19" s="942"/>
      <c r="M19" s="682" t="s">
        <v>420</v>
      </c>
      <c r="N19" s="567"/>
      <c r="O19" s="567"/>
      <c r="P19" s="567"/>
      <c r="Q19" s="563"/>
      <c r="S19" s="685" t="s">
        <v>421</v>
      </c>
      <c r="T19" s="686" t="str">
        <f>VLOOKUP($T$18,'Datos de Ensayos'!$AC$3:$AG$21,2,0)</f>
        <v>D.N.I. N° 24.705.518</v>
      </c>
      <c r="V19" s="339" t="s">
        <v>422</v>
      </c>
    </row>
    <row r="20" spans="1:22" ht="16.5" customHeight="1" thickBot="1" x14ac:dyDescent="0.25">
      <c r="A20" s="781"/>
      <c r="B20" s="781"/>
      <c r="C20" s="781"/>
      <c r="D20" s="781"/>
      <c r="E20" s="781"/>
      <c r="F20" s="781"/>
      <c r="G20" s="781"/>
      <c r="H20" s="781"/>
      <c r="J20" s="713" t="s">
        <v>419</v>
      </c>
      <c r="K20" s="951" t="s">
        <v>678</v>
      </c>
      <c r="L20" s="942"/>
      <c r="M20" s="682" t="s">
        <v>423</v>
      </c>
      <c r="N20" s="567"/>
      <c r="O20" s="567"/>
      <c r="P20" s="567"/>
      <c r="Q20" s="563"/>
      <c r="S20" s="685" t="s">
        <v>424</v>
      </c>
      <c r="T20" s="686" t="str">
        <f>VLOOKUP($T$18,'Datos de Ensayos'!$AC$3:$AG$21,3,0)</f>
        <v>96</v>
      </c>
      <c r="V20" s="339" t="s">
        <v>425</v>
      </c>
    </row>
    <row r="21" spans="1:22" ht="16.5" customHeight="1" thickBot="1" x14ac:dyDescent="0.25">
      <c r="A21" s="781"/>
      <c r="B21" s="781"/>
      <c r="C21" s="781"/>
      <c r="D21" s="781"/>
      <c r="E21" s="781"/>
      <c r="F21" s="781"/>
      <c r="G21" s="781"/>
      <c r="H21" s="781"/>
      <c r="J21" s="713" t="s">
        <v>426</v>
      </c>
      <c r="K21" s="955" t="s">
        <v>679</v>
      </c>
      <c r="L21" s="955"/>
      <c r="M21" s="564" t="s">
        <v>427</v>
      </c>
      <c r="N21" s="567"/>
      <c r="O21" s="567"/>
      <c r="P21" s="567"/>
      <c r="Q21" s="563"/>
      <c r="S21" s="687"/>
      <c r="T21" s="688"/>
      <c r="V21" s="339" t="s">
        <v>428</v>
      </c>
    </row>
    <row r="22" spans="1:22" ht="16.5" customHeight="1" thickBot="1" x14ac:dyDescent="0.25">
      <c r="A22" s="781"/>
      <c r="B22" s="781"/>
      <c r="C22" s="781"/>
      <c r="D22" s="781"/>
      <c r="E22" s="781"/>
      <c r="F22" s="781"/>
      <c r="G22" s="781"/>
      <c r="H22" s="781"/>
      <c r="J22" s="940" t="s">
        <v>680</v>
      </c>
      <c r="K22" s="941"/>
      <c r="L22" s="942"/>
      <c r="M22" s="682" t="s">
        <v>429</v>
      </c>
      <c r="N22" s="567"/>
      <c r="O22" s="567"/>
      <c r="P22" s="567"/>
      <c r="Q22" s="563"/>
      <c r="S22" s="689" t="s">
        <v>430</v>
      </c>
      <c r="T22" s="690" t="str">
        <f>VLOOKUP($T$18,'Datos de Ensayos'!$AC$3:$AG$21,4,0)</f>
        <v>519/05</v>
      </c>
      <c r="V22" s="339" t="s">
        <v>431</v>
      </c>
    </row>
    <row r="23" spans="1:22" ht="16.5" customHeight="1" thickBot="1" x14ac:dyDescent="0.25">
      <c r="A23" s="781"/>
      <c r="B23" s="781"/>
      <c r="C23" s="781"/>
      <c r="D23" s="781"/>
      <c r="E23" s="781"/>
      <c r="F23" s="781"/>
      <c r="G23" s="781"/>
      <c r="H23" s="781"/>
      <c r="J23" s="933" t="str">
        <f>IF(COUNTA('Identificación del Instrumento'!$B$19)=1,'Identificación del Instrumento'!$B$19,CONCATENATE('Identificación del Instrumento'!$B$15," de la localidad de ",'Identificación del Instrumento'!$B$16,", provincia de ",'Identificación del Instrumento'!$F$16))</f>
        <v>RUTA PROVINCIAL Nº 20 S/N</v>
      </c>
      <c r="K23" s="840"/>
      <c r="L23" s="851"/>
      <c r="M23" s="562" t="s">
        <v>432</v>
      </c>
      <c r="N23" s="563"/>
      <c r="O23" s="563"/>
      <c r="P23" s="563"/>
      <c r="Q23" s="563"/>
      <c r="V23" s="339"/>
    </row>
    <row r="24" spans="1:22" ht="16.5" customHeight="1" thickBot="1" x14ac:dyDescent="0.25">
      <c r="A24" s="781"/>
      <c r="B24" s="781"/>
      <c r="C24" s="781"/>
      <c r="D24" s="781"/>
      <c r="E24" s="781"/>
      <c r="F24" s="781"/>
      <c r="G24" s="781"/>
      <c r="H24" s="781"/>
      <c r="J24" s="933" t="str">
        <f>IF(ISBLANK('Identificación del Instrumento'!$C$18),"",CONCATENATE('Identificación del Instrumento'!$C$18," de "))</f>
        <v xml:space="preserve">Zona de pesaje de </v>
      </c>
      <c r="K24" s="840"/>
      <c r="L24" s="851"/>
      <c r="M24" s="562" t="s">
        <v>433</v>
      </c>
      <c r="N24" s="563"/>
      <c r="O24" s="563"/>
      <c r="P24" s="563"/>
      <c r="Q24" s="563"/>
      <c r="V24" s="339" t="s">
        <v>426</v>
      </c>
    </row>
    <row r="25" spans="1:22" ht="16.5" customHeight="1" thickBot="1" x14ac:dyDescent="0.25">
      <c r="A25" s="781"/>
      <c r="B25" s="781"/>
      <c r="C25" s="781"/>
      <c r="D25" s="781"/>
      <c r="E25" s="781"/>
      <c r="F25" s="781"/>
      <c r="G25" s="781"/>
      <c r="H25" s="781"/>
      <c r="J25" s="933" t="str">
        <f>IF('Identificación del Instrumento'!$B$17="VERIFICACIÓN PERIÓDICA","informe")</f>
        <v>informe</v>
      </c>
      <c r="K25" s="840"/>
      <c r="L25" s="851"/>
      <c r="M25" s="1"/>
      <c r="V25" s="494"/>
    </row>
    <row r="26" spans="1:22" ht="16.5" customHeight="1" thickBot="1" x14ac:dyDescent="0.25">
      <c r="A26" s="781"/>
      <c r="B26" s="781"/>
      <c r="C26" s="781"/>
      <c r="D26" s="781"/>
      <c r="E26" s="781"/>
      <c r="F26" s="781"/>
      <c r="G26" s="781"/>
      <c r="H26" s="781"/>
      <c r="J26" s="956"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0"/>
      <c r="L26" s="851"/>
    </row>
    <row r="27" spans="1:22" ht="10.5" customHeight="1" thickBot="1" x14ac:dyDescent="0.25">
      <c r="A27" s="781"/>
      <c r="B27" s="781"/>
      <c r="C27" s="781"/>
      <c r="D27" s="781"/>
      <c r="E27" s="781"/>
      <c r="F27" s="781"/>
      <c r="G27" s="781"/>
      <c r="H27" s="781"/>
      <c r="J27" s="949" t="str">
        <f>IF('Identificación del Instrumento'!$B$17="VERIFICACIÓN PERIÓDICA","1 del Cap. I y 1 del Cap. III",(IF('Identificación del Instrumento'!$B$17="APROBACIÓN DE MODELO DE EFECTO LIMITADO","1 del Cap. I y 2 del Cap. II","1 del Cap. I y 3 del Cap. II")))</f>
        <v>1 del Cap. I y 1 del Cap. III</v>
      </c>
      <c r="K27" s="840"/>
      <c r="L27" s="851"/>
      <c r="N27" s="938" t="s">
        <v>434</v>
      </c>
      <c r="O27" s="828"/>
      <c r="P27" s="829"/>
    </row>
    <row r="28" spans="1:22" ht="8.25" customHeight="1" thickBot="1" x14ac:dyDescent="0.25">
      <c r="A28" s="781"/>
      <c r="B28" s="781"/>
      <c r="C28" s="781"/>
      <c r="D28" s="781"/>
      <c r="E28" s="781"/>
      <c r="F28" s="781"/>
      <c r="G28" s="781"/>
      <c r="H28" s="781"/>
      <c r="J28" s="949" t="str">
        <f>IF('Identificación del Instrumento'!$B$17="VERIFICACIÓN PERIÓDICA","1 del Cap. III del Anexo I",(IF('Identificación del Instrumento'!$B$17="APROBACIÓN DE MODELO DE EFECTO LIMITADO","2 del Cap. II del Anexo I","3 del Cap. II del Anexo I")))</f>
        <v>1 del Cap. III del Anexo I</v>
      </c>
      <c r="K28" s="840"/>
      <c r="L28" s="851"/>
      <c r="N28" s="821"/>
      <c r="O28" s="935"/>
      <c r="P28" s="843"/>
    </row>
    <row r="29" spans="1:22" ht="10.5" customHeight="1" thickBot="1" x14ac:dyDescent="0.25">
      <c r="A29" s="781"/>
      <c r="B29" s="781"/>
      <c r="C29" s="781"/>
      <c r="D29" s="781"/>
      <c r="E29" s="781"/>
      <c r="F29" s="781"/>
      <c r="G29" s="781"/>
      <c r="H29" s="781"/>
      <c r="J29" s="399">
        <f>COUNTIF(K29:K34,"=FALSO")</f>
        <v>6</v>
      </c>
      <c r="K29" s="400" t="b">
        <f>ISBLANK(J18)</f>
        <v>0</v>
      </c>
      <c r="L29" s="622" t="str">
        <f>IF('Identificación del Instrumento'!$B$17="VERIFICACIÓN PERIÓDICA","b)","a)")</f>
        <v>b)</v>
      </c>
      <c r="N29" s="340" t="s">
        <v>435</v>
      </c>
      <c r="O29" s="341"/>
      <c r="P29" s="342" t="s">
        <v>436</v>
      </c>
    </row>
    <row r="30" spans="1:22" ht="10.5" customHeight="1" thickBot="1" x14ac:dyDescent="0.25">
      <c r="A30" s="781"/>
      <c r="B30" s="781"/>
      <c r="C30" s="781"/>
      <c r="D30" s="781"/>
      <c r="E30" s="781"/>
      <c r="F30" s="781"/>
      <c r="G30" s="781"/>
      <c r="H30" s="781"/>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44"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35"/>
      <c r="C31" s="935"/>
      <c r="D31" s="935"/>
      <c r="E31" s="935"/>
      <c r="F31" s="935"/>
      <c r="G31" s="935"/>
      <c r="H31" s="935"/>
      <c r="J31" s="335" t="s">
        <v>30</v>
      </c>
      <c r="K31" s="397" t="b">
        <f>ISBLANK(K20)</f>
        <v>0</v>
      </c>
    </row>
    <row r="32" spans="1:22" ht="16.5" customHeight="1" x14ac:dyDescent="0.2">
      <c r="A32" s="935"/>
      <c r="B32" s="935"/>
      <c r="C32" s="935"/>
      <c r="D32" s="935"/>
      <c r="E32" s="935"/>
      <c r="F32" s="935"/>
      <c r="G32" s="935"/>
      <c r="H32" s="935"/>
      <c r="K32" s="397" t="b">
        <f>ISBLANK(J22)</f>
        <v>0</v>
      </c>
    </row>
    <row r="33" spans="1:16" ht="16.5" customHeight="1" x14ac:dyDescent="0.2">
      <c r="A33" s="935"/>
      <c r="B33" s="935"/>
      <c r="C33" s="935"/>
      <c r="D33" s="935"/>
      <c r="E33" s="935"/>
      <c r="F33" s="935"/>
      <c r="G33" s="935"/>
      <c r="H33" s="935"/>
      <c r="K33" s="397" t="b">
        <f>AND(ISBLANK('Identificación del Instrumento'!$B$19),ISBLANK('Identificación del Instrumento'!$B$15),ISBLANK('Identificación del Instrumento'!$B$16),ISBLANK('Identificación del Instrumento'!$F$16))</f>
        <v>0</v>
      </c>
      <c r="N33" s="934"/>
      <c r="O33" s="935"/>
      <c r="P33" s="935"/>
    </row>
    <row r="34" spans="1:16" ht="16.5" customHeight="1" thickBot="1" x14ac:dyDescent="0.25">
      <c r="A34" s="935"/>
      <c r="B34" s="935"/>
      <c r="C34" s="935"/>
      <c r="D34" s="935"/>
      <c r="E34" s="935"/>
      <c r="F34" s="935"/>
      <c r="G34" s="935"/>
      <c r="H34" s="935"/>
      <c r="K34" s="426" t="b">
        <f>ISBLANK(J24)</f>
        <v>0</v>
      </c>
      <c r="N34" s="346"/>
      <c r="O34" s="346"/>
      <c r="P34" s="346"/>
    </row>
    <row r="35" spans="1:16" ht="16.5" customHeight="1" thickBot="1" x14ac:dyDescent="0.25">
      <c r="A35" s="935"/>
      <c r="B35" s="935"/>
      <c r="C35" s="935"/>
      <c r="D35" s="935"/>
      <c r="E35" s="935"/>
      <c r="F35" s="935"/>
      <c r="G35" s="935"/>
      <c r="H35" s="935"/>
      <c r="N35" s="347"/>
      <c r="O35" s="346"/>
      <c r="P35" s="348"/>
    </row>
    <row r="36" spans="1:16" ht="16.5" customHeight="1" thickBot="1" x14ac:dyDescent="0.25">
      <c r="A36" s="935"/>
      <c r="B36" s="935"/>
      <c r="C36" s="935"/>
      <c r="D36" s="935"/>
      <c r="E36" s="935"/>
      <c r="F36" s="935"/>
      <c r="G36" s="935"/>
      <c r="H36" s="935"/>
      <c r="N36" s="349"/>
      <c r="O36" s="350"/>
      <c r="P36" s="351"/>
    </row>
    <row r="37" spans="1:16" ht="16.5" customHeight="1" thickBot="1" x14ac:dyDescent="0.25">
      <c r="A37" s="935"/>
      <c r="B37" s="935"/>
      <c r="C37" s="935"/>
      <c r="D37" s="935"/>
      <c r="E37" s="935"/>
      <c r="F37" s="935"/>
      <c r="G37" s="935"/>
      <c r="H37" s="935"/>
      <c r="N37" s="947" t="s">
        <v>437</v>
      </c>
      <c r="O37" s="840"/>
      <c r="P37" s="851"/>
    </row>
    <row r="38" spans="1:16" ht="16.5" customHeight="1" thickBot="1" x14ac:dyDescent="0.25">
      <c r="A38" s="935"/>
      <c r="B38" s="935"/>
      <c r="C38" s="935"/>
      <c r="D38" s="935"/>
      <c r="E38" s="935"/>
      <c r="F38" s="935"/>
      <c r="G38" s="935"/>
      <c r="H38" s="935"/>
      <c r="N38" s="936" t="str">
        <f>IF(Informe!$G$23=Informe!$J$2,""," fidelidad")</f>
        <v xml:space="preserve"> fidelidad</v>
      </c>
      <c r="O38" s="840"/>
      <c r="P38" s="851"/>
    </row>
    <row r="39" spans="1:16" ht="16.5" customHeight="1" thickBot="1" x14ac:dyDescent="0.25">
      <c r="A39" s="935"/>
      <c r="B39" s="935"/>
      <c r="C39" s="935"/>
      <c r="D39" s="935"/>
      <c r="E39" s="935"/>
      <c r="F39" s="935"/>
      <c r="G39" s="935"/>
      <c r="H39" s="935"/>
      <c r="N39" s="936" t="str">
        <f>IF(Informe!$G$22=Informe!$J$2,"",", excentricidad")</f>
        <v>, excentricidad</v>
      </c>
      <c r="O39" s="840"/>
      <c r="P39" s="851"/>
    </row>
    <row r="40" spans="1:16" ht="16.5" customHeight="1" thickBot="1" x14ac:dyDescent="0.25">
      <c r="A40" s="953"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1"/>
      <c r="C40" s="781"/>
      <c r="D40" s="781"/>
      <c r="E40" s="781"/>
      <c r="F40" s="781"/>
      <c r="G40" s="781"/>
      <c r="H40" s="781"/>
      <c r="N40" s="936" t="str">
        <f>IF(Informe!$G$24=Informe!$J$2,"",", movilidad")</f>
        <v>, movilidad</v>
      </c>
      <c r="O40" s="840"/>
      <c r="P40" s="851"/>
    </row>
    <row r="41" spans="1:16" ht="16.5" customHeight="1" thickBot="1" x14ac:dyDescent="0.25">
      <c r="A41" s="781"/>
      <c r="B41" s="781"/>
      <c r="C41" s="781"/>
      <c r="D41" s="781"/>
      <c r="E41" s="781"/>
      <c r="F41" s="781"/>
      <c r="G41" s="781"/>
      <c r="H41" s="781"/>
      <c r="N41" s="936" t="str">
        <f>IF(Informe!$G$20=Informe!$J$2,"",IF(AND(N42="",N43="")," y errores de indicación",", errores de indicación"))</f>
        <v>, errores de indicación</v>
      </c>
      <c r="O41" s="840"/>
      <c r="P41" s="851"/>
    </row>
    <row r="42" spans="1:16" ht="16.5" customHeight="1" thickBot="1" x14ac:dyDescent="0.25">
      <c r="A42" s="781"/>
      <c r="B42" s="781"/>
      <c r="C42" s="781"/>
      <c r="D42" s="781"/>
      <c r="E42" s="781"/>
      <c r="F42" s="781"/>
      <c r="G42" s="781"/>
      <c r="H42" s="781"/>
      <c r="N42" s="936" t="str">
        <f>IF(Informe!$G$21=Informe!$J$2,"",", desvíos entre resultados")</f>
        <v/>
      </c>
      <c r="O42" s="840"/>
      <c r="P42" s="851"/>
    </row>
    <row r="43" spans="1:16" ht="30" customHeight="1" thickBot="1" x14ac:dyDescent="0.25">
      <c r="A43" s="781"/>
      <c r="B43" s="781"/>
      <c r="C43" s="781"/>
      <c r="D43" s="781"/>
      <c r="E43" s="781"/>
      <c r="F43" s="781"/>
      <c r="G43" s="781"/>
      <c r="H43" s="781"/>
      <c r="N43" s="936" t="str">
        <f>IF(Informe!$G$25=Informe!$J$2,""," y efecto máximo del dispositivo de puesta a cero")</f>
        <v xml:space="preserve"> y efecto máximo del dispositivo de puesta a cero</v>
      </c>
      <c r="O43" s="840"/>
      <c r="P43" s="851"/>
    </row>
    <row r="44" spans="1:16" ht="15" customHeight="1" x14ac:dyDescent="0.25">
      <c r="A44" s="953" t="str">
        <f>IF($J$29=6,J6,"¡Completar datos del acta!")</f>
        <v>Del presente se suscriben dos (2) ejemplares de igual tenor, quedandosé uno en su poder Sr. Nievas Aldo Dario por la firma visitada.</v>
      </c>
      <c r="B44" s="781"/>
      <c r="C44" s="781"/>
      <c r="D44" s="781"/>
      <c r="E44" s="781"/>
      <c r="F44" s="781"/>
      <c r="G44" s="781"/>
      <c r="H44" s="781"/>
      <c r="N44" s="454" t="str">
        <f>CONCATENATE($N$38,$N$39,$N$40,$N$41,$N$42,$N$43)</f>
        <v xml:space="preserve"> fidelidad, excentricidad, movilidad, errores de indicación y efecto máximo del dispositivo de puesta a cero</v>
      </c>
      <c r="O44" s="455"/>
      <c r="P44" s="455"/>
    </row>
    <row r="45" spans="1:16" ht="15" customHeight="1" x14ac:dyDescent="0.25">
      <c r="A45" s="781"/>
      <c r="B45" s="781"/>
      <c r="C45" s="781"/>
      <c r="D45" s="781"/>
      <c r="E45" s="781"/>
      <c r="F45" s="781"/>
      <c r="G45" s="781"/>
      <c r="H45" s="781"/>
      <c r="N45" s="454"/>
      <c r="O45" s="455"/>
      <c r="P45" s="455"/>
    </row>
    <row r="46" spans="1:16" ht="15" customHeight="1" x14ac:dyDescent="0.2">
      <c r="A46" s="781"/>
      <c r="B46" s="781"/>
      <c r="C46" s="781"/>
      <c r="D46" s="781"/>
      <c r="E46" s="781"/>
      <c r="F46" s="781"/>
      <c r="G46" s="781"/>
      <c r="H46" s="781"/>
      <c r="N46" s="455"/>
      <c r="O46" s="455"/>
      <c r="P46" s="455"/>
    </row>
    <row r="47" spans="1:16" ht="15" customHeight="1" x14ac:dyDescent="0.2">
      <c r="A47" s="781"/>
      <c r="B47" s="781"/>
      <c r="C47" s="781"/>
      <c r="D47" s="781"/>
      <c r="E47" s="781"/>
      <c r="F47" s="781"/>
      <c r="G47" s="781"/>
      <c r="H47" s="781"/>
      <c r="N47" s="455"/>
      <c r="O47" s="455"/>
      <c r="P47" s="455"/>
    </row>
    <row r="48" spans="1:16" ht="15" customHeight="1" x14ac:dyDescent="0.2">
      <c r="A48" s="781"/>
      <c r="B48" s="781"/>
      <c r="C48" s="781"/>
      <c r="D48" s="781"/>
      <c r="E48" s="781"/>
      <c r="F48" s="781"/>
      <c r="G48" s="781"/>
      <c r="H48" s="781"/>
      <c r="N48" s="455"/>
      <c r="O48" s="455"/>
      <c r="P48" s="455"/>
    </row>
    <row r="49" spans="1:16" ht="15" customHeight="1" x14ac:dyDescent="0.2">
      <c r="A49" s="781"/>
      <c r="B49" s="781"/>
      <c r="C49" s="781"/>
      <c r="D49" s="781"/>
      <c r="E49" s="781"/>
      <c r="F49" s="781"/>
      <c r="G49" s="781"/>
      <c r="H49" s="781"/>
      <c r="N49" s="455"/>
      <c r="O49" s="455"/>
      <c r="P49" s="455"/>
    </row>
    <row r="50" spans="1:16" ht="15" customHeight="1" x14ac:dyDescent="0.2">
      <c r="A50" s="781"/>
      <c r="B50" s="781"/>
      <c r="C50" s="781"/>
      <c r="D50" s="781"/>
      <c r="E50" s="781"/>
      <c r="F50" s="781"/>
      <c r="G50" s="781"/>
      <c r="H50" s="781"/>
      <c r="N50" s="455"/>
      <c r="O50" s="455"/>
      <c r="P50" s="455"/>
    </row>
    <row r="51" spans="1:16" ht="15" customHeight="1" x14ac:dyDescent="0.2">
      <c r="A51" s="781"/>
      <c r="B51" s="781"/>
      <c r="C51" s="781"/>
      <c r="D51" s="781"/>
      <c r="E51" s="781"/>
      <c r="F51" s="781"/>
      <c r="G51" s="781"/>
      <c r="H51" s="781"/>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48" t="str">
        <f>+K19</f>
        <v>Sr. Nievas Aldo Dario</v>
      </c>
      <c r="B57" s="762"/>
      <c r="C57" s="762"/>
      <c r="D57" s="624"/>
      <c r="E57" s="624"/>
      <c r="F57" s="948" t="str">
        <f>+T18</f>
        <v>Tco. Pablo Javier Siklosi A.</v>
      </c>
      <c r="G57" s="762"/>
      <c r="H57" s="762"/>
      <c r="I57" s="394"/>
      <c r="K57" s="233"/>
    </row>
    <row r="58" spans="1:16" ht="15" customHeight="1" x14ac:dyDescent="0.2">
      <c r="A58" s="943" t="str">
        <f>+'Identificación del Instrumento'!C14</f>
        <v>Marolio S.A.</v>
      </c>
      <c r="B58" s="935"/>
      <c r="C58" s="935"/>
      <c r="D58" s="624"/>
      <c r="E58" s="624"/>
      <c r="F58" s="943" t="s">
        <v>149</v>
      </c>
      <c r="G58" s="935"/>
      <c r="H58" s="935"/>
    </row>
    <row r="59" spans="1:16" ht="15" customHeight="1" x14ac:dyDescent="0.2">
      <c r="A59" s="945" t="str">
        <f>K21</f>
        <v>aldo.nievas@trivento.com 2613376542</v>
      </c>
      <c r="B59" s="935"/>
      <c r="C59" s="935"/>
      <c r="D59" s="624"/>
      <c r="E59" s="624"/>
      <c r="F59" s="711"/>
      <c r="G59" s="711"/>
      <c r="H59" s="711"/>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46"/>
      <c r="B63" s="935"/>
      <c r="C63" s="935"/>
      <c r="D63" s="935"/>
      <c r="E63" s="935"/>
      <c r="F63" s="935"/>
      <c r="G63" s="935"/>
      <c r="H63" s="935"/>
    </row>
    <row r="64" spans="1:16" ht="15" customHeight="1" x14ac:dyDescent="0.2">
      <c r="A64" s="939"/>
      <c r="B64" s="935"/>
      <c r="C64" s="935"/>
      <c r="D64" s="935"/>
      <c r="E64" s="935"/>
      <c r="F64" s="935"/>
      <c r="G64" s="935"/>
      <c r="H64" s="935"/>
    </row>
    <row r="65" spans="1:8" ht="15" customHeight="1" x14ac:dyDescent="0.2">
      <c r="A65" s="939"/>
      <c r="B65" s="935"/>
      <c r="C65" s="935"/>
      <c r="D65" s="935"/>
      <c r="E65" s="935"/>
      <c r="F65" s="935"/>
      <c r="G65" s="935"/>
      <c r="H65" s="935"/>
    </row>
    <row r="66" spans="1:8" ht="15" customHeight="1" x14ac:dyDescent="0.2"/>
    <row r="67" spans="1:8" ht="15" customHeight="1" x14ac:dyDescent="0.2"/>
  </sheetData>
  <mergeCells count="37">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J24:L24"/>
    <mergeCell ref="N33:P33"/>
    <mergeCell ref="N42:P42"/>
    <mergeCell ref="J14:K14"/>
    <mergeCell ref="N27:P28"/>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65"/>
      <c r="B1" s="834"/>
      <c r="C1" s="834"/>
      <c r="D1" s="834"/>
      <c r="E1" s="834"/>
      <c r="F1" s="834"/>
      <c r="G1" s="834"/>
      <c r="H1" s="834"/>
      <c r="I1" s="381"/>
      <c r="J1" s="396"/>
      <c r="K1" s="396"/>
      <c r="L1" s="396"/>
      <c r="M1" s="396"/>
      <c r="N1" s="396"/>
      <c r="O1" s="396"/>
      <c r="P1" s="396"/>
    </row>
    <row r="2" spans="1:16" ht="15" customHeight="1" x14ac:dyDescent="0.2">
      <c r="A2" s="834"/>
      <c r="B2" s="834"/>
      <c r="C2" s="834"/>
      <c r="D2" s="834"/>
      <c r="E2" s="834"/>
      <c r="F2" s="834"/>
      <c r="G2" s="834"/>
      <c r="H2" s="834"/>
      <c r="I2" s="381"/>
      <c r="J2" s="396"/>
      <c r="K2" s="396"/>
      <c r="L2" s="396"/>
      <c r="M2" s="396"/>
      <c r="N2" s="396"/>
      <c r="O2" s="396"/>
      <c r="P2" s="396"/>
    </row>
    <row r="3" spans="1:16" ht="15" customHeight="1" x14ac:dyDescent="0.2">
      <c r="A3" s="834"/>
      <c r="B3" s="834"/>
      <c r="C3" s="834"/>
      <c r="D3" s="834"/>
      <c r="E3" s="834"/>
      <c r="F3" s="834"/>
      <c r="G3" s="834"/>
      <c r="H3" s="834"/>
      <c r="I3" s="381"/>
      <c r="J3" s="396"/>
      <c r="K3" s="396"/>
      <c r="L3" s="396"/>
      <c r="M3" s="396"/>
      <c r="N3" s="396"/>
      <c r="O3" s="396"/>
      <c r="P3" s="396"/>
    </row>
    <row r="4" spans="1:16" ht="15" customHeight="1" x14ac:dyDescent="0.2">
      <c r="A4" s="834"/>
      <c r="B4" s="834"/>
      <c r="C4" s="834"/>
      <c r="D4" s="834"/>
      <c r="E4" s="834"/>
      <c r="F4" s="834"/>
      <c r="G4" s="834"/>
      <c r="H4" s="834"/>
      <c r="I4" s="381"/>
      <c r="J4" s="396"/>
      <c r="K4" s="396"/>
      <c r="L4" s="396"/>
      <c r="M4" s="396"/>
      <c r="N4" s="396"/>
      <c r="O4" s="396"/>
      <c r="P4" s="396"/>
    </row>
    <row r="5" spans="1:16" ht="15" customHeight="1" x14ac:dyDescent="0.2">
      <c r="A5" s="834"/>
      <c r="B5" s="834"/>
      <c r="C5" s="834"/>
      <c r="D5" s="834"/>
      <c r="E5" s="834"/>
      <c r="F5" s="834"/>
      <c r="G5" s="834"/>
      <c r="H5" s="834"/>
      <c r="I5" s="381"/>
      <c r="J5" s="396"/>
      <c r="K5" s="396"/>
      <c r="L5" s="396"/>
      <c r="M5" s="396"/>
      <c r="N5" s="396"/>
      <c r="O5" s="396"/>
      <c r="P5" s="396"/>
    </row>
    <row r="6" spans="1:16" ht="15" customHeight="1" x14ac:dyDescent="0.2">
      <c r="A6" s="834"/>
      <c r="B6" s="834"/>
      <c r="C6" s="834"/>
      <c r="D6" s="834"/>
      <c r="E6" s="834"/>
      <c r="F6" s="834"/>
      <c r="G6" s="834"/>
      <c r="H6" s="834"/>
      <c r="I6" s="381"/>
      <c r="J6" s="396"/>
      <c r="K6" s="396"/>
      <c r="L6" s="396"/>
      <c r="M6" s="396"/>
      <c r="N6" s="396"/>
      <c r="O6" s="396"/>
      <c r="P6" s="396"/>
    </row>
    <row r="7" spans="1:16" ht="15" customHeight="1" x14ac:dyDescent="0.2">
      <c r="A7" s="834"/>
      <c r="B7" s="834"/>
      <c r="C7" s="834"/>
      <c r="D7" s="834"/>
      <c r="E7" s="834"/>
      <c r="F7" s="834"/>
      <c r="G7" s="834"/>
      <c r="H7" s="834"/>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79" t="s">
        <v>438</v>
      </c>
      <c r="B10" s="834"/>
      <c r="C10" s="834"/>
      <c r="D10" s="834"/>
      <c r="E10" s="834"/>
      <c r="F10" s="834"/>
      <c r="G10" s="834"/>
      <c r="H10" s="834"/>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439</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440</v>
      </c>
      <c r="B13" s="974" t="str">
        <f>IF(ISBLANK('Identificación del Instrumento'!J2),"",'Identificación del Instrumento'!J2)</f>
        <v>20 de noviembre de 2025</v>
      </c>
      <c r="C13" s="834"/>
      <c r="D13" s="834"/>
      <c r="E13" s="834"/>
      <c r="F13" s="383"/>
      <c r="G13" s="383"/>
      <c r="H13" s="383"/>
      <c r="I13" s="383"/>
      <c r="K13" s="227" t="s">
        <v>441</v>
      </c>
      <c r="M13" s="47"/>
      <c r="N13" s="47"/>
      <c r="O13" s="218"/>
    </row>
    <row r="14" spans="1:16" ht="18" customHeight="1" x14ac:dyDescent="0.2">
      <c r="A14" s="383" t="s">
        <v>442</v>
      </c>
      <c r="B14" s="966" t="str">
        <f>IF(ISBLANK('Identificación del Instrumento'!B22)," ",'Identificación del Instrumento'!B22)</f>
        <v>Balanza para pesar camiones</v>
      </c>
      <c r="C14" s="834"/>
      <c r="D14" s="834"/>
      <c r="E14" s="834"/>
      <c r="F14" s="834"/>
      <c r="G14" s="834"/>
      <c r="H14" s="834"/>
      <c r="I14" s="380"/>
      <c r="K14" s="227" t="s">
        <v>443</v>
      </c>
      <c r="L14" s="47"/>
      <c r="M14" s="47"/>
      <c r="N14" s="47"/>
      <c r="O14" s="218"/>
    </row>
    <row r="15" spans="1:16" ht="18" customHeight="1" x14ac:dyDescent="0.2">
      <c r="A15" s="383" t="s">
        <v>444</v>
      </c>
      <c r="B15" s="383"/>
      <c r="C15" s="382" t="s">
        <v>445</v>
      </c>
      <c r="D15" s="966" t="str">
        <f>IF(ISBLANK('Identificación del Instrumento'!B24),"",'Identificación del Instrumento'!B24)</f>
        <v>BIANCHETTI</v>
      </c>
      <c r="E15" s="834"/>
      <c r="F15" s="380" t="s">
        <v>52</v>
      </c>
      <c r="G15" s="383" t="str">
        <f>IF(ISBLANK('Identificación del Instrumento'!F24),"",'Identificación del Instrumento'!F24)</f>
        <v>BIANCHETTI</v>
      </c>
      <c r="H15" s="380"/>
      <c r="I15" s="380"/>
      <c r="K15" s="227" t="s">
        <v>446</v>
      </c>
      <c r="L15" s="47"/>
      <c r="M15" s="47"/>
      <c r="N15" s="47"/>
      <c r="O15" s="218"/>
    </row>
    <row r="16" spans="1:16" ht="18" customHeight="1" x14ac:dyDescent="0.2">
      <c r="A16" s="383" t="s">
        <v>447</v>
      </c>
      <c r="B16" s="383" t="s">
        <v>30</v>
      </c>
      <c r="C16" s="382" t="s">
        <v>445</v>
      </c>
      <c r="D16" s="966" t="str">
        <f>IF(ISBLANK('Identificación del Instrumento'!B25),"",'Identificación del Instrumento'!B25)</f>
        <v>TruckTRONIX 8020</v>
      </c>
      <c r="E16" s="834"/>
      <c r="F16" s="380" t="s">
        <v>52</v>
      </c>
      <c r="G16" s="383" t="str">
        <f>IF(ISBLANK('Identificación del Instrumento'!F25),"",'Identificación del Instrumento'!F25)</f>
        <v>PB 10.000</v>
      </c>
      <c r="H16" s="380"/>
      <c r="I16" s="380"/>
      <c r="K16" s="227" t="s">
        <v>448</v>
      </c>
      <c r="L16" s="47"/>
      <c r="M16" s="47"/>
      <c r="N16" s="47"/>
      <c r="O16" s="218"/>
    </row>
    <row r="17" spans="1:19" ht="18" customHeight="1" thickBot="1" x14ac:dyDescent="0.25">
      <c r="A17" s="383" t="s">
        <v>449</v>
      </c>
      <c r="B17" s="383"/>
      <c r="C17" s="382" t="s">
        <v>445</v>
      </c>
      <c r="D17" s="966" t="str">
        <f>IF(ISBLANK('Identificación del Instrumento'!B26),"",'Identificación del Instrumento'!B26)</f>
        <v>28082017214</v>
      </c>
      <c r="E17" s="834"/>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450</v>
      </c>
      <c r="B18" s="383"/>
      <c r="C18" s="382" t="s">
        <v>445</v>
      </c>
      <c r="D18" s="966" t="str">
        <f>IF(ISBLANK('Identificación del Instrumento'!B27),"",'Identificación del Instrumento'!B27)</f>
        <v>BF.80-2172</v>
      </c>
      <c r="E18" s="834"/>
      <c r="F18" s="380" t="s">
        <v>52</v>
      </c>
      <c r="G18" s="383" t="str">
        <f>IF(ISBLANK('Identificación del Instrumento'!F27),"",'Identificación del Instrumento'!F27)</f>
        <v>BF.60-1624</v>
      </c>
      <c r="H18" s="380"/>
      <c r="I18" s="380"/>
    </row>
    <row r="19" spans="1:19" ht="18" customHeight="1" x14ac:dyDescent="0.2">
      <c r="A19" s="383" t="s">
        <v>451</v>
      </c>
      <c r="B19" s="383"/>
      <c r="C19" s="969" t="str">
        <f>IF(ISBLANK('Identificación del Instrumento'!C14),"",'Identificación del Instrumento'!C14)</f>
        <v>Marolio S.A.</v>
      </c>
      <c r="D19" s="834"/>
      <c r="E19" s="834"/>
      <c r="F19" s="834"/>
      <c r="G19" s="834"/>
      <c r="H19" s="834"/>
      <c r="I19" s="578"/>
      <c r="J19" s="47"/>
      <c r="K19" s="47"/>
    </row>
    <row r="20" spans="1:19" ht="18" customHeight="1" thickBot="1" x14ac:dyDescent="0.25">
      <c r="A20" s="978" t="str">
        <f>'Acta Verificación '!A16:F16</f>
        <v>N° O.T.: 307-64088           VPE Nº:  93084</v>
      </c>
      <c r="B20" s="834"/>
      <c r="C20" s="834"/>
      <c r="D20" s="834"/>
      <c r="E20" s="834"/>
      <c r="F20" s="834"/>
      <c r="G20" s="834"/>
      <c r="H20" s="834"/>
      <c r="I20" s="577"/>
      <c r="L20" s="47"/>
    </row>
    <row r="21" spans="1:19" ht="15" customHeight="1" thickBot="1" x14ac:dyDescent="0.25">
      <c r="A21" s="834"/>
      <c r="B21" s="834"/>
      <c r="C21" s="834"/>
      <c r="D21" s="834"/>
      <c r="E21" s="834"/>
      <c r="F21" s="834"/>
      <c r="G21" s="834"/>
      <c r="H21" s="834"/>
      <c r="I21" s="380"/>
      <c r="K21" s="406" t="s">
        <v>452</v>
      </c>
      <c r="M21" s="407"/>
      <c r="N21" s="407"/>
      <c r="O21" s="408"/>
    </row>
    <row r="22" spans="1:19" ht="18.95" customHeight="1" thickBot="1" x14ac:dyDescent="0.25">
      <c r="A22" s="380"/>
      <c r="B22" s="982" t="str">
        <f>IF(ISBLANK('Identificación del Instrumento'!F23)," ",CONCATENATE("Balanza ",'Identificación del Instrumento'!F23))</f>
        <v>Balanza electrónica</v>
      </c>
      <c r="C22" s="840"/>
      <c r="D22" s="840"/>
      <c r="E22" s="840"/>
      <c r="F22" s="840"/>
      <c r="G22" s="840"/>
      <c r="H22" s="584"/>
      <c r="I22" s="380"/>
      <c r="J22" s="221"/>
      <c r="K22" s="409" t="s">
        <v>453</v>
      </c>
      <c r="L22" s="407"/>
      <c r="M22" s="410"/>
      <c r="N22" s="410"/>
      <c r="O22" s="411"/>
    </row>
    <row r="23" spans="1:19" ht="18.95" customHeight="1" thickBot="1" x14ac:dyDescent="0.25">
      <c r="A23" s="380"/>
      <c r="B23" s="983" t="s">
        <v>454</v>
      </c>
      <c r="C23" s="840"/>
      <c r="D23" s="851"/>
      <c r="E23" s="975" t="s">
        <v>455</v>
      </c>
      <c r="F23" s="840"/>
      <c r="G23" s="840"/>
      <c r="H23" s="585"/>
      <c r="I23" s="380"/>
      <c r="J23" s="221"/>
      <c r="K23" s="227" t="s">
        <v>456</v>
      </c>
      <c r="L23" s="410"/>
      <c r="M23" s="47"/>
      <c r="N23" s="47"/>
      <c r="O23" s="228"/>
    </row>
    <row r="24" spans="1:19" ht="24.95" customHeight="1" x14ac:dyDescent="0.2">
      <c r="A24" s="380"/>
      <c r="B24" s="967" t="s">
        <v>457</v>
      </c>
      <c r="C24" s="958" t="s">
        <v>458</v>
      </c>
      <c r="D24" s="959"/>
      <c r="E24" s="981" t="s">
        <v>682</v>
      </c>
      <c r="F24" s="873"/>
      <c r="G24" s="873"/>
      <c r="H24" s="586"/>
      <c r="I24" s="380"/>
      <c r="K24" s="227" t="s">
        <v>459</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68"/>
      <c r="C25" s="958" t="s">
        <v>460</v>
      </c>
      <c r="D25" s="959"/>
      <c r="E25" s="961" t="s">
        <v>681</v>
      </c>
      <c r="F25" s="764"/>
      <c r="G25" s="764"/>
      <c r="H25" s="586"/>
      <c r="I25" s="380"/>
      <c r="K25" s="227" t="s">
        <v>461</v>
      </c>
      <c r="L25" s="47"/>
      <c r="M25" s="47"/>
      <c r="N25" s="47"/>
      <c r="O25" s="228"/>
      <c r="S25" s="230" t="str">
        <f>IF(ISBLANK(E25),"",IF(ISBLANK(E26),CONCATENATE(" y ",B24," ",C25," ",E25),CONCATENATE(", ",B24," ",C25," ",E25)))</f>
        <v>, Placa identificatoria del indicador (a) N03474</v>
      </c>
    </row>
    <row r="26" spans="1:19" ht="25.5" customHeight="1" x14ac:dyDescent="0.2">
      <c r="A26" s="380"/>
      <c r="B26" s="960" t="s">
        <v>462</v>
      </c>
      <c r="C26" s="764"/>
      <c r="D26" s="794"/>
      <c r="E26" s="961" t="s">
        <v>683</v>
      </c>
      <c r="F26" s="764"/>
      <c r="G26" s="764"/>
      <c r="H26" s="586"/>
      <c r="I26" s="380"/>
      <c r="K26" s="227" t="s">
        <v>463</v>
      </c>
      <c r="L26" s="47"/>
      <c r="M26" s="47"/>
      <c r="N26" s="47"/>
      <c r="O26" s="228"/>
      <c r="S26" s="230" t="str">
        <f>IF(ISBLANK(E26),"",IF(ISBLANK(E27),CONCATENATE(", ",B26, " ",E26),CONCATENATE(", ",B26," ",E26)))</f>
        <v>, Indicador (a) B79341, B79342 (05/11/25)</v>
      </c>
    </row>
    <row r="27" spans="1:19" ht="25.5" customHeight="1" x14ac:dyDescent="0.2">
      <c r="A27" s="380"/>
      <c r="B27" s="960" t="s">
        <v>464</v>
      </c>
      <c r="C27" s="764"/>
      <c r="D27" s="794"/>
      <c r="E27" s="961" t="s">
        <v>684</v>
      </c>
      <c r="F27" s="764"/>
      <c r="G27" s="764"/>
      <c r="H27" s="586"/>
      <c r="I27" s="380"/>
      <c r="K27" s="227" t="s">
        <v>465</v>
      </c>
      <c r="L27" s="47"/>
      <c r="M27" s="47"/>
      <c r="N27" s="47"/>
      <c r="O27" s="228"/>
      <c r="S27" s="230" t="str">
        <f>IF(ISBLANK(E27),"",IF(ISBLANK(E28),CONCATENATE(", ",B27, " ",E27),CONCATENATE(", ",B27," ",E27)))</f>
        <v>, Caja de ecualización (a) B739443, B79344 (05/11/25)</v>
      </c>
    </row>
    <row r="28" spans="1:19" ht="25.5" customHeight="1" x14ac:dyDescent="0.2">
      <c r="A28" s="380"/>
      <c r="B28" s="960" t="s">
        <v>685</v>
      </c>
      <c r="C28" s="764"/>
      <c r="D28" s="794"/>
      <c r="E28" s="964" t="s">
        <v>686</v>
      </c>
      <c r="F28" s="764"/>
      <c r="G28" s="794"/>
      <c r="H28" s="586"/>
      <c r="I28" s="380"/>
      <c r="K28" s="227" t="s">
        <v>466</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85"/>
      <c r="C29" s="771"/>
      <c r="D29" s="889"/>
      <c r="E29" s="980"/>
      <c r="F29" s="771"/>
      <c r="G29" s="889"/>
      <c r="H29" s="586"/>
      <c r="I29" s="380"/>
      <c r="K29" s="227"/>
      <c r="L29" s="47"/>
      <c r="M29" s="47"/>
      <c r="N29" s="47"/>
      <c r="O29" s="228"/>
      <c r="S29" s="230" t="str">
        <f t="shared" si="0"/>
        <v/>
      </c>
    </row>
    <row r="30" spans="1:19" ht="15" hidden="1" customHeight="1" x14ac:dyDescent="0.2">
      <c r="A30" s="380"/>
      <c r="B30" s="580"/>
      <c r="C30" s="581"/>
      <c r="D30" s="582"/>
      <c r="E30" s="984"/>
      <c r="F30" s="775"/>
      <c r="G30" s="775"/>
      <c r="H30" s="586"/>
      <c r="I30" s="380"/>
      <c r="K30" s="227"/>
      <c r="L30" s="47"/>
      <c r="M30" s="47"/>
      <c r="N30" s="47"/>
      <c r="O30" s="228"/>
      <c r="S30" s="230" t="str">
        <f t="shared" si="0"/>
        <v/>
      </c>
    </row>
    <row r="31" spans="1:19" ht="25.5" hidden="1" customHeight="1" x14ac:dyDescent="0.2">
      <c r="A31" s="380"/>
      <c r="B31" s="580"/>
      <c r="C31" s="581"/>
      <c r="D31" s="582"/>
      <c r="E31" s="961"/>
      <c r="F31" s="764"/>
      <c r="G31" s="764"/>
      <c r="H31" s="586"/>
      <c r="I31" s="380"/>
      <c r="K31" s="227" t="s">
        <v>441</v>
      </c>
      <c r="L31" s="47"/>
      <c r="M31" s="47"/>
      <c r="N31" s="47"/>
      <c r="O31" s="228"/>
      <c r="S31" s="230" t="str">
        <f t="shared" si="0"/>
        <v/>
      </c>
    </row>
    <row r="32" spans="1:19" ht="25.5" hidden="1" customHeight="1" x14ac:dyDescent="0.2">
      <c r="A32" s="380"/>
      <c r="B32" s="580"/>
      <c r="C32" s="581"/>
      <c r="D32" s="582"/>
      <c r="E32" s="961"/>
      <c r="F32" s="764"/>
      <c r="G32" s="764"/>
      <c r="H32" s="586"/>
      <c r="I32" s="380"/>
      <c r="K32" s="227" t="s">
        <v>467</v>
      </c>
      <c r="L32" s="47"/>
      <c r="M32" s="47"/>
      <c r="N32" s="47"/>
      <c r="O32" s="228"/>
      <c r="S32" s="230" t="str">
        <f t="shared" si="0"/>
        <v/>
      </c>
    </row>
    <row r="33" spans="1:19" ht="15" hidden="1" customHeight="1" x14ac:dyDescent="0.2">
      <c r="A33" s="380"/>
      <c r="B33" s="580"/>
      <c r="C33" s="581"/>
      <c r="D33" s="582"/>
      <c r="E33" s="961"/>
      <c r="F33" s="764"/>
      <c r="G33" s="764"/>
      <c r="H33" s="586"/>
      <c r="I33" s="380"/>
      <c r="K33" s="227" t="s">
        <v>448</v>
      </c>
      <c r="L33" s="47"/>
      <c r="M33" s="47"/>
      <c r="N33" s="47"/>
      <c r="O33" s="228"/>
      <c r="S33" s="230" t="str">
        <f t="shared" si="0"/>
        <v/>
      </c>
    </row>
    <row r="34" spans="1:19" ht="15.75" hidden="1" customHeight="1" thickBot="1" x14ac:dyDescent="0.25">
      <c r="A34" s="579"/>
      <c r="B34" s="580"/>
      <c r="C34" s="581"/>
      <c r="D34" s="582"/>
      <c r="E34" s="961"/>
      <c r="F34" s="764"/>
      <c r="G34" s="764"/>
      <c r="H34" s="586" t="s">
        <v>468</v>
      </c>
      <c r="I34" s="579"/>
      <c r="K34" s="219"/>
      <c r="L34" s="47"/>
      <c r="M34" s="200"/>
      <c r="N34" s="200"/>
      <c r="O34" s="220"/>
      <c r="S34" s="230" t="str">
        <f t="shared" si="0"/>
        <v/>
      </c>
    </row>
    <row r="35" spans="1:19" ht="15.75" hidden="1" customHeight="1" thickBot="1" x14ac:dyDescent="0.25">
      <c r="A35" s="579"/>
      <c r="B35" s="580"/>
      <c r="C35" s="581"/>
      <c r="D35" s="582"/>
      <c r="E35" s="961"/>
      <c r="F35" s="764"/>
      <c r="G35" s="764"/>
      <c r="H35" s="586"/>
      <c r="I35" s="579"/>
      <c r="L35" s="200"/>
      <c r="S35" s="230" t="str">
        <f t="shared" si="0"/>
        <v/>
      </c>
    </row>
    <row r="36" spans="1:19" ht="15" hidden="1" customHeight="1" x14ac:dyDescent="0.2">
      <c r="A36" s="579"/>
      <c r="B36" s="580"/>
      <c r="C36" s="581"/>
      <c r="D36" s="582"/>
      <c r="E36" s="961"/>
      <c r="F36" s="764"/>
      <c r="G36" s="764"/>
      <c r="H36" s="586"/>
      <c r="I36" s="579"/>
      <c r="S36" s="230" t="str">
        <f t="shared" si="0"/>
        <v/>
      </c>
    </row>
    <row r="37" spans="1:19" ht="15" hidden="1" customHeight="1" x14ac:dyDescent="0.2">
      <c r="A37" s="579"/>
      <c r="B37" s="580"/>
      <c r="C37" s="581"/>
      <c r="D37" s="582"/>
      <c r="E37" s="961"/>
      <c r="F37" s="764"/>
      <c r="G37" s="764"/>
      <c r="H37" s="586"/>
      <c r="I37" s="579"/>
      <c r="S37" s="230" t="str">
        <f t="shared" si="0"/>
        <v/>
      </c>
    </row>
    <row r="38" spans="1:19" ht="15" hidden="1" customHeight="1" x14ac:dyDescent="0.2">
      <c r="A38" s="579"/>
      <c r="B38" s="580"/>
      <c r="C38" s="581"/>
      <c r="D38" s="582"/>
      <c r="E38" s="961"/>
      <c r="F38" s="764"/>
      <c r="G38" s="764"/>
      <c r="H38" s="586"/>
      <c r="I38" s="579"/>
      <c r="S38" s="230" t="str">
        <f t="shared" si="0"/>
        <v/>
      </c>
    </row>
    <row r="39" spans="1:19" ht="15" hidden="1" customHeight="1" x14ac:dyDescent="0.2">
      <c r="A39" s="579"/>
      <c r="B39" s="580"/>
      <c r="C39" s="581"/>
      <c r="D39" s="582"/>
      <c r="E39" s="961"/>
      <c r="F39" s="764"/>
      <c r="G39" s="764"/>
      <c r="H39" s="586"/>
      <c r="I39" s="579"/>
      <c r="S39" s="230" t="str">
        <f t="shared" si="0"/>
        <v/>
      </c>
    </row>
    <row r="40" spans="1:19" ht="15" hidden="1" customHeight="1" x14ac:dyDescent="0.2">
      <c r="A40" s="579"/>
      <c r="B40" s="580"/>
      <c r="C40" s="581"/>
      <c r="D40" s="582"/>
      <c r="E40" s="961"/>
      <c r="F40" s="764"/>
      <c r="G40" s="764"/>
      <c r="H40" s="586"/>
      <c r="I40" s="579"/>
      <c r="S40" s="230" t="str">
        <f t="shared" si="0"/>
        <v/>
      </c>
    </row>
    <row r="41" spans="1:19" ht="15" hidden="1" customHeight="1" x14ac:dyDescent="0.2">
      <c r="A41" s="579"/>
      <c r="B41" s="964"/>
      <c r="C41" s="764"/>
      <c r="D41" s="794"/>
      <c r="E41" s="961"/>
      <c r="F41" s="764"/>
      <c r="G41" s="764"/>
      <c r="H41" s="586"/>
      <c r="I41" s="579"/>
      <c r="S41" s="230" t="str">
        <f t="shared" si="0"/>
        <v/>
      </c>
    </row>
    <row r="42" spans="1:19" ht="15" hidden="1" customHeight="1" x14ac:dyDescent="0.2">
      <c r="A42" s="579"/>
      <c r="B42" s="964"/>
      <c r="C42" s="764"/>
      <c r="D42" s="794"/>
      <c r="E42" s="961"/>
      <c r="F42" s="764"/>
      <c r="G42" s="764"/>
      <c r="H42" s="586"/>
      <c r="I42" s="579"/>
      <c r="S42" s="230" t="str">
        <f t="shared" si="0"/>
        <v/>
      </c>
    </row>
    <row r="43" spans="1:19" ht="15" hidden="1" customHeight="1" x14ac:dyDescent="0.2">
      <c r="A43" s="579"/>
      <c r="B43" s="964"/>
      <c r="C43" s="764"/>
      <c r="D43" s="794"/>
      <c r="E43" s="961"/>
      <c r="F43" s="764"/>
      <c r="G43" s="764"/>
      <c r="H43" s="586"/>
      <c r="I43" s="579"/>
      <c r="S43" s="230" t="str">
        <f t="shared" si="0"/>
        <v/>
      </c>
    </row>
    <row r="44" spans="1:19" ht="15" hidden="1" customHeight="1" x14ac:dyDescent="0.2">
      <c r="A44" s="579"/>
      <c r="B44" s="964"/>
      <c r="C44" s="764"/>
      <c r="D44" s="794"/>
      <c r="E44" s="961"/>
      <c r="F44" s="764"/>
      <c r="G44" s="764"/>
      <c r="H44" s="586"/>
      <c r="I44" s="579"/>
      <c r="S44" s="230" t="str">
        <f t="shared" si="0"/>
        <v/>
      </c>
    </row>
    <row r="45" spans="1:19" ht="15" hidden="1" customHeight="1" x14ac:dyDescent="0.2">
      <c r="A45" s="579"/>
      <c r="B45" s="964"/>
      <c r="C45" s="764"/>
      <c r="D45" s="794"/>
      <c r="E45" s="961"/>
      <c r="F45" s="764"/>
      <c r="G45" s="764"/>
      <c r="H45" s="586"/>
      <c r="I45" s="579"/>
      <c r="S45" s="230" t="str">
        <f t="shared" si="0"/>
        <v/>
      </c>
    </row>
    <row r="46" spans="1:19" ht="15" hidden="1" customHeight="1" x14ac:dyDescent="0.2">
      <c r="A46" s="579"/>
      <c r="B46" s="964"/>
      <c r="C46" s="764"/>
      <c r="D46" s="794"/>
      <c r="E46" s="961"/>
      <c r="F46" s="764"/>
      <c r="G46" s="764"/>
      <c r="H46" s="586"/>
      <c r="I46" s="579"/>
      <c r="S46" s="230" t="str">
        <f t="shared" si="0"/>
        <v/>
      </c>
    </row>
    <row r="47" spans="1:19" ht="15.75" hidden="1" customHeight="1" thickBot="1" x14ac:dyDescent="0.25">
      <c r="A47" s="579"/>
      <c r="B47" s="977"/>
      <c r="C47" s="913"/>
      <c r="D47" s="783"/>
      <c r="E47" s="963"/>
      <c r="F47" s="913"/>
      <c r="G47" s="913"/>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62" t="s">
        <v>469</v>
      </c>
      <c r="B49" s="834"/>
      <c r="C49" s="834"/>
      <c r="D49" s="834"/>
      <c r="E49" s="834"/>
      <c r="F49" s="834"/>
      <c r="G49" s="834"/>
      <c r="H49" s="834"/>
      <c r="I49" s="583"/>
      <c r="K49" s="406" t="s">
        <v>470</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34"/>
      <c r="B50" s="834"/>
      <c r="C50" s="834"/>
      <c r="D50" s="834"/>
      <c r="E50" s="834"/>
      <c r="F50" s="834"/>
      <c r="G50" s="834"/>
      <c r="H50" s="834"/>
      <c r="I50" s="583"/>
      <c r="K50" s="217"/>
      <c r="L50" s="407"/>
      <c r="O50" s="218"/>
    </row>
    <row r="51" spans="1:19" ht="15" customHeight="1" x14ac:dyDescent="0.2">
      <c r="A51" s="962" t="s">
        <v>471</v>
      </c>
      <c r="B51" s="834"/>
      <c r="C51" s="834"/>
      <c r="D51" s="834"/>
      <c r="E51" s="834"/>
      <c r="F51" s="834"/>
      <c r="G51" s="834"/>
      <c r="H51" s="834"/>
      <c r="I51" s="380"/>
      <c r="K51" s="227" t="s">
        <v>453</v>
      </c>
      <c r="M51" s="47"/>
      <c r="N51" s="47"/>
      <c r="O51" s="228"/>
    </row>
    <row r="52" spans="1:19" ht="15" customHeight="1" x14ac:dyDescent="0.2">
      <c r="A52" s="976" t="s">
        <v>472</v>
      </c>
      <c r="B52" s="834"/>
      <c r="C52" s="834"/>
      <c r="D52" s="834"/>
      <c r="E52" s="834"/>
      <c r="F52" s="834"/>
      <c r="G52" s="834"/>
      <c r="H52" s="834"/>
      <c r="I52" s="380"/>
      <c r="K52" s="227" t="s">
        <v>456</v>
      </c>
      <c r="L52" s="47"/>
      <c r="M52" s="47"/>
      <c r="N52" s="47"/>
      <c r="O52" s="228"/>
    </row>
    <row r="53" spans="1:19" ht="15" customHeight="1" x14ac:dyDescent="0.2">
      <c r="A53" s="973" t="s">
        <v>473</v>
      </c>
      <c r="B53" s="834"/>
      <c r="C53" s="834"/>
      <c r="D53" s="834"/>
      <c r="E53" s="834"/>
      <c r="F53" s="834"/>
      <c r="G53" s="834"/>
      <c r="H53" s="834"/>
      <c r="I53" s="380"/>
      <c r="K53" s="227" t="s">
        <v>459</v>
      </c>
      <c r="L53" s="47"/>
      <c r="M53" s="47"/>
      <c r="N53" s="47"/>
      <c r="O53" s="228"/>
    </row>
    <row r="54" spans="1:19" ht="15" customHeight="1" x14ac:dyDescent="0.2">
      <c r="A54" s="625"/>
      <c r="B54" s="972"/>
      <c r="C54" s="834"/>
      <c r="D54" s="834"/>
      <c r="E54" s="834"/>
      <c r="F54" s="834"/>
      <c r="G54" s="834"/>
      <c r="H54" s="834"/>
      <c r="I54" s="583"/>
      <c r="K54" s="227" t="s">
        <v>461</v>
      </c>
      <c r="L54" s="47"/>
      <c r="M54" s="47"/>
      <c r="N54" s="47"/>
      <c r="O54" s="228"/>
    </row>
    <row r="55" spans="1:19" ht="15" hidden="1" customHeight="1" x14ac:dyDescent="0.2">
      <c r="A55" s="625"/>
      <c r="B55" s="834"/>
      <c r="C55" s="834"/>
      <c r="D55" s="834"/>
      <c r="E55" s="834"/>
      <c r="F55" s="834"/>
      <c r="G55" s="834"/>
      <c r="H55" s="834"/>
      <c r="I55" s="583"/>
      <c r="K55" s="227" t="s">
        <v>463</v>
      </c>
      <c r="L55" s="47"/>
      <c r="M55" s="47"/>
      <c r="N55" s="47"/>
      <c r="O55" s="228"/>
    </row>
    <row r="56" spans="1:19" ht="15" customHeight="1" x14ac:dyDescent="0.2">
      <c r="A56" s="625"/>
      <c r="B56" s="834"/>
      <c r="C56" s="834"/>
      <c r="D56" s="834"/>
      <c r="E56" s="834"/>
      <c r="F56" s="834"/>
      <c r="G56" s="834"/>
      <c r="H56" s="834"/>
      <c r="I56" s="583"/>
      <c r="K56" s="227" t="s">
        <v>465</v>
      </c>
      <c r="L56" s="47"/>
      <c r="M56" s="47"/>
      <c r="N56" s="47"/>
      <c r="O56" s="228"/>
    </row>
    <row r="57" spans="1:19" ht="15" customHeight="1" x14ac:dyDescent="0.2">
      <c r="A57" s="380"/>
      <c r="B57" s="380"/>
      <c r="C57" s="380"/>
      <c r="D57" s="380"/>
      <c r="E57" s="380"/>
      <c r="F57" s="380"/>
      <c r="G57" s="380"/>
      <c r="H57" s="380"/>
      <c r="I57" s="380"/>
      <c r="K57" s="227" t="s">
        <v>466</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70" t="s">
        <v>474</v>
      </c>
      <c r="B59" s="834"/>
      <c r="C59" s="834"/>
      <c r="D59" s="834"/>
      <c r="E59" s="834"/>
      <c r="F59" s="834"/>
      <c r="G59" s="834"/>
      <c r="H59" s="834"/>
      <c r="I59" s="380"/>
      <c r="L59" s="200"/>
    </row>
    <row r="60" spans="1:19" ht="15" customHeight="1" x14ac:dyDescent="0.2">
      <c r="A60" s="970" t="s">
        <v>475</v>
      </c>
      <c r="B60" s="834"/>
      <c r="C60" s="834"/>
      <c r="D60" s="834"/>
      <c r="E60" s="834"/>
      <c r="F60" s="834"/>
      <c r="G60" s="834"/>
      <c r="H60" s="834"/>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48" t="str">
        <f>+'Acta Verificación '!K19</f>
        <v>Sr. Nievas Aldo Dario</v>
      </c>
      <c r="B69" s="762"/>
      <c r="C69" s="762"/>
      <c r="D69" s="624"/>
      <c r="E69" s="624"/>
      <c r="F69" s="948" t="str">
        <f>+'Acta Verificación '!F57:H57</f>
        <v>Tco. Pablo Javier Siklosi A.</v>
      </c>
      <c r="G69" s="762"/>
      <c r="H69" s="762"/>
    </row>
    <row r="70" spans="1:9" s="502" customFormat="1" ht="28.9" customHeight="1" x14ac:dyDescent="0.2">
      <c r="A70" s="943" t="str">
        <f>+'Identificación del Instrumento'!C14</f>
        <v>Marolio S.A.</v>
      </c>
      <c r="B70" s="971"/>
      <c r="C70" s="971"/>
      <c r="D70" s="624"/>
      <c r="E70" s="624"/>
      <c r="F70" s="943" t="str">
        <f>+'Identificación del Instrumento'!E61</f>
        <v>Programa de Metrología Legal - INTI</v>
      </c>
      <c r="G70" s="971"/>
      <c r="H70" s="971"/>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46"/>
      <c r="B74" s="834"/>
      <c r="C74" s="834"/>
      <c r="D74" s="834"/>
      <c r="E74" s="834"/>
      <c r="F74" s="834"/>
      <c r="G74" s="834"/>
      <c r="H74" s="834"/>
    </row>
    <row r="75" spans="1:9" ht="15" customHeight="1" x14ac:dyDescent="0.2">
      <c r="A75" s="939"/>
      <c r="B75" s="834"/>
      <c r="C75" s="834"/>
      <c r="D75" s="834"/>
      <c r="E75" s="834"/>
      <c r="F75" s="834"/>
      <c r="G75" s="834"/>
      <c r="H75" s="834"/>
    </row>
    <row r="76" spans="1:9" ht="15" customHeight="1" x14ac:dyDescent="0.2">
      <c r="A76" s="939"/>
      <c r="B76" s="834"/>
      <c r="C76" s="834"/>
      <c r="D76" s="834"/>
      <c r="E76" s="834"/>
      <c r="F76" s="834"/>
      <c r="G76" s="834"/>
      <c r="H76" s="834"/>
    </row>
  </sheetData>
  <mergeCells count="65">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F70:H70"/>
    <mergeCell ref="E34:G34"/>
    <mergeCell ref="B44:D44"/>
    <mergeCell ref="E46:G46"/>
    <mergeCell ref="E36:G36"/>
    <mergeCell ref="B54:H56"/>
    <mergeCell ref="E45:G45"/>
    <mergeCell ref="A59:H59"/>
    <mergeCell ref="A51:H51"/>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C24:D24"/>
    <mergeCell ref="C25:D25"/>
    <mergeCell ref="B26:D26"/>
    <mergeCell ref="E33:G33"/>
    <mergeCell ref="A49:H50"/>
    <mergeCell ref="E47:G47"/>
    <mergeCell ref="B42:D42"/>
    <mergeCell ref="E28:G28"/>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tabSelected="1" view="pageBreakPreview" zoomScaleNormal="100" zoomScaleSheetLayoutView="100" workbookViewId="0">
      <selection activeCell="A9" sqref="A9:H9"/>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x14ac:dyDescent="0.25">
      <c r="A1" s="1087" t="s">
        <v>476</v>
      </c>
      <c r="B1" s="1088"/>
      <c r="C1" s="1092" t="str">
        <f>CONCATENATE('Datos de Ensayos'!E3," - ",'Datos de Ensayos'!E4)</f>
        <v>Tco. Pablo Javier Siklosi A. - Tco. Pablo Javier Siklosi A.</v>
      </c>
      <c r="D1" s="1088"/>
      <c r="E1" s="1088"/>
      <c r="F1" s="1088"/>
      <c r="G1" s="1088"/>
      <c r="H1" s="1088"/>
      <c r="I1" s="30"/>
      <c r="J1" s="30"/>
      <c r="K1" s="30"/>
      <c r="O1" s="31"/>
      <c r="P1" s="27"/>
      <c r="Q1" s="29"/>
      <c r="R1" s="27"/>
      <c r="S1" s="28"/>
      <c r="T1" s="28"/>
      <c r="V1" s="27"/>
      <c r="AJ1" s="28"/>
      <c r="AK1" s="28"/>
      <c r="AL1" s="32"/>
      <c r="AM1" s="28"/>
      <c r="AN1" s="28"/>
      <c r="AO1" s="33"/>
      <c r="AP1" s="34"/>
      <c r="AQ1" s="35"/>
      <c r="AR1" s="28"/>
    </row>
    <row r="2" spans="1:44" ht="14.25" customHeight="1" x14ac:dyDescent="0.25">
      <c r="C2" s="1089"/>
      <c r="D2" s="1090"/>
      <c r="E2" s="1091"/>
      <c r="F2" s="1089"/>
      <c r="J2" s="57" t="s">
        <v>477</v>
      </c>
    </row>
    <row r="3" spans="1:44" ht="38.25" customHeight="1" x14ac:dyDescent="0.2">
      <c r="D3" s="988"/>
      <c r="E3" s="990"/>
      <c r="I3" s="6"/>
    </row>
    <row r="4" spans="1:44" ht="29.25" customHeight="1" thickBot="1" x14ac:dyDescent="0.25">
      <c r="A4" s="1011" t="str">
        <f>IF(('Identificación del Instrumento'!B17)="VERIFICACIÓN PERIÓDICA",CONCATENATE("INFORME DE  ",'Identificación del Instrumento'!B17),CONCATENATE("INFORME DE ENSAYO"))</f>
        <v>INFORME DE  VERIFICACIÓN PERIÓDICA</v>
      </c>
      <c r="B4" s="988"/>
      <c r="C4" s="988"/>
      <c r="D4" s="989"/>
      <c r="E4" s="990"/>
      <c r="F4" s="988"/>
      <c r="G4" s="988"/>
      <c r="H4" s="990"/>
      <c r="I4" s="6"/>
    </row>
    <row r="5" spans="1:44" ht="19.5" customHeight="1" thickBot="1" x14ac:dyDescent="0.3">
      <c r="A5" s="1002" t="str">
        <f>CONCATENATE("N° O.T.: ",'Identificación del Instrumento'!B4)</f>
        <v>N° O.T.: 307-64088</v>
      </c>
      <c r="B5" s="988"/>
      <c r="C5" s="988"/>
      <c r="D5" s="989"/>
      <c r="E5" s="990"/>
      <c r="F5" s="988"/>
      <c r="G5" s="993"/>
      <c r="H5" s="990"/>
      <c r="I5" s="15" t="str">
        <f>IF(ISBLANK('Datos de Ensayos'!E6),"Falta No.parcial","")</f>
        <v/>
      </c>
      <c r="J5" s="12"/>
      <c r="K5" s="12"/>
      <c r="L5" s="12"/>
      <c r="M5" s="12"/>
      <c r="N5" s="986" t="s">
        <v>478</v>
      </c>
      <c r="O5" s="840"/>
      <c r="P5" s="840"/>
      <c r="Q5" s="840"/>
      <c r="R5" s="840"/>
      <c r="S5" s="851"/>
    </row>
    <row r="6" spans="1:44" ht="30" customHeight="1" x14ac:dyDescent="0.2">
      <c r="A6" s="997"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88"/>
      <c r="C6" s="988"/>
      <c r="D6" s="989"/>
      <c r="E6" s="990"/>
      <c r="F6" s="988"/>
      <c r="G6" s="988"/>
      <c r="H6" s="990"/>
      <c r="J6" s="12"/>
      <c r="K6" s="12"/>
      <c r="L6" s="12"/>
      <c r="M6" s="12"/>
      <c r="N6" s="445"/>
      <c r="O6" s="203"/>
      <c r="P6" s="446" t="s">
        <v>479</v>
      </c>
      <c r="Q6" s="447"/>
      <c r="R6" s="447"/>
      <c r="S6" s="448" t="s">
        <v>480</v>
      </c>
    </row>
    <row r="7" spans="1:44" ht="15.75" customHeight="1" x14ac:dyDescent="0.2">
      <c r="A7" s="817"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88"/>
      <c r="C7" s="988"/>
      <c r="D7" s="989"/>
      <c r="E7" s="990"/>
      <c r="F7" s="988"/>
      <c r="G7" s="988"/>
      <c r="H7" s="990"/>
      <c r="N7" s="451" t="s">
        <v>481</v>
      </c>
      <c r="R7" s="61" t="s">
        <v>482</v>
      </c>
      <c r="S7" s="450"/>
    </row>
    <row r="8" spans="1:44" ht="15.75" customHeight="1" x14ac:dyDescent="0.2">
      <c r="A8" s="817"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88"/>
      <c r="C8" s="988"/>
      <c r="D8" s="989"/>
      <c r="E8" s="990"/>
      <c r="F8" s="988"/>
      <c r="G8" s="988"/>
      <c r="H8" s="990"/>
      <c r="N8" s="451"/>
      <c r="R8" s="61"/>
      <c r="S8" s="450"/>
    </row>
    <row r="9" spans="1:44" ht="15.75" customHeight="1" x14ac:dyDescent="0.2">
      <c r="A9" s="817"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88"/>
      <c r="C9" s="988"/>
      <c r="D9" s="989"/>
      <c r="E9" s="990"/>
      <c r="F9" s="988"/>
      <c r="G9" s="988"/>
      <c r="H9" s="990"/>
      <c r="I9" s="746"/>
      <c r="N9" s="449"/>
      <c r="S9" s="450"/>
    </row>
    <row r="10" spans="1:44" ht="15.75" customHeight="1" x14ac:dyDescent="0.25">
      <c r="A10" s="817"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88"/>
      <c r="C10" s="988"/>
      <c r="D10" s="989"/>
      <c r="E10" s="990"/>
      <c r="F10" s="988"/>
      <c r="G10" s="988"/>
      <c r="H10" s="990"/>
      <c r="I10" s="15" t="str">
        <f>IF(ISBLANK('Datos de Ensayos'!E14),"Falta No. serie","")</f>
        <v/>
      </c>
      <c r="J10" s="12"/>
      <c r="K10" s="12"/>
      <c r="L10" s="12"/>
      <c r="M10" s="12"/>
      <c r="N10" s="452"/>
      <c r="S10" s="450"/>
    </row>
    <row r="11" spans="1:44" ht="15.75" customHeight="1" x14ac:dyDescent="0.25">
      <c r="A11" s="817"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88"/>
      <c r="C11" s="988"/>
      <c r="D11" s="989"/>
      <c r="E11" s="990"/>
      <c r="F11" s="988"/>
      <c r="G11" s="988"/>
      <c r="H11" s="990"/>
      <c r="I11" s="15"/>
      <c r="J11" s="12"/>
      <c r="K11" s="12"/>
      <c r="L11" s="12"/>
      <c r="M11" s="12"/>
      <c r="N11" s="452"/>
      <c r="S11" s="450"/>
    </row>
    <row r="12" spans="1:44" ht="15.75" customHeight="1" x14ac:dyDescent="0.25">
      <c r="A12" s="817"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88"/>
      <c r="C12" s="988"/>
      <c r="D12" s="989"/>
      <c r="E12" s="990"/>
      <c r="F12" s="988"/>
      <c r="G12" s="988"/>
      <c r="H12" s="990"/>
      <c r="I12" s="15"/>
      <c r="J12" s="12"/>
      <c r="K12" s="12"/>
      <c r="L12" s="12"/>
      <c r="M12" s="12"/>
      <c r="N12" s="452"/>
      <c r="S12" s="450"/>
    </row>
    <row r="13" spans="1:44" ht="15.75" customHeight="1" x14ac:dyDescent="0.25">
      <c r="A13" s="817"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88"/>
      <c r="C13" s="988"/>
      <c r="D13" s="989"/>
      <c r="E13" s="990"/>
      <c r="F13" s="988"/>
      <c r="G13" s="988"/>
      <c r="H13" s="990"/>
      <c r="I13" s="15"/>
      <c r="J13" s="12"/>
      <c r="K13" s="12"/>
      <c r="L13" s="12"/>
      <c r="M13" s="12"/>
      <c r="N13" s="452"/>
      <c r="S13" s="450"/>
    </row>
    <row r="14" spans="1:44" ht="15.75" customHeight="1" thickBot="1" x14ac:dyDescent="0.3">
      <c r="A14" s="817"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88"/>
      <c r="C14" s="988"/>
      <c r="D14" s="989"/>
      <c r="E14" s="990"/>
      <c r="F14" s="988"/>
      <c r="G14" s="988"/>
      <c r="H14" s="990"/>
      <c r="I14" s="15" t="str">
        <f>IF(ISBLANK('Datos de Ensayos'!E14),"Falta identificacion","")</f>
        <v/>
      </c>
      <c r="J14" s="12"/>
      <c r="K14" s="12"/>
      <c r="L14" s="12"/>
      <c r="M14" s="12"/>
      <c r="N14" s="452"/>
      <c r="P14" s="61" t="s">
        <v>483</v>
      </c>
      <c r="S14" s="453" t="s">
        <v>484</v>
      </c>
    </row>
    <row r="15" spans="1:44" ht="53.25" customHeight="1" thickBot="1" x14ac:dyDescent="0.3">
      <c r="A15" s="817" t="str">
        <f>CONCATENATE("Precintos Nº: ",'Acta Precintos'!S49,".")</f>
        <v>Precintos Nº: Placa identificatoria del receptor (a) N03475, Placa identificatoria del indicador (a) N03474, Indicador (a) B79341, B79342 (05/11/25), Caja de ecualización (a) B739443, B79344 (05/11/25) y Verificado (a) 1104924 (05/11/25).</v>
      </c>
      <c r="B15" s="988"/>
      <c r="C15" s="988"/>
      <c r="D15" s="989"/>
      <c r="E15" s="990"/>
      <c r="F15" s="988"/>
      <c r="G15" s="988"/>
      <c r="H15" s="990"/>
      <c r="I15" s="15" t="str">
        <f>IF(ISBLANK('Datos de Ensayos'!E8),"Falta Razón social","")</f>
        <v/>
      </c>
      <c r="J15" s="12"/>
      <c r="K15" s="12"/>
      <c r="L15" s="12"/>
      <c r="M15" s="12"/>
      <c r="N15" s="1009" t="s">
        <v>485</v>
      </c>
      <c r="O15" s="840"/>
      <c r="P15" s="840"/>
      <c r="Q15" s="840"/>
      <c r="R15" s="840"/>
      <c r="S15" s="851"/>
    </row>
    <row r="16" spans="1:44" s="61" customFormat="1" ht="33" customHeight="1" x14ac:dyDescent="0.2">
      <c r="A16" s="1000"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01"/>
      <c r="C16" s="1001"/>
      <c r="D16" s="1001"/>
      <c r="E16" s="1001"/>
      <c r="F16" s="1001"/>
      <c r="G16" s="1001"/>
      <c r="H16" s="1001"/>
      <c r="J16" s="51"/>
      <c r="K16" s="51"/>
      <c r="L16" s="12"/>
      <c r="M16" s="12"/>
      <c r="N16" s="12"/>
    </row>
    <row r="17" spans="1:27" ht="38.25" customHeight="1" x14ac:dyDescent="0.2">
      <c r="A17" s="1006" t="s">
        <v>486</v>
      </c>
      <c r="B17" s="988"/>
      <c r="C17" s="992" t="str">
        <f>IF(COUNTA('Identificación del Instrumento'!$B$22)=1,VLOOKUP('Identificación del Instrumento'!$J$22,Informe!$I$17:$J$18,2,FALSE),"")</f>
        <v>Verificación del cumplimiento con la Reglamentación Metrológica y Técnica correspondiente a la Resolución ex S.E.C. y N.E.I. N° 2307/1980 y su modificatoria.</v>
      </c>
      <c r="D17" s="989"/>
      <c r="E17" s="990"/>
      <c r="F17" s="988"/>
      <c r="G17" s="988"/>
      <c r="H17" s="990"/>
      <c r="I17" s="667">
        <v>1</v>
      </c>
      <c r="J17" s="666" t="s">
        <v>487</v>
      </c>
      <c r="K17" s="668"/>
      <c r="L17" s="666"/>
      <c r="M17" s="669"/>
      <c r="N17" s="669"/>
      <c r="O17" s="666"/>
      <c r="P17" s="666"/>
      <c r="Q17" s="666"/>
      <c r="R17" s="666"/>
      <c r="S17" s="666"/>
      <c r="T17" s="666"/>
      <c r="U17" s="666" t="s">
        <v>488</v>
      </c>
      <c r="V17" s="666"/>
      <c r="W17" s="666"/>
      <c r="X17" s="666"/>
      <c r="Y17" s="666"/>
      <c r="Z17" s="666"/>
      <c r="AA17" s="666"/>
    </row>
    <row r="18" spans="1:27" ht="17.25" customHeight="1" x14ac:dyDescent="0.2">
      <c r="A18" s="1006" t="s">
        <v>489</v>
      </c>
      <c r="B18" s="988"/>
      <c r="C18" s="988"/>
      <c r="D18" s="989"/>
      <c r="E18" s="990"/>
      <c r="F18" s="988"/>
      <c r="G18" s="988"/>
      <c r="H18" s="990"/>
      <c r="I18" s="667">
        <v>2</v>
      </c>
      <c r="J18" s="666" t="s">
        <v>490</v>
      </c>
      <c r="K18" s="670"/>
      <c r="L18" s="666"/>
      <c r="M18" s="669"/>
      <c r="N18" s="669"/>
      <c r="O18" s="666"/>
      <c r="P18" s="666"/>
      <c r="Q18" s="666"/>
      <c r="R18" s="666"/>
      <c r="S18" s="666"/>
      <c r="T18" s="666"/>
      <c r="U18" s="666" t="s">
        <v>491</v>
      </c>
      <c r="V18" s="666"/>
      <c r="W18" s="666"/>
      <c r="X18" s="666"/>
      <c r="Y18" s="666"/>
      <c r="Z18" s="666"/>
      <c r="AA18" s="666"/>
    </row>
    <row r="19" spans="1:27" s="64" customFormat="1" ht="28.5" customHeight="1" x14ac:dyDescent="0.2">
      <c r="A19" s="987" t="str">
        <f>IF(COUNTA('Identificación del Instrumento'!$B$22)=1,VLOOKUP('Identificación del Instrumento'!$J$22,$I$17:$V$18,13,FALSE),"")</f>
        <v>Párrafos de la Reglamentación Metrológica y Técnica, Resolución 2307/80</v>
      </c>
      <c r="B19" s="768"/>
      <c r="C19" s="769"/>
      <c r="D19" s="987" t="s">
        <v>492</v>
      </c>
      <c r="E19" s="769"/>
      <c r="F19" s="714" t="s">
        <v>493</v>
      </c>
      <c r="G19" s="987" t="s">
        <v>494</v>
      </c>
      <c r="H19" s="769"/>
      <c r="I19" s="55"/>
      <c r="J19" s="54"/>
      <c r="K19" s="54"/>
      <c r="L19" s="56"/>
      <c r="M19" s="62"/>
      <c r="N19" s="62"/>
      <c r="O19" s="63"/>
    </row>
    <row r="20" spans="1:27" ht="15" customHeight="1" x14ac:dyDescent="0.25">
      <c r="A20" s="714">
        <v>9</v>
      </c>
      <c r="B20" s="987" t="s">
        <v>495</v>
      </c>
      <c r="C20" s="769"/>
      <c r="D20" s="991" t="str">
        <f>J2</f>
        <v>Ö</v>
      </c>
      <c r="E20" s="769"/>
      <c r="F20" s="69"/>
      <c r="G20" s="1012"/>
      <c r="H20" s="769"/>
      <c r="I20" s="53"/>
      <c r="J20" s="1008"/>
      <c r="K20" s="988"/>
      <c r="L20" s="56"/>
      <c r="M20" s="7"/>
      <c r="N20" s="7"/>
    </row>
    <row r="21" spans="1:27" ht="15" customHeight="1" x14ac:dyDescent="0.25">
      <c r="A21" s="714" t="s">
        <v>496</v>
      </c>
      <c r="B21" s="987" t="s">
        <v>497</v>
      </c>
      <c r="C21" s="769"/>
      <c r="D21" s="991"/>
      <c r="E21" s="769"/>
      <c r="F21" s="69"/>
      <c r="G21" s="991" t="str">
        <f>+J2</f>
        <v>Ö</v>
      </c>
      <c r="H21" s="769"/>
      <c r="I21" s="53"/>
      <c r="J21" s="1008"/>
      <c r="K21" s="988"/>
      <c r="L21" s="38"/>
      <c r="M21" s="7"/>
      <c r="N21" s="7"/>
    </row>
    <row r="22" spans="1:27" ht="15" customHeight="1" x14ac:dyDescent="0.2">
      <c r="A22" s="714" t="str">
        <f>IF('Identificación del Instrumento'!B22="Balanza tipo tolva","ESCONDER",(IF(COUNTA('Identificación del Instrumento'!$B$22)=1,VLOOKUP('Identificación del Instrumento'!$B$22,'Ensayos Efectuados'!$N$125:$R$136,5,FALSE),"")))</f>
        <v>13.4.2.1</v>
      </c>
      <c r="B22" s="987" t="str">
        <f>IF(OR(A22="ESCONDER",A22="N/A"),"ESCONDER","Excentricidad")</f>
        <v>Excentricidad</v>
      </c>
      <c r="C22" s="769"/>
      <c r="D22" s="991" t="str">
        <f>IF($B$22="ESCONDER","ESCONDER",IF(COUNT('Datos de Ensayos'!K70:K81)&gt;1,IF('Datos de Ensayos'!K82=0,J2,""),""))</f>
        <v>Ö</v>
      </c>
      <c r="E22" s="769"/>
      <c r="F22" s="69" t="str">
        <f>IF($B$22="ESCONDER","",IF('Datos de Ensayos'!K82&gt;0,J2,""))</f>
        <v/>
      </c>
      <c r="G22" s="991" t="str">
        <f>IF($B$22="ESCONDER","ESCONDER"," ")</f>
        <v xml:space="preserve"> </v>
      </c>
      <c r="H22" s="769"/>
      <c r="I22" s="1010" t="str">
        <f>IF(OR('Identificación del Instrumento'!B22="Balanza tipo tolva",'Identificación del Instrumento'!B22="Balanza de carga directamente suspendida (de gancho)"),"&lt;=== Esconder fila 'Excentricidad' "," ")</f>
        <v xml:space="preserve"> </v>
      </c>
      <c r="J22" s="988"/>
      <c r="K22" s="988"/>
      <c r="L22" s="988"/>
      <c r="M22" s="988"/>
      <c r="N22" s="988"/>
      <c r="O22" s="834"/>
      <c r="P22" s="54"/>
      <c r="Q22" s="54"/>
      <c r="R22" s="54"/>
      <c r="S22" s="54"/>
    </row>
    <row r="23" spans="1:27" ht="15" customHeight="1" x14ac:dyDescent="0.25">
      <c r="A23" s="714" t="s">
        <v>498</v>
      </c>
      <c r="B23" s="1003" t="s">
        <v>499</v>
      </c>
      <c r="C23" s="769"/>
      <c r="D23" s="991" t="str">
        <f>IF(ISNUMBER('Datos de Ensayos'!$N$135),IF(('Datos de Ensayos'!$N$135=0),J2,""),"")</f>
        <v>Ö</v>
      </c>
      <c r="E23" s="769"/>
      <c r="F23" s="69" t="str">
        <f>IF(ISNUMBER('Datos de Ensayos'!$N$135),IF(('Datos de Ensayos'!$N$135=1),J2,""),J2)</f>
        <v/>
      </c>
      <c r="G23" s="991"/>
      <c r="H23" s="769"/>
      <c r="I23" s="53"/>
      <c r="J23" s="1008"/>
      <c r="K23" s="988"/>
      <c r="L23" s="37"/>
      <c r="M23" s="7"/>
      <c r="N23" s="7"/>
    </row>
    <row r="24" spans="1:27" ht="15" customHeight="1" x14ac:dyDescent="0.25">
      <c r="A24" s="715" t="str">
        <f>IF('Identificación del Instrumento'!F23="Mecánica","14.2.1.1.","14.2.2.1.2.")</f>
        <v>14.2.2.1.2.</v>
      </c>
      <c r="B24" s="987" t="s">
        <v>500</v>
      </c>
      <c r="C24" s="769"/>
      <c r="D24" s="991" t="str">
        <f>+IF(AND(COUNTA('Datos de Ensayos'!E61:E63)=3,'Datos de Ensayos'!K61="si",'Datos de Ensayos'!K62="si",'Datos de Ensayos'!K63="si"),J2,"")</f>
        <v>Ö</v>
      </c>
      <c r="E24" s="769"/>
      <c r="F24" s="69" t="str">
        <f>+IF(OR(COUNTA('Datos de Ensayos'!E61:E63)&lt;3,'Datos de Ensayos'!K61="no",'Datos de Ensayos'!K62="no",'Datos de Ensayos'!K63="no"),J2,"")</f>
        <v/>
      </c>
      <c r="G24" s="991"/>
      <c r="H24" s="769"/>
      <c r="I24" s="53"/>
      <c r="J24" s="1008"/>
      <c r="K24" s="988"/>
      <c r="L24" s="1007"/>
      <c r="M24" s="988"/>
      <c r="N24" s="988"/>
      <c r="O24" s="834"/>
      <c r="P24" s="988"/>
      <c r="Q24" s="988"/>
      <c r="R24" s="988"/>
      <c r="S24" s="988"/>
      <c r="T24" s="988"/>
    </row>
    <row r="25" spans="1:27" ht="28.5" customHeight="1" x14ac:dyDescent="0.25">
      <c r="A25" s="714" t="s">
        <v>501</v>
      </c>
      <c r="B25" s="987" t="s">
        <v>502</v>
      </c>
      <c r="C25" s="769"/>
      <c r="D25" s="991" t="str">
        <f>+IF('Datos de Ensayos'!G56="no supera",$J$2,"")</f>
        <v>Ö</v>
      </c>
      <c r="E25" s="769"/>
      <c r="F25" s="69" t="str">
        <f>+IF('Datos de Ensayos'!G56="supera",J2,"")</f>
        <v/>
      </c>
      <c r="G25" s="991" t="str">
        <f>+IF('Datos de Ensayos'!G56="x",J2,"")</f>
        <v/>
      </c>
      <c r="H25" s="769"/>
      <c r="I25" s="53"/>
      <c r="J25" s="54"/>
      <c r="K25" s="54"/>
      <c r="L25" s="37"/>
      <c r="M25" s="1007"/>
      <c r="N25" s="988"/>
      <c r="O25" s="834"/>
      <c r="P25" s="988"/>
      <c r="Q25" s="988"/>
      <c r="R25" s="988"/>
      <c r="S25" s="988"/>
      <c r="T25" s="988"/>
    </row>
    <row r="26" spans="1:27" ht="28.5" customHeight="1" x14ac:dyDescent="0.25">
      <c r="A26" s="996" t="s">
        <v>503</v>
      </c>
      <c r="B26" s="768"/>
      <c r="C26" s="769"/>
      <c r="D26" s="991" t="str">
        <f>$J$2</f>
        <v>Ö</v>
      </c>
      <c r="E26" s="769"/>
      <c r="F26" s="69" t="str">
        <f>+IF('Datos de Ensayos'!G57="supera",J3,"")</f>
        <v/>
      </c>
      <c r="G26" s="991" t="str">
        <f>+IF('Datos de Ensayos'!G57="x",J3,"")</f>
        <v/>
      </c>
      <c r="H26" s="769"/>
      <c r="I26" s="53"/>
      <c r="J26" s="54"/>
      <c r="K26" s="54"/>
      <c r="L26" s="37"/>
      <c r="M26" s="170"/>
      <c r="N26" s="170"/>
      <c r="O26" s="170"/>
      <c r="P26" s="170"/>
      <c r="Q26" s="170"/>
      <c r="R26" s="170"/>
      <c r="S26" s="170"/>
      <c r="T26" s="170"/>
    </row>
    <row r="27" spans="1:27" ht="21.75" customHeight="1" x14ac:dyDescent="0.25">
      <c r="A27" s="1005" t="str">
        <f>IF(COUNTBLANK(F20:F25)=6,"La balanza satisface los requisitos reglamentarios.","La balanza no satisface los requisitos reglamentarios.")</f>
        <v>La balanza satisface los requisitos reglamentarios.</v>
      </c>
      <c r="B27" s="988"/>
      <c r="C27" s="988"/>
      <c r="D27" s="989"/>
      <c r="E27" s="990"/>
      <c r="F27" s="988"/>
      <c r="G27" s="988"/>
      <c r="H27" s="990"/>
      <c r="I27" s="53"/>
      <c r="J27" s="54"/>
      <c r="K27" s="54"/>
      <c r="L27" s="37"/>
      <c r="M27" s="7"/>
      <c r="N27" s="7"/>
    </row>
    <row r="28" spans="1:27" ht="15" customHeight="1" x14ac:dyDescent="0.25">
      <c r="A28" s="1004" t="str">
        <f>CONCATENATE("Fecha de la verificación:  ")</f>
        <v xml:space="preserve">Fecha de la verificación:  </v>
      </c>
      <c r="B28" s="988"/>
      <c r="C28" s="988"/>
      <c r="D28" s="998" t="str">
        <f>'Identificación del Instrumento'!J2</f>
        <v>20 de noviembre de 2025</v>
      </c>
      <c r="E28" s="990"/>
      <c r="F28" s="988"/>
      <c r="G28" s="998"/>
      <c r="H28" s="990"/>
      <c r="M28" s="14"/>
    </row>
    <row r="29" spans="1:27" ht="15" customHeight="1" x14ac:dyDescent="0.25">
      <c r="A29" s="1004" t="str">
        <f>CONCATENATE("Fecha de emisión:  ")</f>
        <v xml:space="preserve">Fecha de emisión:  </v>
      </c>
      <c r="B29" s="988"/>
      <c r="C29" s="988"/>
      <c r="D29" s="998">
        <f ca="1">TODAY()</f>
        <v>45995</v>
      </c>
      <c r="E29" s="990"/>
      <c r="F29" s="988"/>
      <c r="G29" s="988"/>
      <c r="H29" s="990"/>
      <c r="M29" s="14"/>
    </row>
    <row r="30" spans="1:27" ht="15.75" hidden="1" customHeight="1" x14ac:dyDescent="0.25">
      <c r="A30" s="1004" t="str">
        <f>CONCATENATE("Fecha de vencimiento:  ")</f>
        <v xml:space="preserve">Fecha de vencimiento:  </v>
      </c>
      <c r="B30" s="988"/>
      <c r="C30" s="988"/>
      <c r="D30" s="998" t="str">
        <f>'Identificación del Instrumento'!J3</f>
        <v>20 de noviembre de 2027</v>
      </c>
      <c r="E30" s="990"/>
      <c r="F30" s="988"/>
      <c r="G30" s="988"/>
      <c r="H30" s="990"/>
      <c r="M30" s="14"/>
    </row>
    <row r="31" spans="1:27" ht="16.5" customHeight="1" x14ac:dyDescent="0.25">
      <c r="A31" s="68" t="s">
        <v>504</v>
      </c>
      <c r="B31" s="67"/>
      <c r="C31" s="67"/>
      <c r="D31" s="70"/>
      <c r="E31" s="70"/>
      <c r="F31" s="70"/>
      <c r="G31" s="70"/>
      <c r="H31" s="70"/>
      <c r="M31" s="14"/>
    </row>
    <row r="32" spans="1:27" ht="41.25" customHeight="1" x14ac:dyDescent="0.25">
      <c r="A32" s="1013" t="s">
        <v>505</v>
      </c>
      <c r="B32" s="988"/>
      <c r="C32" s="988"/>
      <c r="D32" s="989"/>
      <c r="E32" s="990"/>
      <c r="F32" s="988"/>
      <c r="G32" s="988"/>
      <c r="H32" s="990"/>
      <c r="M32" s="14"/>
    </row>
    <row r="33" spans="1:15" ht="20.100000000000001" customHeight="1" x14ac:dyDescent="0.25">
      <c r="A33" s="213" t="s">
        <v>506</v>
      </c>
      <c r="B33" s="994" t="str">
        <f>IF(ISBLANK('Identificación del Instrumento'!$C$14),"",'Identificación del Instrumento'!$C$14)</f>
        <v>Marolio S.A.</v>
      </c>
      <c r="C33" s="988"/>
      <c r="D33" s="989"/>
      <c r="E33" s="990"/>
      <c r="F33" s="988"/>
      <c r="G33" s="988"/>
      <c r="H33" s="990"/>
      <c r="I33" s="6"/>
      <c r="J33" s="13"/>
      <c r="K33" s="13"/>
      <c r="L33" s="13"/>
      <c r="M33" s="13"/>
      <c r="N33" s="13"/>
    </row>
    <row r="34" spans="1:15" ht="20.100000000000001" customHeight="1" x14ac:dyDescent="0.25">
      <c r="A34" s="13"/>
      <c r="B34" s="994" t="str">
        <f>IF(ISBLANK('Identificación del Instrumento'!$B$15),"",'Identificación del Instrumento'!$B$15)</f>
        <v>Empedrado 2531 - Ciudad Autónoma de Buenos Aires - Buenos Aires</v>
      </c>
      <c r="C34" s="988"/>
      <c r="D34" s="989"/>
      <c r="E34" s="990"/>
      <c r="F34" s="988"/>
      <c r="G34" s="988"/>
      <c r="H34" s="990"/>
      <c r="I34" s="6"/>
      <c r="J34" s="13"/>
      <c r="K34" s="13"/>
      <c r="L34" s="13"/>
      <c r="M34" s="13"/>
      <c r="N34" s="13"/>
    </row>
    <row r="35" spans="1:15" ht="20.100000000000001" customHeight="1" x14ac:dyDescent="0.25">
      <c r="A35" s="13"/>
      <c r="B35" s="999" t="str">
        <f>CONCATENATE('Datos de Ensayos'!$E$9,IF('Identificación del Instrumento'!F16="Ciudad Autónoma de Buenos Aires",""," - Provincia de "),'Datos de Ensayos'!$I$9)</f>
        <v>Ciudad Autónoma de Buenos Aires</v>
      </c>
      <c r="C35" s="988"/>
      <c r="D35" s="989"/>
      <c r="E35" s="990"/>
      <c r="F35" s="988"/>
      <c r="G35" s="988"/>
      <c r="H35" s="990"/>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507</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508</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995" t="s">
        <v>509</v>
      </c>
      <c r="B89" s="988"/>
      <c r="C89" s="988"/>
      <c r="D89" s="989"/>
      <c r="E89" s="990"/>
      <c r="F89" s="988"/>
      <c r="G89" s="988"/>
      <c r="H89" s="990"/>
      <c r="N89" s="16"/>
      <c r="O89" s="1"/>
    </row>
    <row r="90" spans="1:15" x14ac:dyDescent="0.2">
      <c r="A90" s="988"/>
      <c r="B90" s="988"/>
      <c r="C90" s="988"/>
      <c r="D90" s="989"/>
      <c r="E90" s="990"/>
      <c r="F90" s="988"/>
      <c r="G90" s="988"/>
      <c r="H90" s="990"/>
      <c r="N90" s="16"/>
      <c r="O90" s="1"/>
    </row>
    <row r="91" spans="1:15" x14ac:dyDescent="0.2">
      <c r="A91" s="988"/>
      <c r="B91" s="988"/>
      <c r="C91" s="988"/>
      <c r="D91" s="989"/>
      <c r="E91" s="990"/>
      <c r="F91" s="988"/>
      <c r="G91" s="988"/>
      <c r="H91" s="990"/>
      <c r="N91" s="16"/>
      <c r="O91" s="1"/>
    </row>
    <row r="92" spans="1:15" x14ac:dyDescent="0.2">
      <c r="A92" s="988"/>
      <c r="B92" s="988"/>
      <c r="C92" s="988"/>
      <c r="D92" s="989"/>
      <c r="E92" s="990"/>
      <c r="F92" s="988"/>
      <c r="G92" s="988"/>
      <c r="H92" s="990"/>
      <c r="N92" s="16"/>
      <c r="O92" s="1"/>
    </row>
    <row r="93" spans="1:15" x14ac:dyDescent="0.2">
      <c r="A93" s="988"/>
      <c r="B93" s="988"/>
      <c r="C93" s="988"/>
      <c r="D93" s="989"/>
      <c r="E93" s="990"/>
      <c r="F93" s="988"/>
      <c r="G93" s="988"/>
      <c r="H93" s="990"/>
      <c r="N93" s="16"/>
      <c r="O93" s="1"/>
    </row>
    <row r="94" spans="1:15" x14ac:dyDescent="0.2">
      <c r="A94" s="988"/>
      <c r="B94" s="988"/>
      <c r="C94" s="988"/>
      <c r="D94" s="989"/>
      <c r="E94" s="990"/>
      <c r="F94" s="988"/>
      <c r="G94" s="988"/>
      <c r="H94" s="990"/>
      <c r="N94" s="16"/>
      <c r="O94" s="1"/>
    </row>
    <row r="95" spans="1:15" x14ac:dyDescent="0.2">
      <c r="A95" s="995" t="s">
        <v>510</v>
      </c>
      <c r="B95" s="988"/>
      <c r="C95" s="988"/>
      <c r="D95" s="989"/>
      <c r="E95" s="990"/>
      <c r="F95" s="988"/>
      <c r="G95" s="988"/>
      <c r="H95" s="990"/>
      <c r="N95" s="16"/>
      <c r="O95" s="1"/>
    </row>
    <row r="96" spans="1:15" x14ac:dyDescent="0.2">
      <c r="A96" s="988"/>
      <c r="B96" s="988"/>
      <c r="C96" s="988"/>
      <c r="D96" s="989"/>
      <c r="E96" s="990"/>
      <c r="F96" s="988"/>
      <c r="G96" s="988"/>
      <c r="H96" s="990"/>
      <c r="N96" s="16"/>
      <c r="O96" s="1"/>
    </row>
    <row r="97" spans="1:15" x14ac:dyDescent="0.2">
      <c r="A97" s="988"/>
      <c r="B97" s="988"/>
      <c r="C97" s="988"/>
      <c r="D97" s="989"/>
      <c r="E97" s="990"/>
      <c r="F97" s="988"/>
      <c r="G97" s="988"/>
      <c r="H97" s="990"/>
      <c r="N97" s="16"/>
      <c r="O97" s="1"/>
    </row>
    <row r="98" spans="1:15" x14ac:dyDescent="0.2">
      <c r="A98" s="988"/>
      <c r="B98" s="988"/>
      <c r="C98" s="988"/>
      <c r="D98" s="989"/>
      <c r="E98" s="990"/>
      <c r="F98" s="988"/>
      <c r="G98" s="988"/>
      <c r="H98" s="990"/>
      <c r="N98" s="16"/>
      <c r="O98" s="1"/>
    </row>
    <row r="99" spans="1:15" x14ac:dyDescent="0.2">
      <c r="A99" s="988"/>
      <c r="B99" s="988"/>
      <c r="C99" s="988"/>
      <c r="D99" s="989"/>
      <c r="E99" s="990"/>
      <c r="F99" s="988"/>
      <c r="G99" s="988"/>
      <c r="H99" s="990"/>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 ref="A4:H4"/>
    <mergeCell ref="G20:H20"/>
    <mergeCell ref="D24:E24"/>
    <mergeCell ref="A10:H10"/>
    <mergeCell ref="A13:H13"/>
    <mergeCell ref="M25:T25"/>
    <mergeCell ref="A19:C19"/>
    <mergeCell ref="J20:K20"/>
    <mergeCell ref="N15:S15"/>
    <mergeCell ref="G24:H24"/>
    <mergeCell ref="J21:K21"/>
    <mergeCell ref="I22:O22"/>
    <mergeCell ref="J23:K23"/>
    <mergeCell ref="L24:T24"/>
    <mergeCell ref="J24:K24"/>
    <mergeCell ref="D25:E25"/>
    <mergeCell ref="A29:C29"/>
    <mergeCell ref="A27:H27"/>
    <mergeCell ref="A18:H18"/>
    <mergeCell ref="A28:C28"/>
    <mergeCell ref="A12:H12"/>
    <mergeCell ref="A14:H14"/>
    <mergeCell ref="D19:E19"/>
    <mergeCell ref="B25:C2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N5:S5"/>
    <mergeCell ref="B22:C22"/>
    <mergeCell ref="A11:H11"/>
    <mergeCell ref="D22:E22"/>
    <mergeCell ref="G23:H23"/>
    <mergeCell ref="C17:H17"/>
    <mergeCell ref="G5:H5"/>
    <mergeCell ref="A9:H9"/>
    <mergeCell ref="D20:E20"/>
    <mergeCell ref="G21:H21"/>
    <mergeCell ref="A15:H15"/>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3" header="0.59055118110236227" footer="1.1811023622047245"/>
  <pageSetup paperSize="9" scale="8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6" customWidth="1"/>
    <col min="10" max="10" width="18.28515625" style="716" customWidth="1"/>
    <col min="11" max="12" width="17" style="716" customWidth="1"/>
  </cols>
  <sheetData>
    <row r="1" spans="1:12" s="26" customFormat="1" ht="75" customHeight="1" x14ac:dyDescent="0.25">
      <c r="A1" s="722" t="s">
        <v>511</v>
      </c>
      <c r="B1" s="722" t="s">
        <v>512</v>
      </c>
      <c r="C1" s="722" t="s">
        <v>513</v>
      </c>
      <c r="D1" s="722" t="s">
        <v>514</v>
      </c>
      <c r="E1" s="722" t="s">
        <v>515</v>
      </c>
      <c r="F1" s="722" t="s">
        <v>516</v>
      </c>
      <c r="G1" s="722" t="s">
        <v>517</v>
      </c>
      <c r="H1" s="722" t="s">
        <v>518</v>
      </c>
      <c r="I1" s="722" t="s">
        <v>519</v>
      </c>
      <c r="J1" s="722" t="s">
        <v>520</v>
      </c>
      <c r="K1" s="722" t="s">
        <v>521</v>
      </c>
      <c r="L1" s="721" t="s">
        <v>522</v>
      </c>
    </row>
    <row r="2" spans="1:12" s="26" customFormat="1" ht="138" customHeight="1" x14ac:dyDescent="0.2">
      <c r="A2" s="723" t="str">
        <f>'Identificación del Instrumento'!B33</f>
        <v>Básculas Casado S.R.L..</v>
      </c>
      <c r="B2" s="723" t="str">
        <f>'Identificación del Instrumento'!B34</f>
        <v>30-71107332-5</v>
      </c>
      <c r="C2" s="724" t="s">
        <v>523</v>
      </c>
      <c r="D2" s="725" t="str">
        <f>+Informe!A6</f>
        <v>Instrumento:  Balanza para pesar camiones, de capacidad máxima 80000 kg, mínima división 20 kg, clase III, de tipo electrónica.</v>
      </c>
      <c r="E2" s="725" t="str">
        <f>Informe!A8</f>
        <v>Marca: BIANCHETTI</v>
      </c>
      <c r="F2" s="725" t="str">
        <f>Informe!A9</f>
        <v>Modelo:  Receptor: TruckTRONIX 8020 / Indicador: PB 10.000</v>
      </c>
      <c r="G2" s="725" t="str">
        <f>Informe!A11</f>
        <v>Origen: Argentina</v>
      </c>
      <c r="H2" s="725" t="str">
        <f>Informe!A10</f>
        <v>Número de serie:  Receptor: 28082017214 / Indicador: 28082017215</v>
      </c>
      <c r="I2" s="725" t="str">
        <f>Informe!A16</f>
        <v>Lugar de instalación: Zona de pesaje - RUTA PROVINCIAL Nº 20 S/N de la localidad de COSTA DE ARAUJO, provincia de Mendoza.</v>
      </c>
      <c r="J2" s="726" t="s">
        <v>523</v>
      </c>
      <c r="K2" s="725" t="s">
        <v>524</v>
      </c>
      <c r="L2" s="725"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14" t="s">
        <v>525</v>
      </c>
      <c r="G1" s="834"/>
      <c r="H1" s="1016">
        <f ca="1">TODAY()</f>
        <v>45995</v>
      </c>
      <c r="I1" s="834"/>
    </row>
    <row r="2" spans="1:20" x14ac:dyDescent="0.2">
      <c r="F2" s="1014" t="s">
        <v>526</v>
      </c>
      <c r="G2" s="834"/>
      <c r="H2" s="1015" t="str">
        <f>+Informe!D30</f>
        <v>20 de noviembre de 2027</v>
      </c>
      <c r="I2" s="834"/>
    </row>
    <row r="4" spans="1:20" x14ac:dyDescent="0.2">
      <c r="M4" s="997"/>
      <c r="N4" s="834"/>
      <c r="O4" s="834"/>
      <c r="P4" s="834"/>
      <c r="Q4" s="834"/>
      <c r="R4" s="834"/>
      <c r="S4" s="834"/>
      <c r="T4" s="834"/>
    </row>
    <row r="8" spans="1:20" ht="39" customHeight="1" x14ac:dyDescent="0.2">
      <c r="A8" s="1019" t="s">
        <v>527</v>
      </c>
      <c r="B8" s="834"/>
      <c r="C8" s="834"/>
      <c r="D8" s="834"/>
      <c r="E8" s="834"/>
      <c r="F8" s="834"/>
      <c r="G8" s="834"/>
      <c r="H8" s="834"/>
      <c r="I8" s="834"/>
    </row>
    <row r="9" spans="1:20" hidden="1" x14ac:dyDescent="0.2"/>
    <row r="10" spans="1:20" hidden="1" x14ac:dyDescent="0.2"/>
    <row r="11" spans="1:20" hidden="1" x14ac:dyDescent="0.2"/>
    <row r="12" spans="1:20" ht="105.75" customHeight="1" x14ac:dyDescent="0.2">
      <c r="A12" s="788"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Básculas Casado S.R.L.., C.U.I.T. Nº 30-71107332-5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34"/>
      <c r="C12" s="834"/>
      <c r="D12" s="834"/>
      <c r="E12" s="834"/>
      <c r="F12" s="834"/>
      <c r="G12" s="834"/>
      <c r="H12" s="834"/>
      <c r="I12" s="834"/>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528</v>
      </c>
    </row>
    <row r="21" spans="1:3" ht="15" customHeight="1" x14ac:dyDescent="0.2">
      <c r="A21" s="416" t="s">
        <v>529</v>
      </c>
      <c r="B21" s="416"/>
    </row>
    <row r="22" spans="1:3" ht="15" customHeight="1" x14ac:dyDescent="0.2">
      <c r="A22" s="416"/>
      <c r="B22" s="416" t="s">
        <v>530</v>
      </c>
      <c r="C22" s="36">
        <f>'Identificación del Instrumento'!D29</f>
        <v>80000</v>
      </c>
    </row>
    <row r="23" spans="1:3" ht="15" customHeight="1" x14ac:dyDescent="0.2">
      <c r="A23" s="416"/>
      <c r="B23" s="416" t="s">
        <v>531</v>
      </c>
      <c r="C23" s="36">
        <f>'Identificación del Instrumento'!F29</f>
        <v>1000</v>
      </c>
    </row>
    <row r="24" spans="1:3" ht="15" customHeight="1" x14ac:dyDescent="0.2">
      <c r="A24" s="416"/>
      <c r="B24" s="416" t="s">
        <v>532</v>
      </c>
      <c r="C24" s="36">
        <f>'Identificación del Instrumento'!B30</f>
        <v>20</v>
      </c>
    </row>
    <row r="25" spans="1:3" ht="15" customHeight="1" x14ac:dyDescent="0.2">
      <c r="A25" s="416"/>
      <c r="B25" s="416" t="s">
        <v>365</v>
      </c>
      <c r="C25" s="717"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533</v>
      </c>
      <c r="B27" s="36" t="str">
        <f>+Informe!B33</f>
        <v>Marolio S.A.</v>
      </c>
    </row>
    <row r="28" spans="1:3" ht="15" customHeight="1" x14ac:dyDescent="0.2">
      <c r="A28" s="416" t="s">
        <v>534</v>
      </c>
      <c r="B28" s="416" t="s">
        <v>535</v>
      </c>
    </row>
    <row r="29" spans="1:3" ht="15" customHeight="1" x14ac:dyDescent="0.2">
      <c r="A29" s="416" t="s">
        <v>536</v>
      </c>
      <c r="B29" t="str">
        <f>Informe!D28</f>
        <v>20 de noviembre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537</v>
      </c>
      <c r="B33" s="416" t="s">
        <v>538</v>
      </c>
    </row>
    <row r="34" spans="1:9" ht="15" customHeight="1" x14ac:dyDescent="0.2">
      <c r="A34" s="416" t="s">
        <v>539</v>
      </c>
      <c r="B34" s="416" t="s">
        <v>538</v>
      </c>
    </row>
    <row r="35" spans="1:9" ht="15" customHeight="1" x14ac:dyDescent="0.2">
      <c r="A35" s="416" t="s">
        <v>540</v>
      </c>
      <c r="B35" s="416" t="s">
        <v>538</v>
      </c>
    </row>
    <row r="36" spans="1:9" ht="31.5" customHeight="1" x14ac:dyDescent="0.2">
      <c r="A36" s="416" t="s">
        <v>541</v>
      </c>
      <c r="B36" s="1017" t="str">
        <f>+Informe!A15</f>
        <v>Precintos Nº: Placa identificatoria del receptor (a) N03475, Placa identificatoria del indicador (a) N03474, Indicador (a) B79341, B79342 (05/11/25), Caja de ecualización (a) B739443, B79344 (05/11/25) y Verificado (a) 1104924 (05/11/25).</v>
      </c>
      <c r="C36" s="834"/>
      <c r="D36" s="834"/>
      <c r="E36" s="834"/>
      <c r="F36" s="834"/>
      <c r="G36" s="834"/>
      <c r="H36" s="834"/>
      <c r="I36" s="834"/>
    </row>
    <row r="37" spans="1:9" ht="15" customHeight="1" x14ac:dyDescent="0.2">
      <c r="A37" s="416" t="s">
        <v>542</v>
      </c>
      <c r="B37" s="1018" t="s">
        <v>543</v>
      </c>
      <c r="C37" s="834"/>
      <c r="D37" s="834"/>
      <c r="E37" s="834"/>
      <c r="F37" s="834"/>
      <c r="G37" s="834"/>
      <c r="H37" s="834"/>
      <c r="I37" s="834"/>
    </row>
    <row r="38" spans="1:9" ht="15" customHeight="1" x14ac:dyDescent="0.2">
      <c r="A38" s="416" t="s">
        <v>544</v>
      </c>
      <c r="B38" s="718"/>
    </row>
    <row r="41" spans="1:9" x14ac:dyDescent="0.2">
      <c r="H41" s="416" t="s">
        <v>545</v>
      </c>
    </row>
    <row r="50" spans="1:8" x14ac:dyDescent="0.2">
      <c r="A50" s="997"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34"/>
      <c r="C50" s="834"/>
      <c r="D50" s="834"/>
      <c r="E50" s="834"/>
      <c r="F50" s="834"/>
      <c r="G50" s="834"/>
      <c r="H50" s="834"/>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22" t="s">
        <v>546</v>
      </c>
      <c r="K10" s="829"/>
      <c r="L10" s="1025" t="s">
        <v>495</v>
      </c>
      <c r="M10" s="840"/>
      <c r="N10" s="840"/>
      <c r="O10" s="840"/>
      <c r="P10" s="840"/>
      <c r="Q10" s="851"/>
      <c r="R10" s="560"/>
      <c r="S10" s="560"/>
      <c r="T10" s="560"/>
      <c r="U10" s="560"/>
    </row>
    <row r="11" spans="1:31" ht="15" hidden="1" customHeight="1" x14ac:dyDescent="0.2">
      <c r="A11" s="573"/>
      <c r="B11" s="573"/>
      <c r="C11" s="573"/>
      <c r="D11" s="573"/>
      <c r="E11" s="573"/>
      <c r="F11" s="573"/>
      <c r="G11" s="573"/>
      <c r="H11" s="573"/>
      <c r="J11" s="821"/>
      <c r="K11" s="843"/>
    </row>
    <row r="12" spans="1:31" ht="15" hidden="1" customHeight="1" x14ac:dyDescent="0.2">
      <c r="A12" s="573"/>
      <c r="B12" s="573"/>
      <c r="C12" s="573"/>
      <c r="D12" s="573"/>
      <c r="E12" s="573"/>
      <c r="F12" s="573"/>
      <c r="G12" s="573"/>
      <c r="H12" s="573"/>
      <c r="J12" s="821"/>
      <c r="K12" s="843"/>
    </row>
    <row r="13" spans="1:31" ht="15" hidden="1" customHeight="1" x14ac:dyDescent="0.2">
      <c r="A13" s="573"/>
      <c r="B13" s="573"/>
      <c r="C13" s="573"/>
      <c r="D13" s="573"/>
      <c r="E13" s="573"/>
      <c r="F13" s="573"/>
      <c r="G13" s="573"/>
      <c r="H13" s="573"/>
      <c r="J13" s="821"/>
      <c r="K13" s="843"/>
      <c r="L13" s="67"/>
      <c r="M13" s="67"/>
      <c r="N13" s="67"/>
    </row>
    <row r="14" spans="1:31" ht="24" customHeight="1" thickBot="1" x14ac:dyDescent="0.3">
      <c r="A14" s="1029" t="str">
        <f>IF('Acta Verificación '!A31="¡LA BALANZA NO CUMPLE!"," ACTA ","NO IMPRIMIR")</f>
        <v>NO IMPRIMIR</v>
      </c>
      <c r="B14" s="834"/>
      <c r="C14" s="834"/>
      <c r="D14" s="834"/>
      <c r="E14" s="834"/>
      <c r="F14" s="834"/>
      <c r="G14" s="834"/>
      <c r="H14" s="834"/>
      <c r="J14" s="864"/>
      <c r="K14" s="836"/>
      <c r="L14" s="1021"/>
      <c r="M14" s="840"/>
      <c r="N14" s="840"/>
      <c r="O14" s="840"/>
      <c r="P14" s="840"/>
      <c r="Q14" s="851"/>
    </row>
    <row r="15" spans="1:31" ht="15" customHeight="1" thickBot="1" x14ac:dyDescent="0.25">
      <c r="A15" s="574"/>
      <c r="B15" s="574"/>
      <c r="C15" s="574"/>
      <c r="D15" s="574"/>
      <c r="E15" s="574"/>
      <c r="F15" s="574"/>
      <c r="G15" s="574"/>
      <c r="H15" s="574"/>
      <c r="AB15" s="663" t="s">
        <v>502</v>
      </c>
      <c r="AC15" s="663" t="str">
        <f t="shared" ref="AC15:AC28" si="0">CONCATENATE("NO CUMPLE con el ",AD15, " ",AE15)</f>
        <v>NO CUMPLE con el punto A.3.2.2  de la Resolución S.C. y N.E.I. Nº 2307/80 (Efecto máximo del dispositivo de puesta a cero).</v>
      </c>
      <c r="AD15" s="663" t="s">
        <v>547</v>
      </c>
      <c r="AE15" s="663" t="s">
        <v>548</v>
      </c>
    </row>
    <row r="16" spans="1:31" ht="15" customHeight="1" thickBot="1" x14ac:dyDescent="0.3">
      <c r="A16" s="957" t="str">
        <f>CONCATENATE("O.T. Nº: ",'Identificación del Instrumento'!B4,"           ",'Identificación del Instrumento'!A5,"  ",'Identificación del Instrumento'!B5)</f>
        <v>O.T. Nº: 307-64088           VPE Nº:  93084</v>
      </c>
      <c r="B16" s="834"/>
      <c r="C16" s="834"/>
      <c r="D16" s="834"/>
      <c r="E16" s="834"/>
      <c r="F16" s="834"/>
      <c r="G16" s="574"/>
      <c r="H16" s="574"/>
      <c r="J16" s="543" t="s">
        <v>413</v>
      </c>
      <c r="S16" s="1027" t="s">
        <v>549</v>
      </c>
      <c r="T16" s="829"/>
      <c r="V16" s="515" t="s">
        <v>415</v>
      </c>
      <c r="W16" s="515"/>
      <c r="X16" s="442"/>
      <c r="Y16" s="443"/>
      <c r="AB16" s="663" t="s">
        <v>495</v>
      </c>
      <c r="AC16" s="663" t="str">
        <f t="shared" si="0"/>
        <v>NO CUMPLE con el punto 9.1.1 de la Resolución S.C. y N.E.I. Nº 2307/80 (Errores de indicación)</v>
      </c>
      <c r="AD16" s="663" t="s">
        <v>550</v>
      </c>
      <c r="AE16" s="663" t="s">
        <v>551</v>
      </c>
    </row>
    <row r="17" spans="1:31" ht="15" customHeight="1" thickBot="1" x14ac:dyDescent="0.25">
      <c r="A17" s="574"/>
      <c r="B17" s="574"/>
      <c r="C17" s="574"/>
      <c r="D17" s="574"/>
      <c r="E17" s="574"/>
      <c r="F17" s="574"/>
      <c r="G17" s="574"/>
      <c r="H17" s="574"/>
      <c r="S17" s="864"/>
      <c r="T17" s="836"/>
      <c r="V17" s="514"/>
      <c r="W17" s="514"/>
      <c r="X17" s="335"/>
      <c r="Y17" s="444"/>
      <c r="AB17" s="663" t="s">
        <v>499</v>
      </c>
      <c r="AC17" s="663" t="str">
        <f t="shared" si="0"/>
        <v>NO CUMPLE con el punto 14.1.2 de la Resolución S.C. y N.E.I. Nº 2307/80 (Fidelidad).</v>
      </c>
      <c r="AD17" s="663" t="s">
        <v>552</v>
      </c>
      <c r="AE17" s="663" t="s">
        <v>553</v>
      </c>
    </row>
    <row r="18" spans="1:31" ht="15" customHeight="1" thickBot="1" x14ac:dyDescent="0.25">
      <c r="A18" s="953" t="str">
        <f>IF($J$28=6,CONCATENATE($N$3,$N$4),"¡Completar datos del acta!")</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1"/>
      <c r="C18" s="781"/>
      <c r="D18" s="781"/>
      <c r="E18" s="781"/>
      <c r="F18" s="781"/>
      <c r="G18" s="781"/>
      <c r="H18" s="781"/>
      <c r="J18" s="1028" t="s">
        <v>554</v>
      </c>
      <c r="K18" s="941"/>
      <c r="L18" s="942"/>
      <c r="M18" s="564" t="s">
        <v>417</v>
      </c>
      <c r="N18" s="565"/>
      <c r="O18" s="565"/>
      <c r="P18" s="565"/>
      <c r="Q18" s="565"/>
      <c r="S18" s="544" t="s">
        <v>418</v>
      </c>
      <c r="T18" s="545" t="str">
        <f>IF(COUNTA('Datos de Ensayos'!$E$4)=1,'Datos de Ensayos'!$E$4,"")</f>
        <v>Tco. Pablo Javier Siklosi A.</v>
      </c>
      <c r="V18" s="512" t="s">
        <v>419</v>
      </c>
      <c r="W18" s="516" t="s">
        <v>555</v>
      </c>
      <c r="X18" s="335"/>
      <c r="Y18" s="444"/>
      <c r="AB18" s="663" t="s">
        <v>556</v>
      </c>
      <c r="AC18" s="663" t="str">
        <f t="shared" si="0"/>
        <v>NO CUMPLE con el punto 14.2.1.1 de la Resolución S.C. y N.E.I. Nº 2307/80 (Movilidad).</v>
      </c>
      <c r="AD18" s="663" t="s">
        <v>557</v>
      </c>
      <c r="AE18" s="663" t="s">
        <v>558</v>
      </c>
    </row>
    <row r="19" spans="1:31" ht="15" customHeight="1" thickBot="1" x14ac:dyDescent="0.25">
      <c r="A19" s="781"/>
      <c r="B19" s="781"/>
      <c r="C19" s="781"/>
      <c r="D19" s="781"/>
      <c r="E19" s="781"/>
      <c r="F19" s="781"/>
      <c r="G19" s="781"/>
      <c r="H19" s="781"/>
      <c r="J19" s="626"/>
      <c r="K19" s="1023" t="str">
        <f>'Acta Verificación '!K19:L19</f>
        <v>Sr. Nievas Aldo Dario</v>
      </c>
      <c r="L19" s="942"/>
      <c r="M19" s="564" t="s">
        <v>420</v>
      </c>
      <c r="N19" s="565"/>
      <c r="O19" s="565"/>
      <c r="P19" s="565"/>
      <c r="Q19" s="565"/>
      <c r="S19" s="546" t="s">
        <v>421</v>
      </c>
      <c r="T19" s="547" t="str">
        <f>IF($T$18&lt;&gt;"",VLOOKUP($T$18,'Datos de Ensayos'!$AC$3:$AF$34,2,FALSE),"")</f>
        <v>D.N.I. N° 24.705.518</v>
      </c>
      <c r="V19" s="512" t="s">
        <v>422</v>
      </c>
      <c r="W19" s="516" t="s">
        <v>559</v>
      </c>
      <c r="X19" s="335"/>
      <c r="Y19" s="444"/>
      <c r="AB19" s="663" t="s">
        <v>560</v>
      </c>
      <c r="AC19" s="663" t="str">
        <f t="shared" si="0"/>
        <v>NO CUMPLE con el punto 14.2.2.1.1 de la Resolución S.C. y N.E.I. Nº 2307/80 (Movilidad).</v>
      </c>
      <c r="AD19" s="663" t="s">
        <v>561</v>
      </c>
      <c r="AE19" s="663" t="s">
        <v>558</v>
      </c>
    </row>
    <row r="20" spans="1:31" ht="15" customHeight="1" thickBot="1" x14ac:dyDescent="0.25">
      <c r="A20" s="781"/>
      <c r="B20" s="781"/>
      <c r="C20" s="781"/>
      <c r="D20" s="781"/>
      <c r="E20" s="781"/>
      <c r="F20" s="781"/>
      <c r="G20" s="781"/>
      <c r="H20" s="781"/>
      <c r="J20" s="561" t="s">
        <v>419</v>
      </c>
      <c r="K20" s="1023" t="str">
        <f>'Acta Verificación '!K20:L20</f>
        <v>21.038.713</v>
      </c>
      <c r="L20" s="942"/>
      <c r="M20" s="564" t="s">
        <v>423</v>
      </c>
      <c r="N20" s="565"/>
      <c r="O20" s="565"/>
      <c r="P20" s="565"/>
      <c r="Q20" s="565"/>
      <c r="S20" s="546" t="s">
        <v>424</v>
      </c>
      <c r="T20" s="547" t="str">
        <f>IF($T$18&lt;&gt;"",VLOOKUP($T$18,'Datos de Ensayos'!$AC$3:$AF$34,3,FALSE),"")</f>
        <v>96</v>
      </c>
      <c r="V20" s="512" t="s">
        <v>425</v>
      </c>
      <c r="W20" s="516" t="s">
        <v>562</v>
      </c>
      <c r="X20" s="335"/>
      <c r="Y20" s="444"/>
      <c r="AB20" s="663" t="s">
        <v>563</v>
      </c>
      <c r="AC20" s="663" t="str">
        <f t="shared" si="0"/>
        <v>NO CUMPLE con el punto 14.2.2.1.2 de la Resolución S.C. y N.E.I. Nº 2307/80 (Movilidad).</v>
      </c>
      <c r="AD20" s="663" t="s">
        <v>564</v>
      </c>
      <c r="AE20" s="663" t="s">
        <v>558</v>
      </c>
    </row>
    <row r="21" spans="1:31" ht="15" customHeight="1" thickBot="1" x14ac:dyDescent="0.25">
      <c r="A21" s="781"/>
      <c r="B21" s="781"/>
      <c r="C21" s="781"/>
      <c r="D21" s="781"/>
      <c r="E21" s="781"/>
      <c r="F21" s="781"/>
      <c r="G21" s="781"/>
      <c r="H21" s="781"/>
      <c r="J21" s="1023" t="str">
        <f>'Acta Verificación '!J22:L22</f>
        <v xml:space="preserve">Jefe de mantenimiento </v>
      </c>
      <c r="K21" s="941"/>
      <c r="L21" s="942"/>
      <c r="M21" s="564" t="s">
        <v>429</v>
      </c>
      <c r="N21" s="565"/>
      <c r="O21" s="565"/>
      <c r="P21" s="565"/>
      <c r="Q21" s="565"/>
      <c r="S21" s="548" t="s">
        <v>565</v>
      </c>
      <c r="T21" s="549" t="str">
        <f>IF($T$18&lt;&gt;"",VLOOKUP($T$18,'Datos de Ensayos'!$AC$3:$AF$34,4,FALSE),"")</f>
        <v>519/05</v>
      </c>
      <c r="V21" s="512" t="s">
        <v>428</v>
      </c>
      <c r="W21" s="512"/>
      <c r="X21" s="335"/>
      <c r="Y21" s="444"/>
      <c r="AB21" s="663" t="s">
        <v>566</v>
      </c>
      <c r="AC21" s="663" t="str">
        <f t="shared" si="0"/>
        <v>NO CUMPLE con el punto 9.1.1 para el ensayo previsto en el punto 13.3, ambos de la Resolución S.C. y N.E.I. Nº 2307/80 (Excentricidad).</v>
      </c>
      <c r="AD21" s="663" t="s">
        <v>567</v>
      </c>
      <c r="AE21" s="663" t="s">
        <v>568</v>
      </c>
    </row>
    <row r="22" spans="1:31" ht="15" customHeight="1" thickBot="1" x14ac:dyDescent="0.25">
      <c r="A22" s="781"/>
      <c r="B22" s="781"/>
      <c r="C22" s="781"/>
      <c r="D22" s="781"/>
      <c r="E22" s="781"/>
      <c r="F22" s="781"/>
      <c r="G22" s="781"/>
      <c r="H22" s="781"/>
      <c r="J22" s="933" t="str">
        <f>CONCATENATE('Identificación del Instrumento'!$B$19,", de la localidad de ",'Identificación del Instrumento'!$B$20,", provincia de ",'Identificación del Instrumento'!$F$20)</f>
        <v>RUTA PROVINCIAL Nº 20 S/N, de la localidad de COSTA DE ARAUJO, provincia de Mendoza</v>
      </c>
      <c r="K22" s="840"/>
      <c r="L22" s="851"/>
      <c r="M22" s="566" t="s">
        <v>432</v>
      </c>
      <c r="N22" s="565"/>
      <c r="O22" s="565"/>
      <c r="P22" s="565"/>
      <c r="Q22" s="565"/>
      <c r="V22" s="513" t="s">
        <v>431</v>
      </c>
      <c r="W22" s="513"/>
      <c r="X22" s="344"/>
      <c r="Y22" s="345"/>
      <c r="AB22" s="663" t="s">
        <v>569</v>
      </c>
      <c r="AC22" s="663" t="str">
        <f t="shared" si="0"/>
        <v>NO CUMPLE con el punto 9.1.1. para el ensayo previsto en el punto 13.4.1 ambos de la Resolución S.C. y N.E.I. Nº 2307/80 (Excentricidad).</v>
      </c>
      <c r="AD22" s="663" t="s">
        <v>570</v>
      </c>
      <c r="AE22" s="663" t="s">
        <v>568</v>
      </c>
    </row>
    <row r="23" spans="1:31" ht="15" customHeight="1" thickBot="1" x14ac:dyDescent="0.25">
      <c r="A23" s="781"/>
      <c r="B23" s="781"/>
      <c r="C23" s="781"/>
      <c r="D23" s="781"/>
      <c r="E23" s="781"/>
      <c r="F23" s="781"/>
      <c r="G23" s="781"/>
      <c r="H23" s="781"/>
      <c r="J23" s="933" t="str">
        <f>IF(ISBLANK('Identificación del Instrumento'!$C$18),"",CONCATENATE('Identificación del Instrumento'!$C$18," de "))</f>
        <v xml:space="preserve">Zona de pesaje de </v>
      </c>
      <c r="K23" s="840"/>
      <c r="L23" s="851"/>
      <c r="M23" s="566" t="s">
        <v>433</v>
      </c>
      <c r="N23" s="565"/>
      <c r="O23" s="565"/>
      <c r="P23" s="565"/>
      <c r="Q23" s="565"/>
      <c r="AB23" s="663" t="s">
        <v>571</v>
      </c>
      <c r="AC23" s="663" t="str">
        <f t="shared" si="0"/>
        <v>NO CUMPLE con el punto 9.1.1.  para el ensayo previsto en el punto 13.4.2.1 ambos de la Resolución S.C. y N.E.I. Nº 2307/80 (Excentricidad).</v>
      </c>
      <c r="AD23" s="663" t="s">
        <v>572</v>
      </c>
      <c r="AE23" s="663" t="s">
        <v>568</v>
      </c>
    </row>
    <row r="24" spans="1:31" ht="15" customHeight="1" thickBot="1" x14ac:dyDescent="0.25">
      <c r="A24" s="781"/>
      <c r="B24" s="781"/>
      <c r="C24" s="781"/>
      <c r="D24" s="781"/>
      <c r="E24" s="781"/>
      <c r="F24" s="781"/>
      <c r="G24" s="781"/>
      <c r="H24" s="781"/>
      <c r="J24" s="933" t="str">
        <f>'Acta Verificación '!J25</f>
        <v>informe</v>
      </c>
      <c r="K24" s="840"/>
      <c r="L24" s="851"/>
      <c r="M24" s="1"/>
      <c r="AB24" s="663" t="s">
        <v>573</v>
      </c>
      <c r="AC24" s="663" t="str">
        <f t="shared" si="0"/>
        <v>NO CUMPLE con el punto 9.1.1  para el ensayo previsto en el punto 13.4.3 ambos de la Resolución S.C. y N.E.I. Nº 2307/80 (Excentricidad).</v>
      </c>
      <c r="AD24" s="663" t="s">
        <v>574</v>
      </c>
      <c r="AE24" s="663" t="s">
        <v>568</v>
      </c>
    </row>
    <row r="25" spans="1:31" ht="15" customHeight="1" thickBot="1" x14ac:dyDescent="0.25">
      <c r="A25" s="781"/>
      <c r="B25" s="781"/>
      <c r="C25" s="781"/>
      <c r="D25" s="781"/>
      <c r="E25" s="781"/>
      <c r="F25" s="781"/>
      <c r="G25" s="781"/>
      <c r="H25" s="781"/>
      <c r="J25" s="933" t="str">
        <f>'Acta Verificación '!J26</f>
        <v xml:space="preserve"> previsto en la Resolución Nº 611/2019 de la SECRETARÍA DE COMERCIO INTERIOR y sus modificatorias</v>
      </c>
      <c r="K25" s="840"/>
      <c r="L25" s="851"/>
      <c r="AB25" s="663" t="s">
        <v>575</v>
      </c>
      <c r="AC25" s="663" t="str">
        <f t="shared" si="0"/>
        <v>NO CUMPLE con el punto 9.1.1 de la Resolución S.C. y N.E.I. Nº 2307/80 para el ensayo previsto en el punto D.2.3.2.1 de la Resolución S.C.D. y D.C. Nº 119/2001 (Excentricidad).</v>
      </c>
      <c r="AD25" s="663" t="s">
        <v>576</v>
      </c>
      <c r="AE25" s="663" t="s">
        <v>568</v>
      </c>
    </row>
    <row r="26" spans="1:31" ht="15" customHeight="1" thickBot="1" x14ac:dyDescent="0.25">
      <c r="A26" s="781"/>
      <c r="B26" s="781"/>
      <c r="C26" s="781"/>
      <c r="D26" s="781"/>
      <c r="E26" s="781"/>
      <c r="F26" s="781"/>
      <c r="G26" s="781"/>
      <c r="H26" s="781"/>
      <c r="J26" s="1020" t="str">
        <f>'Acta Verificación '!J27</f>
        <v>1 del Cap. I y 1 del Cap. III</v>
      </c>
      <c r="K26" s="840"/>
      <c r="L26" s="851"/>
      <c r="N26" s="1026" t="s">
        <v>434</v>
      </c>
      <c r="O26" s="828"/>
      <c r="P26" s="829"/>
      <c r="AB26" s="663" t="s">
        <v>577</v>
      </c>
      <c r="AC26" s="663" t="str">
        <f t="shared" si="0"/>
        <v>NO CUMPLE con el punto 9.1.1 de la Resolución S.C. y N.E.I. Nº 2307/80 para el ensayo previsto en el punto D.2.3.2.2  de la Resolución S.C.D. y D.C. Nº 119/2001 (Excentricidad).</v>
      </c>
      <c r="AD26" s="663" t="s">
        <v>578</v>
      </c>
      <c r="AE26" s="663" t="s">
        <v>568</v>
      </c>
    </row>
    <row r="27" spans="1:31" ht="15" customHeight="1" thickBot="1" x14ac:dyDescent="0.25">
      <c r="A27" s="781"/>
      <c r="B27" s="781"/>
      <c r="C27" s="781"/>
      <c r="D27" s="781"/>
      <c r="E27" s="781"/>
      <c r="F27" s="781"/>
      <c r="G27" s="781"/>
      <c r="H27" s="781"/>
      <c r="J27" s="1020" t="str">
        <f>'Acta Verificación '!J28</f>
        <v>1 del Cap. III del Anexo I</v>
      </c>
      <c r="K27" s="840"/>
      <c r="L27" s="851"/>
      <c r="N27" s="821"/>
      <c r="O27" s="834"/>
      <c r="P27" s="843"/>
      <c r="AB27" s="663" t="s">
        <v>579</v>
      </c>
      <c r="AC27" s="663" t="str">
        <f t="shared" si="0"/>
        <v>NO CUMPLE con el punto 9.1.1 de la Resolución S.C. y N.E.I. Nº 2307/80 para el ensayo previsto en el punto D.2.3.1.1 de la Resolución S.C.D. y D.C. Nº 119/2001 (Excentricidad).</v>
      </c>
      <c r="AD27" s="663" t="s">
        <v>580</v>
      </c>
      <c r="AE27" s="663" t="s">
        <v>568</v>
      </c>
    </row>
    <row r="28" spans="1:31" ht="15" customHeight="1" thickBot="1" x14ac:dyDescent="0.25">
      <c r="A28" s="781"/>
      <c r="B28" s="781"/>
      <c r="C28" s="781"/>
      <c r="D28" s="781"/>
      <c r="E28" s="781"/>
      <c r="F28" s="781"/>
      <c r="G28" s="781"/>
      <c r="H28" s="781"/>
      <c r="J28" s="550">
        <f>COUNTIF(K28:K33,"=FALSO")</f>
        <v>6</v>
      </c>
      <c r="K28" s="551" t="b">
        <f>ISBLANK(J18)</f>
        <v>0</v>
      </c>
      <c r="L28" t="str">
        <f>IF('Identificación del Instrumento'!$B$17="periódica","b)","a)")</f>
        <v>a)</v>
      </c>
      <c r="N28" s="552" t="s">
        <v>435</v>
      </c>
      <c r="O28" s="553"/>
      <c r="P28" s="554" t="s">
        <v>436</v>
      </c>
      <c r="AB28" s="663" t="s">
        <v>581</v>
      </c>
      <c r="AC28" s="663" t="str">
        <f t="shared" si="0"/>
        <v>NO CUMPLE con el punto 9.1.1 de la Resolución S.C. y N.E.I. Nº 2307/80 para el ensayo previsto en el punto D.2.3.1.2 de la Resolución S.C.D. y D.C. Nº 119/2001 (Excentricidad).</v>
      </c>
      <c r="AD28" s="663" t="s">
        <v>582</v>
      </c>
      <c r="AE28" s="663" t="s">
        <v>568</v>
      </c>
    </row>
    <row r="29" spans="1:31" ht="15" customHeight="1" thickBot="1" x14ac:dyDescent="0.25">
      <c r="A29" s="781"/>
      <c r="B29" s="781"/>
      <c r="C29" s="781"/>
      <c r="D29" s="781"/>
      <c r="E29" s="781"/>
      <c r="F29" s="781"/>
      <c r="G29" s="781"/>
      <c r="H29" s="781"/>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583</v>
      </c>
      <c r="AC29" s="663" t="s">
        <v>584</v>
      </c>
      <c r="AD29" s="663"/>
      <c r="AE29" s="663"/>
    </row>
    <row r="30" spans="1:31" ht="19.5" customHeight="1" x14ac:dyDescent="0.2">
      <c r="A30" s="781"/>
      <c r="B30" s="781"/>
      <c r="C30" s="781"/>
      <c r="D30" s="781"/>
      <c r="E30" s="781"/>
      <c r="F30" s="781"/>
      <c r="G30" s="781"/>
      <c r="H30" s="781"/>
      <c r="J30" t="s">
        <v>30</v>
      </c>
      <c r="K30" s="555" t="b">
        <f>ISBLANK(K20)</f>
        <v>0</v>
      </c>
      <c r="Q30" s="25"/>
      <c r="R30" s="25"/>
      <c r="S30" s="25"/>
      <c r="T30" s="25"/>
      <c r="U30" s="25"/>
      <c r="V30" s="25"/>
      <c r="W30" s="25"/>
      <c r="X30" s="25"/>
    </row>
    <row r="31" spans="1:31" ht="15" hidden="1" customHeight="1" x14ac:dyDescent="0.2">
      <c r="A31" s="781"/>
      <c r="B31" s="781"/>
      <c r="C31" s="781"/>
      <c r="D31" s="781"/>
      <c r="E31" s="781"/>
      <c r="F31" s="781"/>
      <c r="G31" s="781"/>
      <c r="H31" s="781"/>
      <c r="K31" s="555" t="b">
        <f>ISBLANK(J21)</f>
        <v>0</v>
      </c>
      <c r="Q31" s="25"/>
      <c r="R31" s="25"/>
      <c r="S31" s="25"/>
      <c r="T31" s="25"/>
      <c r="U31" s="25"/>
      <c r="V31" s="25"/>
      <c r="W31" s="25"/>
      <c r="X31" s="25"/>
    </row>
    <row r="32" spans="1:31" ht="15" hidden="1" customHeight="1" thickBot="1" x14ac:dyDescent="0.25">
      <c r="A32" s="781"/>
      <c r="B32" s="781"/>
      <c r="C32" s="781"/>
      <c r="D32" s="781"/>
      <c r="E32" s="781"/>
      <c r="F32" s="781"/>
      <c r="G32" s="781"/>
      <c r="H32" s="781"/>
      <c r="K32" s="559" t="b">
        <f>AND(ISBLANK('Identificación del Instrumento'!$B$19),ISBLANK('Identificación del Instrumento'!$B$15),ISBLANK('Identificación del Instrumento'!$B$16),ISBLANK('Identificación del Instrumento'!$F$16))</f>
        <v>0</v>
      </c>
      <c r="N32" s="1031"/>
      <c r="O32" s="834"/>
      <c r="P32" s="834"/>
      <c r="Q32" s="25"/>
      <c r="R32" s="25"/>
      <c r="S32" s="25"/>
      <c r="T32" s="25"/>
      <c r="U32" s="25"/>
      <c r="V32" s="25"/>
      <c r="W32" s="25"/>
      <c r="X32" s="25"/>
    </row>
    <row r="33" spans="1:24" ht="15" customHeight="1" thickBot="1" x14ac:dyDescent="0.25">
      <c r="A33" s="953"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1"/>
      <c r="C33" s="781"/>
      <c r="D33" s="781"/>
      <c r="E33" s="781"/>
      <c r="F33" s="781"/>
      <c r="G33" s="781"/>
      <c r="H33" s="781"/>
      <c r="J33" s="233"/>
      <c r="K33" s="427" t="b">
        <f>ISBLANK(J23)</f>
        <v>0</v>
      </c>
      <c r="L33" s="233"/>
      <c r="M33" s="233"/>
      <c r="N33" s="428"/>
      <c r="O33" s="428"/>
      <c r="P33" s="428"/>
      <c r="Q33" s="428"/>
      <c r="R33" s="25"/>
      <c r="S33" s="25"/>
      <c r="T33" s="25"/>
      <c r="U33" s="25"/>
      <c r="V33" s="25"/>
      <c r="W33" s="25"/>
      <c r="X33" s="25"/>
    </row>
    <row r="34" spans="1:24" ht="15" customHeight="1" x14ac:dyDescent="0.2">
      <c r="A34" s="781"/>
      <c r="B34" s="781"/>
      <c r="C34" s="781"/>
      <c r="D34" s="781"/>
      <c r="E34" s="781"/>
      <c r="F34" s="781"/>
      <c r="G34" s="781"/>
      <c r="H34" s="781"/>
      <c r="N34" s="25"/>
      <c r="O34" s="25"/>
      <c r="P34" s="25"/>
      <c r="Q34" s="25"/>
      <c r="R34" s="25"/>
      <c r="S34" s="25"/>
      <c r="T34" s="25"/>
      <c r="U34" s="25"/>
      <c r="V34" s="25"/>
      <c r="W34" s="25"/>
      <c r="X34" s="25"/>
    </row>
    <row r="35" spans="1:24" ht="15" customHeight="1" x14ac:dyDescent="0.2">
      <c r="A35" s="781"/>
      <c r="B35" s="781"/>
      <c r="C35" s="781"/>
      <c r="D35" s="781"/>
      <c r="E35" s="781"/>
      <c r="F35" s="781"/>
      <c r="G35" s="781"/>
      <c r="H35" s="781"/>
      <c r="N35" s="25"/>
      <c r="O35" s="25"/>
      <c r="P35" s="25"/>
      <c r="Q35" s="25"/>
      <c r="R35" s="25"/>
      <c r="S35" s="25"/>
      <c r="T35" s="25"/>
      <c r="U35" s="25"/>
      <c r="V35" s="25"/>
      <c r="W35" s="25"/>
      <c r="X35" s="25"/>
    </row>
    <row r="36" spans="1:24" ht="15" customHeight="1" x14ac:dyDescent="0.2">
      <c r="A36" s="781"/>
      <c r="B36" s="781"/>
      <c r="C36" s="781"/>
      <c r="D36" s="781"/>
      <c r="E36" s="781"/>
      <c r="F36" s="781"/>
      <c r="G36" s="781"/>
      <c r="H36" s="781"/>
      <c r="N36" s="25"/>
      <c r="O36" s="25"/>
      <c r="P36" s="25"/>
      <c r="Q36" s="25"/>
      <c r="R36" s="25"/>
      <c r="S36" s="25"/>
      <c r="T36" s="25"/>
      <c r="U36" s="25"/>
      <c r="V36" s="25"/>
      <c r="W36" s="25"/>
      <c r="X36" s="25"/>
    </row>
    <row r="37" spans="1:24" ht="15" customHeight="1" x14ac:dyDescent="0.2">
      <c r="A37" s="781"/>
      <c r="B37" s="781"/>
      <c r="C37" s="781"/>
      <c r="D37" s="781"/>
      <c r="E37" s="781"/>
      <c r="F37" s="781"/>
      <c r="G37" s="781"/>
      <c r="H37" s="781"/>
      <c r="N37" s="25"/>
      <c r="O37" s="25"/>
      <c r="P37" s="25"/>
      <c r="Q37" s="25"/>
      <c r="R37" s="25"/>
      <c r="S37" s="25"/>
      <c r="T37" s="25"/>
      <c r="U37" s="25"/>
      <c r="V37" s="25"/>
      <c r="W37" s="25"/>
      <c r="X37" s="25"/>
    </row>
    <row r="38" spans="1:24" ht="15" customHeight="1" x14ac:dyDescent="0.2">
      <c r="A38" s="781"/>
      <c r="B38" s="781"/>
      <c r="C38" s="781"/>
      <c r="D38" s="781"/>
      <c r="E38" s="781"/>
      <c r="F38" s="781"/>
      <c r="G38" s="781"/>
      <c r="H38" s="781"/>
      <c r="N38" s="25"/>
      <c r="O38" s="25"/>
      <c r="P38" s="25"/>
      <c r="Q38" s="25"/>
      <c r="R38" s="25"/>
      <c r="S38" s="25"/>
      <c r="T38" s="25"/>
      <c r="U38" s="25"/>
      <c r="V38" s="25"/>
      <c r="W38" s="25"/>
    </row>
    <row r="39" spans="1:24" ht="15" customHeight="1" x14ac:dyDescent="0.2">
      <c r="A39" s="781"/>
      <c r="B39" s="781"/>
      <c r="C39" s="781"/>
      <c r="D39" s="781"/>
      <c r="E39" s="781"/>
      <c r="F39" s="781"/>
      <c r="G39" s="781"/>
      <c r="H39" s="781"/>
      <c r="N39" s="25"/>
      <c r="O39" s="25"/>
      <c r="P39" s="25"/>
      <c r="Q39" s="25"/>
      <c r="R39" s="25"/>
      <c r="S39" s="25"/>
      <c r="T39" s="25"/>
      <c r="U39" s="25"/>
      <c r="V39" s="25"/>
      <c r="W39" s="25"/>
    </row>
    <row r="40" spans="1:24" ht="15" customHeight="1" x14ac:dyDescent="0.2">
      <c r="A40" s="781"/>
      <c r="B40" s="781"/>
      <c r="C40" s="781"/>
      <c r="D40" s="781"/>
      <c r="E40" s="781"/>
      <c r="F40" s="781"/>
      <c r="G40" s="781"/>
      <c r="H40" s="781"/>
      <c r="N40" s="25"/>
      <c r="O40" s="25"/>
      <c r="P40" s="25"/>
      <c r="Q40" s="25"/>
      <c r="R40" s="25"/>
      <c r="S40" s="25"/>
      <c r="T40" s="25"/>
      <c r="U40" s="25"/>
      <c r="V40" s="25"/>
      <c r="W40" s="25"/>
    </row>
    <row r="41" spans="1:24" ht="15" customHeight="1" x14ac:dyDescent="0.2">
      <c r="A41" s="953" t="str">
        <f>IF($J$28=6,N7,"¡Completar datos del acta!")</f>
        <v>Sin más,  se cierra el acto firmando como constancia el agente verificador y  Sr. Nievas Aldo Dario por la firma Marolio S.A..</v>
      </c>
      <c r="B41" s="781"/>
      <c r="C41" s="781"/>
      <c r="D41" s="781"/>
      <c r="E41" s="781"/>
      <c r="F41" s="781"/>
      <c r="G41" s="781"/>
      <c r="H41" s="781"/>
      <c r="N41" s="25"/>
      <c r="O41" s="25"/>
      <c r="P41" s="25"/>
      <c r="Q41" s="25"/>
      <c r="R41" s="25"/>
      <c r="S41" s="25"/>
      <c r="T41" s="25"/>
      <c r="U41" s="25"/>
      <c r="V41" s="25"/>
      <c r="W41" s="25"/>
    </row>
    <row r="42" spans="1:24" ht="15" customHeight="1" x14ac:dyDescent="0.2">
      <c r="A42" s="781"/>
      <c r="B42" s="781"/>
      <c r="C42" s="781"/>
      <c r="D42" s="781"/>
      <c r="E42" s="781"/>
      <c r="F42" s="781"/>
      <c r="G42" s="781"/>
      <c r="H42" s="781"/>
      <c r="N42" s="25"/>
      <c r="O42" s="25"/>
      <c r="P42" s="25"/>
      <c r="Q42" s="25"/>
      <c r="R42" s="25"/>
      <c r="S42" s="25"/>
      <c r="T42" s="25"/>
      <c r="U42" s="25"/>
      <c r="V42" s="25"/>
      <c r="W42" s="25"/>
    </row>
    <row r="43" spans="1:24" ht="15" customHeight="1" x14ac:dyDescent="0.2">
      <c r="A43" s="781"/>
      <c r="B43" s="781"/>
      <c r="C43" s="781"/>
      <c r="D43" s="781"/>
      <c r="E43" s="781"/>
      <c r="F43" s="781"/>
      <c r="G43" s="781"/>
      <c r="H43" s="781"/>
      <c r="N43" s="25"/>
      <c r="O43" s="25"/>
      <c r="P43" s="25"/>
      <c r="Q43" s="25"/>
      <c r="R43" s="25"/>
      <c r="S43" s="25"/>
      <c r="T43" s="25"/>
      <c r="U43" s="25"/>
      <c r="V43" s="25"/>
      <c r="W43" s="25"/>
    </row>
    <row r="44" spans="1:24" ht="15" customHeight="1" x14ac:dyDescent="0.2">
      <c r="A44" s="953" t="str">
        <f>IF($J$28=6,N8,"¡Completar datos del acta!")</f>
        <v>Del presente se suscriben dos ejemplares de igual tenor, quedando uno en poder de Sr. Nievas Aldo Dario por la firma visitada.</v>
      </c>
      <c r="B44" s="781"/>
      <c r="C44" s="781"/>
      <c r="D44" s="781"/>
      <c r="E44" s="781"/>
      <c r="F44" s="781"/>
      <c r="G44" s="781"/>
      <c r="H44" s="781"/>
      <c r="N44" s="25"/>
      <c r="O44" s="25"/>
      <c r="P44" s="25"/>
      <c r="Q44" s="25"/>
      <c r="R44" s="25"/>
      <c r="S44" s="25"/>
      <c r="T44" s="25"/>
      <c r="U44" s="25"/>
      <c r="V44" s="25"/>
      <c r="W44" s="25"/>
    </row>
    <row r="45" spans="1:24" ht="15" customHeight="1" x14ac:dyDescent="0.2">
      <c r="A45" s="781"/>
      <c r="B45" s="781"/>
      <c r="C45" s="781"/>
      <c r="D45" s="781"/>
      <c r="E45" s="781"/>
      <c r="F45" s="781"/>
      <c r="G45" s="781"/>
      <c r="H45" s="781"/>
      <c r="N45" s="25"/>
      <c r="O45" s="25"/>
      <c r="P45" s="25"/>
      <c r="Q45" s="25"/>
      <c r="R45" s="25"/>
      <c r="S45" s="25"/>
      <c r="T45" s="25"/>
      <c r="U45" s="25"/>
      <c r="V45" s="25"/>
      <c r="W45" s="25"/>
    </row>
    <row r="46" spans="1:24" ht="15" customHeight="1" x14ac:dyDescent="0.2">
      <c r="A46" s="781"/>
      <c r="B46" s="781"/>
      <c r="C46" s="781"/>
      <c r="D46" s="781"/>
      <c r="E46" s="781"/>
      <c r="F46" s="781"/>
      <c r="G46" s="781"/>
      <c r="H46" s="781"/>
    </row>
    <row r="47" spans="1:24" ht="15" customHeight="1" x14ac:dyDescent="0.2">
      <c r="A47" s="1024"/>
      <c r="B47" s="834"/>
      <c r="C47" s="834"/>
      <c r="D47" s="574"/>
      <c r="E47" s="1024"/>
      <c r="F47" s="834"/>
      <c r="G47" s="834"/>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43"/>
      <c r="B51" s="834"/>
      <c r="C51" s="834"/>
      <c r="D51" s="627"/>
      <c r="E51" s="627"/>
      <c r="F51" s="943"/>
      <c r="G51" s="834"/>
      <c r="H51" s="834"/>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30" t="str">
        <f>+K19</f>
        <v>Sr. Nievas Aldo Dario</v>
      </c>
      <c r="B59" s="762"/>
      <c r="C59" s="762"/>
      <c r="D59" s="627"/>
      <c r="E59" s="627"/>
      <c r="F59" s="948" t="str">
        <f>'Datos de Ensayos'!E4</f>
        <v>Tco. Pablo Javier Siklosi A.</v>
      </c>
      <c r="G59" s="762"/>
      <c r="H59" s="762"/>
    </row>
    <row r="60" spans="1:8" ht="15" customHeight="1" x14ac:dyDescent="0.2">
      <c r="A60" s="943" t="str">
        <f>+'Identificación del Instrumento'!C14</f>
        <v>Marolio S.A.</v>
      </c>
      <c r="B60" s="834"/>
      <c r="C60" s="834"/>
      <c r="D60" s="627"/>
      <c r="E60" s="627"/>
      <c r="F60" s="943" t="str">
        <f>+'Identificación del Instrumento'!E61</f>
        <v>Programa de Metrología Legal - INTI</v>
      </c>
      <c r="G60" s="834"/>
      <c r="H60" s="834"/>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46"/>
      <c r="B65" s="834"/>
      <c r="C65" s="834"/>
      <c r="D65" s="834"/>
      <c r="E65" s="834"/>
      <c r="F65" s="834"/>
      <c r="G65" s="834"/>
      <c r="H65" s="834"/>
    </row>
    <row r="66" spans="1:8" x14ac:dyDescent="0.2">
      <c r="A66" s="939"/>
      <c r="B66" s="834"/>
      <c r="C66" s="834"/>
      <c r="D66" s="834"/>
      <c r="E66" s="834"/>
      <c r="F66" s="834"/>
      <c r="G66" s="834"/>
      <c r="H66" s="834"/>
    </row>
    <row r="67" spans="1:8" x14ac:dyDescent="0.2">
      <c r="A67" s="939"/>
      <c r="B67" s="834"/>
      <c r="C67" s="834"/>
      <c r="D67" s="834"/>
      <c r="E67" s="834"/>
      <c r="F67" s="834"/>
      <c r="G67" s="834"/>
      <c r="H67" s="834"/>
    </row>
  </sheetData>
  <mergeCells count="33">
    <mergeCell ref="A14:H14"/>
    <mergeCell ref="A59:C59"/>
    <mergeCell ref="A51:C51"/>
    <mergeCell ref="A60:C60"/>
    <mergeCell ref="N32:P32"/>
    <mergeCell ref="K19:L19"/>
    <mergeCell ref="F59:H59"/>
    <mergeCell ref="A44:H46"/>
    <mergeCell ref="F51:H51"/>
    <mergeCell ref="A33:H40"/>
    <mergeCell ref="A66:H66"/>
    <mergeCell ref="S16:T17"/>
    <mergeCell ref="J21:L21"/>
    <mergeCell ref="F60:H60"/>
    <mergeCell ref="J18:L18"/>
    <mergeCell ref="E47:G47"/>
    <mergeCell ref="J23:L2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52" t="s">
        <v>585</v>
      </c>
      <c r="B1" s="851"/>
      <c r="C1" s="1050" t="str">
        <f>CONCATENATE('Datos de Ensayos'!E3," - ",'Datos de Ensayos'!E4)</f>
        <v>Tco. Pablo Javier Siklosi A. - Tco. Pablo Javier Siklosi A.</v>
      </c>
      <c r="D1" s="840"/>
      <c r="E1" s="840"/>
      <c r="F1" s="840"/>
      <c r="G1" s="840"/>
      <c r="H1" s="851"/>
      <c r="I1" s="30"/>
      <c r="J1" s="30"/>
      <c r="K1" s="30" t="s">
        <v>586</v>
      </c>
      <c r="L1" s="26" t="s">
        <v>587</v>
      </c>
      <c r="M1" s="26" t="s">
        <v>588</v>
      </c>
      <c r="O1" s="413"/>
      <c r="P1" s="27"/>
      <c r="Q1" s="29"/>
      <c r="R1" s="27"/>
      <c r="S1" s="28"/>
      <c r="T1" s="28"/>
      <c r="V1" s="27"/>
      <c r="AJ1" s="28"/>
      <c r="AK1" s="28"/>
      <c r="AL1" s="32"/>
      <c r="AM1" s="28"/>
      <c r="AN1" s="28"/>
      <c r="AO1" s="33"/>
      <c r="AP1" s="34"/>
      <c r="AQ1" s="35"/>
      <c r="AR1" s="28"/>
    </row>
    <row r="2" spans="1:44" ht="26.25" customHeight="1" thickBot="1" x14ac:dyDescent="0.3">
      <c r="J2" s="57" t="s">
        <v>477</v>
      </c>
      <c r="K2" s="61" t="s">
        <v>589</v>
      </c>
      <c r="L2" s="61" t="s">
        <v>590</v>
      </c>
      <c r="M2" s="61" t="s">
        <v>591</v>
      </c>
    </row>
    <row r="3" spans="1:44" ht="21" customHeight="1" thickBot="1" x14ac:dyDescent="0.35">
      <c r="A3" s="1038"/>
      <c r="B3" s="840"/>
      <c r="C3" s="840"/>
      <c r="D3" s="840"/>
      <c r="E3" s="840"/>
      <c r="F3" s="840"/>
      <c r="G3" s="840"/>
      <c r="H3" s="851"/>
      <c r="K3" s="61" t="s">
        <v>592</v>
      </c>
      <c r="L3" s="61" t="s">
        <v>593</v>
      </c>
      <c r="M3" s="61" t="s">
        <v>594</v>
      </c>
    </row>
    <row r="4" spans="1:44" ht="6.75" hidden="1" customHeight="1" x14ac:dyDescent="0.2">
      <c r="D4" s="1001"/>
      <c r="E4" s="1034"/>
      <c r="I4" s="417"/>
    </row>
    <row r="5" spans="1:44" ht="18" customHeight="1" x14ac:dyDescent="0.25">
      <c r="A5" s="1042" t="s">
        <v>595</v>
      </c>
      <c r="B5" s="1001"/>
      <c r="C5" s="1001"/>
      <c r="D5" s="1033"/>
      <c r="E5" s="1034"/>
      <c r="F5" s="1001"/>
      <c r="G5" s="1001"/>
      <c r="H5" s="1034"/>
      <c r="I5" s="417"/>
    </row>
    <row r="6" spans="1:44" ht="3.75" customHeight="1" thickBot="1" x14ac:dyDescent="0.25">
      <c r="A6" s="26"/>
      <c r="B6" s="26"/>
      <c r="C6" s="26"/>
      <c r="D6" s="26"/>
      <c r="E6" s="26"/>
      <c r="F6" s="26"/>
      <c r="G6" s="26"/>
      <c r="H6" s="418"/>
      <c r="I6" s="417"/>
    </row>
    <row r="7" spans="1:44" ht="22.5" customHeight="1" thickBot="1" x14ac:dyDescent="0.3">
      <c r="A7" s="1041" t="str">
        <f>CONCATENATE("N° O.T.: ",'Identificación del Instrumento'!B4)</f>
        <v>N° O.T.: 307-64088</v>
      </c>
      <c r="B7" s="1001"/>
      <c r="C7" s="1001"/>
      <c r="D7" s="1033"/>
      <c r="E7" s="1034"/>
      <c r="F7" s="1001"/>
      <c r="G7" s="1047"/>
      <c r="H7" s="1034"/>
      <c r="I7" s="419"/>
      <c r="J7" s="12"/>
      <c r="K7" s="12"/>
      <c r="L7" s="12"/>
      <c r="M7" s="12"/>
      <c r="N7" s="12"/>
      <c r="O7" s="986" t="s">
        <v>596</v>
      </c>
      <c r="P7" s="840"/>
      <c r="Q7" s="840"/>
      <c r="R7" s="840"/>
      <c r="S7" s="840"/>
      <c r="T7" s="851"/>
    </row>
    <row r="8" spans="1:44" ht="24.75" customHeight="1" x14ac:dyDescent="0.2">
      <c r="A8" s="1037"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01"/>
      <c r="C8" s="1001"/>
      <c r="D8" s="1033"/>
      <c r="E8" s="1034"/>
      <c r="F8" s="1001"/>
      <c r="G8" s="1001"/>
      <c r="H8" s="1034"/>
      <c r="J8" s="12"/>
      <c r="K8" s="12"/>
      <c r="L8" s="12"/>
      <c r="M8" s="12"/>
      <c r="N8" s="12"/>
      <c r="O8" s="445"/>
      <c r="P8" s="203"/>
      <c r="Q8" s="446" t="s">
        <v>597</v>
      </c>
      <c r="R8" s="447"/>
      <c r="S8" s="447"/>
      <c r="T8" s="448" t="s">
        <v>598</v>
      </c>
    </row>
    <row r="9" spans="1:44" ht="9.75" customHeight="1" x14ac:dyDescent="0.2">
      <c r="A9" s="1001"/>
      <c r="B9" s="1001"/>
      <c r="C9" s="1001"/>
      <c r="D9" s="1033"/>
      <c r="E9" s="1034"/>
      <c r="F9" s="1001"/>
      <c r="G9" s="1001"/>
      <c r="H9" s="1034"/>
      <c r="O9" s="449"/>
      <c r="Q9" s="1"/>
      <c r="R9" s="1"/>
      <c r="S9" s="1"/>
      <c r="T9" s="450"/>
    </row>
    <row r="10" spans="1:44" ht="15.75" customHeight="1" x14ac:dyDescent="0.2">
      <c r="A10" s="1037" t="str">
        <f>Informe!A7</f>
        <v>Fabricante / importador:  Receptor: INDUSTRIAL SYSTEMS S.A. / Indicador: INDUSTRIAL SYSTEMS S.A.</v>
      </c>
      <c r="B10" s="1001"/>
      <c r="C10" s="1001"/>
      <c r="D10" s="1033"/>
      <c r="E10" s="1034"/>
      <c r="F10" s="1001"/>
      <c r="G10" s="1001"/>
      <c r="H10" s="1034"/>
      <c r="O10" s="451" t="s">
        <v>599</v>
      </c>
      <c r="Q10" s="1"/>
      <c r="R10" s="1"/>
      <c r="S10" s="61" t="s">
        <v>600</v>
      </c>
      <c r="T10" s="450"/>
    </row>
    <row r="11" spans="1:44" ht="15.95" customHeight="1" x14ac:dyDescent="0.2">
      <c r="A11" s="1037" t="str">
        <f>Informe!A9</f>
        <v>Modelo:  Receptor: TruckTRONIX 8020 / Indicador: PB 10.000</v>
      </c>
      <c r="B11" s="1001"/>
      <c r="C11" s="1001"/>
      <c r="D11" s="1033"/>
      <c r="E11" s="1034"/>
      <c r="F11" s="1001"/>
      <c r="G11" s="1001"/>
      <c r="H11" s="1034"/>
      <c r="O11" s="449"/>
      <c r="Q11" s="1"/>
      <c r="R11" s="1"/>
      <c r="S11" s="1"/>
      <c r="T11" s="450"/>
    </row>
    <row r="12" spans="1:44" ht="15.95" customHeight="1" x14ac:dyDescent="0.25">
      <c r="A12" s="1037" t="str">
        <f>Informe!A10</f>
        <v>Número de serie:  Receptor: 28082017214 / Indicador: 28082017215</v>
      </c>
      <c r="B12" s="1001"/>
      <c r="C12" s="1001"/>
      <c r="D12" s="1033"/>
      <c r="E12" s="1034"/>
      <c r="F12" s="1001"/>
      <c r="G12" s="1001"/>
      <c r="H12" s="1034"/>
      <c r="I12" s="419"/>
      <c r="J12" s="12"/>
      <c r="K12" s="12"/>
      <c r="L12" s="12"/>
      <c r="M12" s="12"/>
      <c r="N12" s="12"/>
      <c r="O12" s="452"/>
      <c r="Q12" s="1"/>
      <c r="R12" s="1"/>
      <c r="S12" s="1"/>
      <c r="T12" s="450"/>
    </row>
    <row r="13" spans="1:44" ht="15.95" customHeight="1" x14ac:dyDescent="0.25">
      <c r="A13" s="1037" t="str">
        <f>Informe!A14</f>
        <v>Código de aprobación de modelo: Receptor  BF.80-2172 / Indicador BF.60-1624</v>
      </c>
      <c r="B13" s="1001"/>
      <c r="C13" s="1001"/>
      <c r="D13" s="1033"/>
      <c r="E13" s="1034"/>
      <c r="F13" s="1001"/>
      <c r="G13" s="1001"/>
      <c r="H13" s="1034"/>
      <c r="I13" s="419"/>
      <c r="J13" s="12"/>
      <c r="K13" s="12"/>
      <c r="L13" s="12"/>
      <c r="M13" s="12"/>
      <c r="N13" s="12"/>
      <c r="O13" s="452"/>
      <c r="Q13" s="61" t="s">
        <v>601</v>
      </c>
      <c r="R13" s="1"/>
      <c r="S13" s="1"/>
      <c r="T13" s="453" t="s">
        <v>602</v>
      </c>
    </row>
    <row r="14" spans="1:44" ht="15.95" hidden="1" customHeight="1" x14ac:dyDescent="0.25">
      <c r="A14" s="1037"/>
      <c r="B14" s="1001"/>
      <c r="C14" s="1001"/>
      <c r="D14" s="1033"/>
      <c r="E14" s="1034"/>
      <c r="F14" s="1001"/>
      <c r="G14" s="1001"/>
      <c r="H14" s="1034"/>
      <c r="I14" s="419"/>
      <c r="J14" s="12"/>
      <c r="K14" s="12"/>
      <c r="L14" s="12"/>
      <c r="M14" s="12"/>
      <c r="N14" s="12"/>
      <c r="O14" s="452"/>
      <c r="Q14" s="1"/>
      <c r="R14" s="1"/>
      <c r="S14" s="1"/>
      <c r="T14" s="450"/>
    </row>
    <row r="15" spans="1:44" ht="15.95" customHeight="1" thickBot="1" x14ac:dyDescent="0.3">
      <c r="A15" s="1037" t="str">
        <f>Informe!A15</f>
        <v>Precintos Nº: Placa identificatoria del receptor (a) N03475, Placa identificatoria del indicador (a) N03474, Indicador (a) B79341, B79342 (05/11/25), Caja de ecualización (a) B739443, B79344 (05/11/25) y Verificado (a) 1104924 (05/11/25).</v>
      </c>
      <c r="B15" s="1001"/>
      <c r="C15" s="1001"/>
      <c r="D15" s="1033"/>
      <c r="E15" s="1034"/>
      <c r="F15" s="1001"/>
      <c r="G15" s="1001"/>
      <c r="H15" s="1034"/>
      <c r="I15" s="419"/>
      <c r="J15" s="12"/>
      <c r="K15" s="12"/>
      <c r="L15" s="12"/>
      <c r="M15" s="12"/>
      <c r="N15" s="12"/>
      <c r="O15" s="452"/>
      <c r="Q15" s="1"/>
      <c r="R15" s="1"/>
      <c r="S15" s="1"/>
      <c r="T15" s="450"/>
    </row>
    <row r="16" spans="1:44" ht="21.6" customHeight="1" thickBot="1" x14ac:dyDescent="0.3">
      <c r="A16" s="1001"/>
      <c r="B16" s="1001"/>
      <c r="C16" s="1001"/>
      <c r="D16" s="1033"/>
      <c r="E16" s="1034"/>
      <c r="F16" s="1001"/>
      <c r="G16" s="1001"/>
      <c r="H16" s="1034"/>
      <c r="I16" s="419"/>
      <c r="J16" s="1046" t="str">
        <f>IF('Acta Suspensión'!L10='Acta Suspensión'!AB29,'Acta Suspensión'!L14,(VLOOKUP('Acta Suspensión'!L10,'Acta Suspensión'!AB15:AC28,2)))</f>
        <v>NO CUMPLE con el punto 9.1.1 de la Resolución S.C. y N.E.I. Nº 2307/80 (Errores de indicación)</v>
      </c>
      <c r="K16" s="1001"/>
      <c r="L16" s="1001"/>
      <c r="M16" s="1001"/>
      <c r="N16" s="1001"/>
      <c r="O16" s="986" t="s">
        <v>603</v>
      </c>
      <c r="P16" s="840"/>
      <c r="Q16" s="840"/>
      <c r="R16" s="840"/>
      <c r="S16" s="840"/>
      <c r="T16" s="851"/>
    </row>
    <row r="17" spans="1:49" ht="30.75" customHeight="1" x14ac:dyDescent="0.2">
      <c r="A17" s="1000" t="str">
        <f>Informe!A16</f>
        <v>Lugar de instalación: Zona de pesaje - RUTA PROVINCIAL Nº 20 S/N de la localidad de COSTA DE ARAUJO, provincia de Mendoza.</v>
      </c>
      <c r="B17" s="1001"/>
      <c r="C17" s="1001"/>
      <c r="D17" s="1033"/>
      <c r="E17" s="1034"/>
      <c r="F17" s="1001"/>
      <c r="G17" s="1001"/>
      <c r="H17" s="1034"/>
      <c r="J17" s="1001"/>
      <c r="K17" s="1001"/>
      <c r="L17" s="1001"/>
      <c r="M17" s="1001"/>
      <c r="N17" s="1001"/>
      <c r="O17" s="61"/>
    </row>
    <row r="18" spans="1:49" ht="15" customHeight="1" x14ac:dyDescent="0.25">
      <c r="A18" s="1000" t="s">
        <v>486</v>
      </c>
      <c r="B18" s="1001"/>
      <c r="C18" s="1037"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33"/>
      <c r="E18" s="1034"/>
      <c r="F18" s="1001"/>
      <c r="G18" s="1001"/>
      <c r="H18" s="1034"/>
      <c r="I18" s="419"/>
      <c r="L18" s="12"/>
      <c r="M18" s="12"/>
      <c r="N18" s="12"/>
    </row>
    <row r="19" spans="1:49" ht="15" customHeight="1" x14ac:dyDescent="0.2">
      <c r="A19" s="591"/>
      <c r="B19" s="591"/>
      <c r="C19" s="1001"/>
      <c r="D19" s="1033"/>
      <c r="E19" s="1034"/>
      <c r="F19" s="1001"/>
      <c r="G19" s="1001"/>
      <c r="H19" s="1034"/>
      <c r="L19" s="7"/>
      <c r="M19" s="7"/>
    </row>
    <row r="20" spans="1:49" ht="16.5" customHeight="1" x14ac:dyDescent="0.2">
      <c r="A20" s="591"/>
      <c r="B20" s="591"/>
      <c r="C20" s="1001"/>
      <c r="D20" s="1033"/>
      <c r="E20" s="1034"/>
      <c r="F20" s="1001"/>
      <c r="G20" s="1001"/>
      <c r="H20" s="1034"/>
      <c r="L20" s="7"/>
      <c r="M20" s="7"/>
    </row>
    <row r="21" spans="1:49" ht="4.5" hidden="1" customHeight="1" x14ac:dyDescent="0.2">
      <c r="A21" s="591"/>
      <c r="B21" s="591"/>
      <c r="C21" s="591"/>
      <c r="D21" s="1037"/>
      <c r="E21" s="1034"/>
      <c r="F21" s="591"/>
      <c r="G21" s="1037"/>
      <c r="H21" s="1034"/>
      <c r="I21" s="420"/>
      <c r="J21" s="420"/>
      <c r="K21" s="420"/>
      <c r="M21" s="12"/>
      <c r="N21" s="12"/>
    </row>
    <row r="22" spans="1:49" ht="17.25" customHeight="1" x14ac:dyDescent="0.2">
      <c r="A22" s="1045" t="s">
        <v>604</v>
      </c>
      <c r="B22" s="1001"/>
      <c r="C22" s="1001"/>
      <c r="D22" s="1033"/>
      <c r="E22" s="1034"/>
      <c r="F22" s="1001"/>
      <c r="G22" s="1001"/>
      <c r="H22" s="1034"/>
      <c r="I22" s="421">
        <v>1</v>
      </c>
      <c r="J22" s="422" t="s">
        <v>605</v>
      </c>
      <c r="K22" s="423"/>
      <c r="M22" s="12"/>
      <c r="N22" s="12"/>
      <c r="U22" s="61" t="s">
        <v>606</v>
      </c>
    </row>
    <row r="23" spans="1:49" ht="54" customHeight="1" x14ac:dyDescent="0.2">
      <c r="A23" s="1000"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01"/>
      <c r="C23" s="1001"/>
      <c r="D23" s="1033"/>
      <c r="E23" s="1034"/>
      <c r="F23" s="1001"/>
      <c r="G23" s="1001"/>
      <c r="H23" s="1034"/>
      <c r="I23" s="421">
        <v>2</v>
      </c>
      <c r="J23" s="422" t="s">
        <v>607</v>
      </c>
      <c r="K23" s="423"/>
      <c r="M23" s="12"/>
      <c r="N23" s="12"/>
      <c r="U23" s="61" t="s">
        <v>491</v>
      </c>
    </row>
    <row r="24" spans="1:49" s="416" customFormat="1" ht="16.5" customHeight="1" x14ac:dyDescent="0.25">
      <c r="A24" s="1044" t="str">
        <f>CONCATENATE("Fecha de la verificación:  ")</f>
        <v xml:space="preserve">Fecha de la verificación:  </v>
      </c>
      <c r="B24" s="1036"/>
      <c r="C24" s="1036"/>
      <c r="D24" s="1035" t="str">
        <f>Informe!D28</f>
        <v>20 de noviembre de 2025</v>
      </c>
      <c r="E24" s="1036"/>
      <c r="F24" s="1036"/>
      <c r="G24" s="1035"/>
      <c r="H24" s="1036"/>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44" t="str">
        <f>CONCATENATE("Fecha de emisión:  ")</f>
        <v xml:space="preserve">Fecha de emisión:  </v>
      </c>
      <c r="B25" s="1036"/>
      <c r="C25" s="1036"/>
      <c r="D25" s="1035">
        <f ca="1">TODAY()</f>
        <v>45995</v>
      </c>
      <c r="E25" s="1036"/>
      <c r="F25" s="1036"/>
      <c r="G25" s="1036"/>
      <c r="H25" s="1036"/>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39" t="s">
        <v>504</v>
      </c>
      <c r="B26" s="1036"/>
      <c r="C26" s="1036"/>
      <c r="D26" s="1036"/>
      <c r="E26" s="1036"/>
      <c r="F26" s="1036"/>
      <c r="G26" s="1036"/>
      <c r="H26" s="1036"/>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40" t="s">
        <v>608</v>
      </c>
      <c r="B28" s="1036"/>
      <c r="C28" s="1036"/>
      <c r="D28" s="1036"/>
      <c r="E28" s="1036"/>
      <c r="F28" s="1036"/>
      <c r="G28" s="1036"/>
      <c r="H28" s="1036"/>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36"/>
      <c r="B29" s="1036"/>
      <c r="C29" s="1036"/>
      <c r="D29" s="1036"/>
      <c r="E29" s="1036"/>
      <c r="F29" s="1036"/>
      <c r="G29" s="1036"/>
      <c r="H29" s="1036"/>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43"/>
      <c r="E30" s="1036"/>
      <c r="F30" s="664"/>
      <c r="G30" s="1035"/>
      <c r="H30" s="1036"/>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49"/>
      <c r="B31" s="1036"/>
      <c r="C31" s="1036"/>
      <c r="D31" s="1036"/>
      <c r="E31" s="1036"/>
      <c r="F31" s="1036"/>
      <c r="G31" s="1036"/>
      <c r="H31" s="1036"/>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506</v>
      </c>
      <c r="B32" s="1051" t="str">
        <f>Informe!B33</f>
        <v>Marolio S.A.</v>
      </c>
      <c r="C32" s="1036"/>
      <c r="D32" s="1036"/>
      <c r="E32" s="1036"/>
      <c r="F32" s="1036"/>
      <c r="G32" s="1036"/>
      <c r="H32" s="1036"/>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51" t="str">
        <f>Informe!B34</f>
        <v>Empedrado 2531 - Ciudad Autónoma de Buenos Aires - Buenos Aires</v>
      </c>
      <c r="C33" s="1036"/>
      <c r="D33" s="1036"/>
      <c r="E33" s="1036"/>
      <c r="F33" s="1036"/>
      <c r="G33" s="1036"/>
      <c r="H33" s="1036"/>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48" t="str">
        <f>Informe!B35</f>
        <v>Ciudad Autónoma de Buenos Aires</v>
      </c>
      <c r="C34" s="1001"/>
      <c r="D34" s="1033"/>
      <c r="E34" s="1034"/>
      <c r="F34" s="1001"/>
      <c r="G34" s="1001"/>
      <c r="H34" s="1034"/>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507</v>
      </c>
      <c r="H78" s="39" t="s">
        <v>30</v>
      </c>
      <c r="N78" s="424"/>
      <c r="O78" s="61"/>
    </row>
    <row r="79" spans="1:15" x14ac:dyDescent="0.2">
      <c r="B79" s="61">
        <v>0</v>
      </c>
      <c r="C79" s="61" t="s">
        <v>292</v>
      </c>
      <c r="E79" s="415" t="e">
        <v>#REF!</v>
      </c>
      <c r="H79" s="43">
        <v>2</v>
      </c>
      <c r="N79" s="424"/>
      <c r="O79" s="61"/>
    </row>
    <row r="80" spans="1:15" x14ac:dyDescent="0.2">
      <c r="A80" s="61" t="s">
        <v>508</v>
      </c>
      <c r="N80" s="424"/>
      <c r="O80" s="61"/>
    </row>
    <row r="81" spans="1:15" x14ac:dyDescent="0.2">
      <c r="B81" s="425"/>
      <c r="C81" s="61" t="s">
        <v>292</v>
      </c>
      <c r="E81" s="415" t="s">
        <v>292</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32" t="s">
        <v>509</v>
      </c>
      <c r="B88" s="1001"/>
      <c r="C88" s="1001"/>
      <c r="D88" s="1033"/>
      <c r="E88" s="1034"/>
      <c r="F88" s="1001"/>
      <c r="G88" s="1001"/>
      <c r="H88" s="1034"/>
      <c r="N88" s="424"/>
      <c r="O88" s="61"/>
    </row>
    <row r="89" spans="1:15" x14ac:dyDescent="0.2">
      <c r="A89" s="1001"/>
      <c r="B89" s="1001"/>
      <c r="C89" s="1001"/>
      <c r="D89" s="1033"/>
      <c r="E89" s="1034"/>
      <c r="F89" s="1001"/>
      <c r="G89" s="1001"/>
      <c r="H89" s="1034"/>
      <c r="N89" s="424"/>
      <c r="O89" s="61"/>
    </row>
    <row r="90" spans="1:15" x14ac:dyDescent="0.2">
      <c r="A90" s="1001"/>
      <c r="B90" s="1001"/>
      <c r="C90" s="1001"/>
      <c r="D90" s="1033"/>
      <c r="E90" s="1034"/>
      <c r="F90" s="1001"/>
      <c r="G90" s="1001"/>
      <c r="H90" s="1034"/>
      <c r="N90" s="424"/>
      <c r="O90" s="61"/>
    </row>
    <row r="91" spans="1:15" x14ac:dyDescent="0.2">
      <c r="A91" s="1001"/>
      <c r="B91" s="1001"/>
      <c r="C91" s="1001"/>
      <c r="D91" s="1033"/>
      <c r="E91" s="1034"/>
      <c r="F91" s="1001"/>
      <c r="G91" s="1001"/>
      <c r="H91" s="1034"/>
      <c r="N91" s="424"/>
      <c r="O91" s="61"/>
    </row>
    <row r="92" spans="1:15" x14ac:dyDescent="0.2">
      <c r="A92" s="1001"/>
      <c r="B92" s="1001"/>
      <c r="C92" s="1001"/>
      <c r="D92" s="1033"/>
      <c r="E92" s="1034"/>
      <c r="F92" s="1001"/>
      <c r="G92" s="1001"/>
      <c r="H92" s="1034"/>
      <c r="N92" s="424"/>
      <c r="O92" s="61"/>
    </row>
    <row r="93" spans="1:15" x14ac:dyDescent="0.2">
      <c r="A93" s="1001"/>
      <c r="B93" s="1001"/>
      <c r="C93" s="1001"/>
      <c r="D93" s="1033"/>
      <c r="E93" s="1034"/>
      <c r="F93" s="1001"/>
      <c r="G93" s="1001"/>
      <c r="H93" s="1034"/>
      <c r="N93" s="424"/>
      <c r="O93" s="61"/>
    </row>
    <row r="94" spans="1:15" x14ac:dyDescent="0.2">
      <c r="A94" s="1032" t="s">
        <v>510</v>
      </c>
      <c r="B94" s="1001"/>
      <c r="C94" s="1001"/>
      <c r="D94" s="1033"/>
      <c r="E94" s="1034"/>
      <c r="F94" s="1001"/>
      <c r="G94" s="1001"/>
      <c r="H94" s="1034"/>
      <c r="N94" s="424"/>
      <c r="O94" s="61"/>
    </row>
    <row r="95" spans="1:15" x14ac:dyDescent="0.2">
      <c r="A95" s="1001"/>
      <c r="B95" s="1001"/>
      <c r="C95" s="1001"/>
      <c r="D95" s="1033"/>
      <c r="E95" s="1034"/>
      <c r="F95" s="1001"/>
      <c r="G95" s="1001"/>
      <c r="H95" s="1034"/>
      <c r="N95" s="424"/>
      <c r="O95" s="61"/>
    </row>
    <row r="96" spans="1:15" x14ac:dyDescent="0.2">
      <c r="A96" s="1001"/>
      <c r="B96" s="1001"/>
      <c r="C96" s="1001"/>
      <c r="D96" s="1033"/>
      <c r="E96" s="1034"/>
      <c r="F96" s="1001"/>
      <c r="G96" s="1001"/>
      <c r="H96" s="1034"/>
      <c r="N96" s="424"/>
      <c r="O96" s="61"/>
    </row>
    <row r="97" spans="1:15" x14ac:dyDescent="0.2">
      <c r="A97" s="1001"/>
      <c r="B97" s="1001"/>
      <c r="C97" s="1001"/>
      <c r="D97" s="1033"/>
      <c r="E97" s="1034"/>
      <c r="F97" s="1001"/>
      <c r="G97" s="1001"/>
      <c r="H97" s="1034"/>
      <c r="N97" s="424"/>
      <c r="O97" s="61"/>
    </row>
    <row r="98" spans="1:15" x14ac:dyDescent="0.2">
      <c r="A98" s="1001"/>
      <c r="B98" s="1001"/>
      <c r="C98" s="1001"/>
      <c r="D98" s="1033"/>
      <c r="E98" s="1034"/>
      <c r="F98" s="1001"/>
      <c r="G98" s="1001"/>
      <c r="H98" s="1034"/>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B34:H34"/>
    <mergeCell ref="A13:H13"/>
    <mergeCell ref="A31:H31"/>
    <mergeCell ref="A88:H93"/>
    <mergeCell ref="C1:H1"/>
    <mergeCell ref="B33:H33"/>
    <mergeCell ref="B32:H32"/>
    <mergeCell ref="A25:C25"/>
    <mergeCell ref="A1:B1"/>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82" t="s">
        <v>437</v>
      </c>
      <c r="B2" s="1054"/>
      <c r="C2" s="1054"/>
      <c r="D2" s="1054"/>
      <c r="E2" s="1054"/>
      <c r="F2" s="1054"/>
      <c r="G2" s="1054"/>
    </row>
    <row r="3" spans="1:7" ht="9.9499999999999993" customHeight="1" x14ac:dyDescent="0.2">
      <c r="A3" s="588"/>
      <c r="B3" s="588"/>
      <c r="C3" s="588"/>
      <c r="D3" s="588"/>
      <c r="E3" s="588"/>
      <c r="F3" s="588"/>
      <c r="G3" s="588"/>
    </row>
    <row r="4" spans="1:7" s="621" customFormat="1" ht="17.100000000000001" customHeight="1" x14ac:dyDescent="0.2">
      <c r="A4" s="1085" t="str">
        <f>CONCATENATE("Informe Nº: ",'Identificación del Instrumento'!B4,"       ",'Identificación del Instrumento'!A5," ",'Identificación del Instrumento'!B5)</f>
        <v>Informe Nº: 307-64088       VPE Nº: 93084</v>
      </c>
      <c r="B4" s="1084"/>
      <c r="C4" s="1084"/>
      <c r="D4" s="1084"/>
      <c r="E4" s="1083" t="str">
        <f>CONCATENATE("Fecha: ", IF(COUNTA('Identificación del Instrumento'!J2)=0,"",'Identificación del Instrumento'!J2))</f>
        <v>Fecha: 20 de noviembre de 2025</v>
      </c>
      <c r="F4" s="1084"/>
      <c r="G4" s="1084"/>
    </row>
    <row r="5" spans="1:7" ht="17.100000000000001" customHeight="1" x14ac:dyDescent="0.2">
      <c r="A5" s="1067" t="str">
        <f>CONCATENATE("Realizó: ",IF(ISBLANK('Datos de Ensayos'!E3),"",'Datos de Ensayos'!E3))</f>
        <v>Realizó: Tco. Pablo Javier Siklosi A.</v>
      </c>
      <c r="B5" s="1054"/>
      <c r="C5" s="1054"/>
      <c r="D5" s="588"/>
      <c r="E5" s="1080" t="str">
        <f>CONCATENATE("Revisó: ",(IF(ISBLANK('Datos de Ensayos'!E4),"",'Datos de Ensayos'!E4)))</f>
        <v>Revisó: Tco. Pablo Javier Siklosi A.</v>
      </c>
      <c r="F5" s="1054"/>
      <c r="G5" s="1054"/>
    </row>
    <row r="6" spans="1:7" ht="32.1" customHeight="1" x14ac:dyDescent="0.2">
      <c r="A6" s="1076" t="s">
        <v>609</v>
      </c>
      <c r="B6" s="1054"/>
      <c r="C6" s="1054"/>
      <c r="D6" s="1054"/>
      <c r="E6" s="1054"/>
      <c r="F6" s="1054"/>
      <c r="G6" s="1054"/>
    </row>
    <row r="7" spans="1:7" ht="32.1" customHeight="1" x14ac:dyDescent="0.2">
      <c r="A7" s="1045" t="s">
        <v>610</v>
      </c>
      <c r="B7" s="1054"/>
      <c r="C7" s="1054"/>
      <c r="D7" s="1054"/>
      <c r="E7" s="1054"/>
      <c r="F7" s="1054"/>
      <c r="G7" s="1054"/>
    </row>
    <row r="8" spans="1:7" ht="15" hidden="1" customHeight="1" x14ac:dyDescent="0.2">
      <c r="A8" s="1037" t="str">
        <f>IF(('Identificación del Instrumento'!B17="PRIMITIVA"),"Antes de ser comparadas las indicaciones o impresiones discontinuas deben ser corregidas del error de redondeo (Punto 11 de la Resolución)", "")</f>
        <v/>
      </c>
      <c r="B8" s="1054"/>
      <c r="C8" s="1054"/>
      <c r="D8" s="1054"/>
      <c r="E8" s="1054"/>
      <c r="F8" s="1054"/>
      <c r="G8" s="1054"/>
    </row>
    <row r="9" spans="1:7" ht="15" customHeight="1" x14ac:dyDescent="0.2">
      <c r="A9" s="1055"/>
      <c r="B9" s="1054"/>
      <c r="C9" s="1054"/>
      <c r="D9" s="1054"/>
      <c r="E9" s="1054"/>
      <c r="F9" s="1054"/>
      <c r="G9" s="1054"/>
    </row>
    <row r="10" spans="1:7" ht="15" customHeight="1" x14ac:dyDescent="0.2">
      <c r="A10" s="588"/>
      <c r="B10" s="1062" t="s">
        <v>611</v>
      </c>
      <c r="C10" s="768"/>
      <c r="D10" s="769"/>
      <c r="E10" s="1062" t="str">
        <f>IF(ISBLANK('Datos de Ensayos'!F55),"",'Datos de Ensayos'!F55)</f>
        <v>SI</v>
      </c>
      <c r="F10" s="769"/>
      <c r="G10" s="588"/>
    </row>
    <row r="11" spans="1:7" ht="15" customHeight="1" x14ac:dyDescent="0.2">
      <c r="A11" s="588"/>
      <c r="B11" s="1062" t="s">
        <v>612</v>
      </c>
      <c r="C11" s="768"/>
      <c r="D11" s="769"/>
      <c r="E11" s="1062" t="str">
        <f>IF(COUNTA('Datos de Ensayos'!G56)=1,IF('Datos de Ensayos'!G56="x","No Aplicable",IF('Datos de Ensayos'!G56="no supera","Menor al 4%","Mayor al 4%")),"")</f>
        <v>Menor al 4%</v>
      </c>
      <c r="F11" s="769"/>
      <c r="G11" s="588"/>
    </row>
    <row r="12" spans="1:7" ht="32.1" customHeight="1" x14ac:dyDescent="0.2">
      <c r="A12" s="591"/>
      <c r="B12" s="1062" t="s">
        <v>613</v>
      </c>
      <c r="C12" s="768"/>
      <c r="D12" s="768"/>
      <c r="E12" s="768"/>
      <c r="F12" s="769"/>
      <c r="G12" s="591"/>
    </row>
    <row r="13" spans="1:7" ht="15" customHeight="1" x14ac:dyDescent="0.2">
      <c r="A13" s="588"/>
      <c r="B13" s="588"/>
      <c r="C13" s="588"/>
      <c r="D13" s="588"/>
      <c r="E13" s="588"/>
      <c r="F13" s="588"/>
      <c r="G13" s="588"/>
    </row>
    <row r="14" spans="1:7" ht="15" customHeight="1" x14ac:dyDescent="0.2">
      <c r="A14" s="1055" t="s">
        <v>614</v>
      </c>
      <c r="B14" s="1054"/>
      <c r="C14" s="1054"/>
      <c r="D14" s="1054"/>
      <c r="E14" s="1054"/>
      <c r="F14" s="1054"/>
      <c r="G14" s="1054"/>
    </row>
    <row r="15" spans="1:7" ht="15" customHeight="1" x14ac:dyDescent="0.2">
      <c r="A15" s="1055" t="s">
        <v>615</v>
      </c>
      <c r="B15" s="1054"/>
      <c r="C15" s="1054"/>
      <c r="D15" s="1054"/>
      <c r="E15" s="1054"/>
      <c r="F15" s="1054"/>
      <c r="G15" s="1054"/>
    </row>
    <row r="16" spans="1:7" ht="20.25" customHeight="1" thickBot="1" x14ac:dyDescent="0.25">
      <c r="A16" s="1055" t="s">
        <v>616</v>
      </c>
      <c r="B16" s="1054"/>
      <c r="C16" s="1054"/>
      <c r="D16" s="1054"/>
      <c r="E16" s="1054"/>
      <c r="F16" s="1054"/>
      <c r="G16" s="1054"/>
    </row>
    <row r="17" spans="1:7" ht="47.1" customHeight="1" thickBot="1" x14ac:dyDescent="0.25">
      <c r="A17" s="588"/>
      <c r="B17" s="628" t="s">
        <v>617</v>
      </c>
      <c r="C17" s="629" t="s">
        <v>618</v>
      </c>
      <c r="D17" s="630" t="s">
        <v>619</v>
      </c>
      <c r="E17" s="631" t="s">
        <v>620</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26" t="s">
        <v>621</v>
      </c>
      <c r="C64" s="828"/>
      <c r="D64" s="828"/>
      <c r="E64" s="829"/>
      <c r="F64" s="588"/>
      <c r="G64" s="588"/>
    </row>
    <row r="65" spans="1:7" ht="15" customHeight="1" thickBot="1" x14ac:dyDescent="0.25">
      <c r="A65" s="588"/>
      <c r="B65" s="1057" t="str">
        <f>IF(ISBLANK('Datos de Ensayos'!F208), "", "(PRIMERA)")</f>
        <v/>
      </c>
      <c r="C65" s="831"/>
      <c r="D65" s="831"/>
      <c r="E65" s="836"/>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26" t="str">
        <f>B64</f>
        <v>APLICACIÓN DE CARGA SUSTITUTA</v>
      </c>
      <c r="C74" s="828"/>
      <c r="D74" s="828"/>
      <c r="E74" s="829"/>
      <c r="F74" s="588"/>
      <c r="G74" s="588"/>
    </row>
    <row r="75" spans="1:7" ht="15" customHeight="1" thickBot="1" x14ac:dyDescent="0.25">
      <c r="A75" s="588"/>
      <c r="B75" s="1057" t="str">
        <f>IF(ISBLANK('Datos de Ensayos'!F208), "", "(SEGUNDA)")</f>
        <v/>
      </c>
      <c r="C75" s="831"/>
      <c r="D75" s="831"/>
      <c r="E75" s="836"/>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26" t="str">
        <f>CONCATENATE(B64)</f>
        <v>APLICACIÓN DE CARGA SUSTITUTA</v>
      </c>
      <c r="C83" s="828"/>
      <c r="D83" s="828"/>
      <c r="E83" s="829"/>
      <c r="F83" s="588"/>
      <c r="G83" s="588"/>
    </row>
    <row r="84" spans="1:7" ht="15" customHeight="1" thickBot="1" x14ac:dyDescent="0.25">
      <c r="A84" s="588"/>
      <c r="B84" s="1057" t="str">
        <f>IF(ISBLANK('Datos de Ensayos'!F224), "", "(TERCERA)")</f>
        <v/>
      </c>
      <c r="C84" s="831"/>
      <c r="D84" s="831"/>
      <c r="E84" s="836"/>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26" t="str">
        <f>CONCATENATE(B64)</f>
        <v>APLICACIÓN DE CARGA SUSTITUTA</v>
      </c>
      <c r="C92" s="828"/>
      <c r="D92" s="828"/>
      <c r="E92" s="829"/>
      <c r="F92" s="588"/>
      <c r="G92" s="588"/>
    </row>
    <row r="93" spans="1:7" ht="15" customHeight="1" thickBot="1" x14ac:dyDescent="0.25">
      <c r="A93" s="588"/>
      <c r="B93" s="1057" t="str">
        <f>IF(ISBLANK('Datos de Ensayos'!F240), "", "(CUARTA)")</f>
        <v/>
      </c>
      <c r="C93" s="831"/>
      <c r="D93" s="831"/>
      <c r="E93" s="836"/>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37" t="s">
        <v>622</v>
      </c>
      <c r="B102" s="1054"/>
      <c r="C102" s="1054"/>
      <c r="D102" s="1054"/>
      <c r="E102" s="1054"/>
      <c r="F102" s="1054"/>
      <c r="G102" s="1054"/>
    </row>
    <row r="103" spans="1:15" ht="15" customHeight="1" x14ac:dyDescent="0.2">
      <c r="A103" s="1037" t="s">
        <v>623</v>
      </c>
      <c r="B103" s="1054"/>
      <c r="C103" s="1054"/>
      <c r="D103" s="1054"/>
      <c r="E103" s="1054"/>
      <c r="F103" s="1054"/>
      <c r="G103" s="1054"/>
      <c r="K103" s="1060"/>
      <c r="L103" s="1054"/>
      <c r="M103" s="1054"/>
      <c r="N103" s="1054"/>
      <c r="O103" s="1054"/>
    </row>
    <row r="104" spans="1:15" ht="20.25" customHeight="1" thickBot="1" x14ac:dyDescent="0.25">
      <c r="A104" s="1055" t="s">
        <v>624</v>
      </c>
      <c r="B104" s="1054"/>
      <c r="C104" s="1054"/>
      <c r="D104" s="1054"/>
      <c r="E104" s="1054"/>
      <c r="F104" s="1054"/>
      <c r="G104" s="1054"/>
    </row>
    <row r="105" spans="1:15" ht="47.1" customHeight="1" thickBot="1" x14ac:dyDescent="0.25">
      <c r="A105" s="588"/>
      <c r="B105" s="628" t="s">
        <v>617</v>
      </c>
      <c r="C105" s="629" t="s">
        <v>625</v>
      </c>
      <c r="D105" s="630" t="s">
        <v>626</v>
      </c>
      <c r="E105" s="630" t="s">
        <v>627</v>
      </c>
      <c r="F105" s="630" t="s">
        <v>628</v>
      </c>
      <c r="G105" s="631" t="s">
        <v>629</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55" t="s">
        <v>630</v>
      </c>
      <c r="B109" s="1054"/>
      <c r="C109" s="1054"/>
      <c r="D109" s="1054"/>
      <c r="E109" s="1054"/>
      <c r="F109" s="1054"/>
      <c r="G109" s="1054"/>
    </row>
    <row r="110" spans="1:15" ht="47.1" customHeight="1" thickBot="1" x14ac:dyDescent="0.25">
      <c r="A110" s="588"/>
      <c r="B110" s="628" t="s">
        <v>631</v>
      </c>
      <c r="C110" s="629" t="s">
        <v>625</v>
      </c>
      <c r="D110" s="630" t="s">
        <v>309</v>
      </c>
      <c r="E110" s="630" t="s">
        <v>632</v>
      </c>
      <c r="F110" s="630" t="s">
        <v>633</v>
      </c>
      <c r="G110" s="631" t="s">
        <v>634</v>
      </c>
      <c r="K110" s="1059" t="str">
        <f>IF(ISNUMBER('Datos de Ensayos'!K124:O124),'Datos de Ensayos'!K124:O124,"")</f>
        <v/>
      </c>
      <c r="L110" s="1054"/>
      <c r="M110" s="1054"/>
      <c r="N110" s="1054"/>
      <c r="O110" s="1054"/>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54"/>
      <c r="L111" s="1054"/>
      <c r="M111" s="1054"/>
      <c r="N111" s="1054"/>
      <c r="O111" s="1054"/>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55" t="s">
        <v>635</v>
      </c>
      <c r="B114" s="1054"/>
      <c r="C114" s="1054"/>
      <c r="D114" s="1054"/>
      <c r="E114" s="1054"/>
      <c r="F114" s="1054"/>
      <c r="G114" s="1054"/>
    </row>
    <row r="115" spans="1:21" ht="47.1" customHeight="1" thickBot="1" x14ac:dyDescent="0.25">
      <c r="A115" s="588"/>
      <c r="B115" s="628" t="s">
        <v>636</v>
      </c>
      <c r="C115" s="629" t="s">
        <v>324</v>
      </c>
      <c r="D115" s="630" t="s">
        <v>637</v>
      </c>
      <c r="E115" s="630" t="s">
        <v>638</v>
      </c>
      <c r="F115" s="655" t="s">
        <v>639</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37" t="s">
        <v>640</v>
      </c>
      <c r="B120" s="1073"/>
      <c r="C120" s="1073"/>
      <c r="D120" s="1073"/>
      <c r="E120" s="1073"/>
      <c r="F120" s="1073"/>
      <c r="G120" s="1073"/>
    </row>
    <row r="121" spans="1:21" ht="15" hidden="1" customHeight="1" x14ac:dyDescent="0.2">
      <c r="A121" s="588"/>
      <c r="B121" s="591"/>
      <c r="C121" s="591"/>
      <c r="D121" s="591"/>
      <c r="E121" s="591"/>
      <c r="F121" s="588"/>
      <c r="G121" s="588"/>
    </row>
    <row r="122" spans="1:21" ht="122.1" customHeight="1" thickBot="1" x14ac:dyDescent="0.25">
      <c r="A122" s="1037"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54"/>
      <c r="C122" s="1054"/>
      <c r="D122" s="1054"/>
      <c r="E122" s="1054"/>
      <c r="F122" s="1054"/>
      <c r="G122" s="1054"/>
    </row>
    <row r="123" spans="1:21" ht="39" customHeight="1" thickBot="1" x14ac:dyDescent="0.25">
      <c r="A123" s="588"/>
      <c r="B123" s="628" t="s">
        <v>636</v>
      </c>
      <c r="C123" s="629" t="s">
        <v>324</v>
      </c>
      <c r="D123" s="630" t="s">
        <v>325</v>
      </c>
      <c r="E123" s="630" t="s">
        <v>641</v>
      </c>
      <c r="F123" s="631" t="s">
        <v>642</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643</v>
      </c>
      <c r="N124" s="1061" t="s">
        <v>644</v>
      </c>
      <c r="O124" s="840"/>
      <c r="P124" s="605"/>
      <c r="Q124" s="606"/>
      <c r="R124" s="607" t="s">
        <v>645</v>
      </c>
      <c r="S124" s="607"/>
      <c r="T124" s="589" t="s">
        <v>384</v>
      </c>
      <c r="U124" s="607" t="s">
        <v>646</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75" t="str">
        <f>'Identificación del Instrumento'!K40</f>
        <v>Balanza para pesar camiones</v>
      </c>
      <c r="O125" s="828"/>
      <c r="P125" s="828"/>
      <c r="R125" s="590" t="s">
        <v>647</v>
      </c>
      <c r="S125" s="590">
        <v>1</v>
      </c>
      <c r="T125" s="590" t="s">
        <v>648</v>
      </c>
      <c r="U125" s="590" t="s">
        <v>649</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53" t="str">
        <f>'Identificación del Instrumento'!K41</f>
        <v>Balanza para pesar vagones</v>
      </c>
      <c r="O126" s="1054"/>
      <c r="P126" s="1054"/>
      <c r="R126" s="590" t="s">
        <v>647</v>
      </c>
      <c r="S126" s="590">
        <v>1</v>
      </c>
      <c r="T126" s="590" t="s">
        <v>648</v>
      </c>
      <c r="U126" s="590" t="s">
        <v>649</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53" t="str">
        <f>'Identificación del Instrumento'!K42</f>
        <v>Balanza para pesar vehículos por ejes (Receptor único)</v>
      </c>
      <c r="O127" s="1054"/>
      <c r="P127" s="1054"/>
      <c r="R127" s="590" t="s">
        <v>650</v>
      </c>
      <c r="S127" s="590">
        <v>2</v>
      </c>
      <c r="T127" s="590" t="s">
        <v>651</v>
      </c>
      <c r="U127" s="590" t="s">
        <v>652</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53" t="str">
        <f>'Identificación del Instrumento'!K43</f>
        <v>Balanza para pesar vehículos por ejes (Dos receptores de carga)</v>
      </c>
      <c r="O128" s="1054"/>
      <c r="P128" s="1054"/>
      <c r="R128" s="590" t="s">
        <v>653</v>
      </c>
      <c r="S128" s="590">
        <v>2</v>
      </c>
      <c r="T128" s="590" t="s">
        <v>651</v>
      </c>
      <c r="U128" s="590" t="s">
        <v>654</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53" t="str">
        <f>'Identificación del Instrumento'!K44</f>
        <v>Balanza para pesar vehículos por ejes o conjunto de ejes (Receptor único)</v>
      </c>
      <c r="O129" s="1054"/>
      <c r="P129" s="1054"/>
      <c r="Q129" s="571"/>
      <c r="R129" s="571" t="s">
        <v>650</v>
      </c>
      <c r="S129" s="571">
        <v>2</v>
      </c>
      <c r="T129" s="590" t="s">
        <v>651</v>
      </c>
      <c r="U129" s="590" t="s">
        <v>652</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53" t="str">
        <f>'Identificación del Instrumento'!K45</f>
        <v>Balanza para pesar vehículos por ejes o conjunto de ejes (Dos receptores de carga)</v>
      </c>
      <c r="O130" s="1054"/>
      <c r="P130" s="1054"/>
      <c r="R130" s="590" t="s">
        <v>653</v>
      </c>
      <c r="S130" s="590">
        <v>2</v>
      </c>
      <c r="T130" s="590" t="s">
        <v>651</v>
      </c>
      <c r="U130" s="590" t="s">
        <v>654</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53" t="str">
        <f>'Identificación del Instrumento'!K46</f>
        <v>Balanza portátil para pesar vehículos por ejes (Receptor único)</v>
      </c>
      <c r="O131" s="1054"/>
      <c r="P131" s="1054"/>
      <c r="R131" s="590" t="s">
        <v>655</v>
      </c>
      <c r="S131" s="590">
        <v>2</v>
      </c>
      <c r="T131" s="590" t="s">
        <v>651</v>
      </c>
      <c r="U131" s="590" t="s">
        <v>656</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53" t="str">
        <f>'Identificación del Instrumento'!K47</f>
        <v>Balanza portátil para pesar vehículos por ejes (Dos receptores de carga)</v>
      </c>
      <c r="O132" s="1054"/>
      <c r="P132" s="1054"/>
      <c r="R132" s="590" t="s">
        <v>657</v>
      </c>
      <c r="S132" s="590">
        <v>2</v>
      </c>
      <c r="T132" s="590" t="s">
        <v>651</v>
      </c>
      <c r="U132" s="590" t="s">
        <v>658</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53" t="str">
        <f>'Identificación del Instrumento'!K48</f>
        <v>Balanza para pesar camiones y vagones</v>
      </c>
      <c r="O133" s="1054"/>
      <c r="P133" s="1054"/>
      <c r="R133" s="590" t="s">
        <v>647</v>
      </c>
      <c r="S133" s="590">
        <v>1</v>
      </c>
      <c r="T133" s="590" t="s">
        <v>648</v>
      </c>
      <c r="U133" s="590" t="s">
        <v>649</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53" t="str">
        <f>'Identificación del Instrumento'!K49</f>
        <v>Balanza de plataforma</v>
      </c>
      <c r="O134" s="1054"/>
      <c r="P134" s="1054"/>
      <c r="R134" s="590" t="s">
        <v>659</v>
      </c>
      <c r="S134" s="590">
        <v>1</v>
      </c>
      <c r="T134" s="590" t="s">
        <v>648</v>
      </c>
      <c r="U134" s="590" t="s">
        <v>660</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53" t="str">
        <f>'Identificación del Instrumento'!K50</f>
        <v>Balanza tipo tolva</v>
      </c>
      <c r="O135" s="1054"/>
      <c r="P135" s="1054"/>
      <c r="R135" s="590" t="s">
        <v>661</v>
      </c>
      <c r="S135" s="590">
        <v>1</v>
      </c>
      <c r="T135" s="590" t="s">
        <v>648</v>
      </c>
      <c r="U135" s="590" t="s">
        <v>662</v>
      </c>
    </row>
    <row r="136" spans="1:21" ht="15" customHeight="1" thickBot="1" x14ac:dyDescent="0.25">
      <c r="A136" s="588"/>
      <c r="B136" s="1027" t="str">
        <f>IF(ISBLANK('Identificación del Instrumento'!B17),"",IF('Identificación del Instrumento'!B17="periódica","","Valores corregidos por error de redondeo"))</f>
        <v>Valores corregidos por error de redondeo</v>
      </c>
      <c r="C136" s="840"/>
      <c r="D136" s="840"/>
      <c r="E136" s="840"/>
      <c r="F136" s="851"/>
      <c r="G136" s="588"/>
      <c r="N136" s="1053" t="str">
        <f>'Identificación del Instrumento'!K51</f>
        <v>Balanza de carga directamente suspendida (de gancho)</v>
      </c>
      <c r="O136" s="1054"/>
      <c r="P136" s="1054"/>
      <c r="R136" s="589" t="s">
        <v>663</v>
      </c>
      <c r="S136" s="590">
        <v>1</v>
      </c>
      <c r="T136" s="590" t="s">
        <v>648</v>
      </c>
      <c r="U136" s="589" t="s">
        <v>664</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86" t="str">
        <f>'Datos de Ensayos'!E38</f>
        <v>6                                   7                                   8                                   9                                   10</v>
      </c>
      <c r="C140" s="828"/>
      <c r="D140" s="828"/>
      <c r="E140" s="828"/>
      <c r="F140" s="829"/>
      <c r="G140" s="588"/>
    </row>
    <row r="141" spans="1:21" ht="15" customHeight="1" x14ac:dyDescent="0.2">
      <c r="A141" s="588" t="str">
        <f>IF(ISBLANK('Datos de Ensayos'!D39),"",'Datos de Ensayos'!D39)</f>
        <v>Egreso</v>
      </c>
      <c r="B141" s="1077"/>
      <c r="C141" s="1066" t="str">
        <f>'Datos de Ensayos'!F39</f>
        <v>Receptor de Carga</v>
      </c>
      <c r="D141" s="1054"/>
      <c r="E141" s="1054"/>
      <c r="F141" s="1068"/>
      <c r="G141" s="588" t="str">
        <f>IF(ISBLANK('Datos de Ensayos'!J39),"",'Datos de Ensayos'!J39)</f>
        <v>Ingreso</v>
      </c>
    </row>
    <row r="142" spans="1:21" ht="15" customHeight="1" x14ac:dyDescent="0.2">
      <c r="A142" s="588"/>
      <c r="B142" s="821"/>
      <c r="C142" s="1054"/>
      <c r="D142" s="1054"/>
      <c r="E142" s="1054"/>
      <c r="F142" s="843"/>
      <c r="G142" s="588"/>
    </row>
    <row r="143" spans="1:21" ht="15" customHeight="1" thickBot="1" x14ac:dyDescent="0.25">
      <c r="A143" s="588"/>
      <c r="B143" s="1058" t="str">
        <f>'Datos de Ensayos'!E41</f>
        <v>5                                   4                                   3                                   2                                     1</v>
      </c>
      <c r="C143" s="831"/>
      <c r="D143" s="831"/>
      <c r="E143" s="831"/>
      <c r="F143" s="836"/>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55" t="s">
        <v>665</v>
      </c>
      <c r="B147" s="1054"/>
      <c r="C147" s="1054"/>
      <c r="D147" s="1054"/>
      <c r="E147" s="1054"/>
      <c r="F147" s="1054"/>
      <c r="G147" s="1054"/>
    </row>
    <row r="148" spans="1:7" ht="15" customHeight="1" thickBot="1" x14ac:dyDescent="0.25">
      <c r="A148" s="1067" t="str">
        <f>"CAMIONES (sentido de "&amp;'Datos de Ensayos'!I87&amp;" con camión "&amp;'Datos de Ensayos'!G87&amp;"):"</f>
        <v>CAMIONES (sentido de Ingreso con camión Vacío):</v>
      </c>
      <c r="B148" s="1054"/>
      <c r="C148" s="1054"/>
      <c r="D148" s="1054"/>
      <c r="E148" s="1054"/>
      <c r="F148" s="1054"/>
      <c r="G148" s="1054"/>
    </row>
    <row r="149" spans="1:7" ht="15" customHeight="1" x14ac:dyDescent="0.2">
      <c r="A149" s="588"/>
      <c r="B149" s="1072" t="s">
        <v>666</v>
      </c>
      <c r="C149" s="1071" t="s">
        <v>667</v>
      </c>
      <c r="D149" s="828"/>
      <c r="E149" s="829"/>
      <c r="F149" s="1063" t="s">
        <v>668</v>
      </c>
      <c r="G149" s="588"/>
    </row>
    <row r="150" spans="1:7" ht="15" customHeight="1" thickBot="1" x14ac:dyDescent="0.25">
      <c r="A150" s="588"/>
      <c r="B150" s="821"/>
      <c r="C150" s="1064" t="str">
        <f>IF(COUNT('Identificación del Instrumento'!B17=1),IF('Identificación del Instrumento'!$B$17="periódica","", "Valores corregidos por error de redondeo"),"")</f>
        <v>Valores corregidos por error de redondeo</v>
      </c>
      <c r="D150" s="831"/>
      <c r="E150" s="836"/>
      <c r="F150" s="843"/>
      <c r="G150" s="588"/>
    </row>
    <row r="151" spans="1:7" ht="15" customHeight="1" thickBot="1" x14ac:dyDescent="0.25">
      <c r="A151" s="588"/>
      <c r="B151" s="864"/>
      <c r="C151" s="608" t="s">
        <v>669</v>
      </c>
      <c r="D151" s="609" t="s">
        <v>670</v>
      </c>
      <c r="E151" s="597" t="s">
        <v>669</v>
      </c>
      <c r="F151" s="836"/>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65" t="s">
        <v>671</v>
      </c>
      <c r="C157" s="828"/>
      <c r="D157" s="829"/>
      <c r="E157" s="617">
        <f>IF(COUNT(F152:F156)=0,"",'Datos de Ensayos'!G89)</f>
        <v>20</v>
      </c>
      <c r="F157" s="588"/>
      <c r="G157" s="588"/>
    </row>
    <row r="158" spans="1:7" ht="15" customHeight="1" thickBot="1" x14ac:dyDescent="0.25">
      <c r="A158" s="588"/>
      <c r="B158" s="1056" t="s">
        <v>672</v>
      </c>
      <c r="C158" s="1054"/>
      <c r="D158" s="843"/>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67" t="str">
        <f>"CAMIONES (sentido de "&amp;'Datos de Ensayos'!I99&amp;" con camión "&amp;'Datos de Ensayos'!G99&amp;"):"</f>
        <v>CAMIONES (sentido de Egreso con camión Vacío):</v>
      </c>
      <c r="B160" s="1054"/>
      <c r="C160" s="1054"/>
      <c r="D160" s="1054"/>
      <c r="E160" s="1054"/>
      <c r="F160" s="1054"/>
      <c r="G160" s="1054"/>
    </row>
    <row r="161" spans="1:7" ht="15" customHeight="1" x14ac:dyDescent="0.2">
      <c r="A161" s="588"/>
      <c r="B161" s="1072" t="s">
        <v>673</v>
      </c>
      <c r="C161" s="1071" t="s">
        <v>667</v>
      </c>
      <c r="D161" s="828"/>
      <c r="E161" s="829"/>
      <c r="F161" s="1063" t="s">
        <v>668</v>
      </c>
      <c r="G161" s="588"/>
    </row>
    <row r="162" spans="1:7" ht="15" customHeight="1" thickBot="1" x14ac:dyDescent="0.25">
      <c r="A162" s="588"/>
      <c r="B162" s="821"/>
      <c r="C162" s="1064" t="str">
        <f>IF('Identificación del Instrumento'!$B$17="periódica","", "Valores corregidos por error de redondeo")</f>
        <v>Valores corregidos por error de redondeo</v>
      </c>
      <c r="D162" s="831"/>
      <c r="E162" s="836"/>
      <c r="F162" s="843"/>
      <c r="G162" s="588"/>
    </row>
    <row r="163" spans="1:7" ht="15" customHeight="1" thickBot="1" x14ac:dyDescent="0.25">
      <c r="A163" s="588"/>
      <c r="B163" s="864"/>
      <c r="C163" s="608" t="s">
        <v>669</v>
      </c>
      <c r="D163" s="609" t="s">
        <v>670</v>
      </c>
      <c r="E163" s="597" t="s">
        <v>669</v>
      </c>
      <c r="F163" s="836"/>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671</v>
      </c>
      <c r="C169" s="588"/>
      <c r="D169" s="616"/>
      <c r="E169" s="617">
        <f>IF(COUNT(F164:F168)=0,"",'Datos de Ensayos'!G101)</f>
        <v>20</v>
      </c>
      <c r="F169" s="588"/>
      <c r="G169" s="588"/>
    </row>
    <row r="170" spans="1:7" ht="15" customHeight="1" thickBot="1" x14ac:dyDescent="0.25">
      <c r="A170" s="588"/>
      <c r="B170" s="588" t="s">
        <v>672</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55" t="str">
        <f>"CAMIONES (sentido de "&amp;'Datos de Ensayos'!I111&amp;" con camión "&amp;'Datos de Ensayos'!G111&amp;"):"</f>
        <v>CAMIONES (sentido de Ingreso con camión Cargado):</v>
      </c>
      <c r="B172" s="1054"/>
      <c r="C172" s="1054"/>
      <c r="D172" s="1054"/>
      <c r="E172" s="1054"/>
      <c r="F172" s="1054"/>
      <c r="G172" s="1054"/>
    </row>
    <row r="173" spans="1:7" ht="15" customHeight="1" x14ac:dyDescent="0.2">
      <c r="A173" s="588"/>
      <c r="B173" s="1072" t="s">
        <v>674</v>
      </c>
      <c r="C173" s="1071" t="s">
        <v>667</v>
      </c>
      <c r="D173" s="828"/>
      <c r="E173" s="829"/>
      <c r="F173" s="1063" t="s">
        <v>668</v>
      </c>
      <c r="G173" s="588"/>
    </row>
    <row r="174" spans="1:7" ht="15" customHeight="1" thickBot="1" x14ac:dyDescent="0.25">
      <c r="A174" s="588"/>
      <c r="B174" s="821"/>
      <c r="C174" s="1064" t="str">
        <f>IF('Identificación del Instrumento'!$B$17="periódica","", "Valores corregidos por error de redondeo")</f>
        <v>Valores corregidos por error de redondeo</v>
      </c>
      <c r="D174" s="831"/>
      <c r="E174" s="836"/>
      <c r="F174" s="843"/>
      <c r="G174" s="588"/>
    </row>
    <row r="175" spans="1:7" ht="15" customHeight="1" thickBot="1" x14ac:dyDescent="0.25">
      <c r="A175" s="588"/>
      <c r="B175" s="864"/>
      <c r="C175" s="608" t="s">
        <v>669</v>
      </c>
      <c r="D175" s="609" t="s">
        <v>670</v>
      </c>
      <c r="E175" s="597" t="s">
        <v>669</v>
      </c>
      <c r="F175" s="836"/>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671</v>
      </c>
      <c r="C181" s="588"/>
      <c r="D181" s="616"/>
      <c r="E181" s="617">
        <f>IF(COUNT(F176:F180)=0,"",'Datos de Ensayos'!G113)</f>
        <v>40</v>
      </c>
      <c r="F181" s="588"/>
      <c r="G181" s="588"/>
    </row>
    <row r="182" spans="1:7" ht="15" customHeight="1" thickBot="1" x14ac:dyDescent="0.25">
      <c r="A182" s="588"/>
      <c r="B182" s="588" t="s">
        <v>672</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55" t="str">
        <f>"CAMIONES (sentido de "&amp;'Datos de Ensayos'!I123&amp;" con camión "&amp;'Datos de Ensayos'!G123&amp;"):"</f>
        <v>CAMIONES (sentido de Egreso con camión Cargado):</v>
      </c>
      <c r="B184" s="1054"/>
      <c r="C184" s="1054"/>
      <c r="D184" s="1054"/>
      <c r="E184" s="1054"/>
      <c r="F184" s="1054"/>
      <c r="G184" s="1054"/>
    </row>
    <row r="185" spans="1:7" ht="15" customHeight="1" x14ac:dyDescent="0.2">
      <c r="A185" s="588"/>
      <c r="B185" s="1072" t="s">
        <v>675</v>
      </c>
      <c r="C185" s="1071" t="s">
        <v>667</v>
      </c>
      <c r="D185" s="828"/>
      <c r="E185" s="829"/>
      <c r="F185" s="1063" t="s">
        <v>668</v>
      </c>
      <c r="G185" s="588"/>
    </row>
    <row r="186" spans="1:7" ht="15" customHeight="1" thickBot="1" x14ac:dyDescent="0.25">
      <c r="A186" s="588"/>
      <c r="B186" s="821"/>
      <c r="C186" s="1064" t="str">
        <f>IF('Identificación del Instrumento'!$B$17="periódica","", "Valores corregidos por error de redondeo")</f>
        <v>Valores corregidos por error de redondeo</v>
      </c>
      <c r="D186" s="831"/>
      <c r="E186" s="836"/>
      <c r="F186" s="843"/>
      <c r="G186" s="588"/>
    </row>
    <row r="187" spans="1:7" ht="15" customHeight="1" thickBot="1" x14ac:dyDescent="0.25">
      <c r="A187" s="588"/>
      <c r="B187" s="864"/>
      <c r="C187" s="608" t="s">
        <v>669</v>
      </c>
      <c r="D187" s="609" t="s">
        <v>670</v>
      </c>
      <c r="E187" s="597" t="s">
        <v>669</v>
      </c>
      <c r="F187" s="836"/>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671</v>
      </c>
      <c r="C193" s="588"/>
      <c r="D193" s="616"/>
      <c r="E193" s="617">
        <f>IF(COUNT(F188:F192)=0,"",'Datos de Ensayos'!G125)</f>
        <v>40</v>
      </c>
      <c r="F193" s="588"/>
      <c r="G193" s="588"/>
    </row>
    <row r="194" spans="1:7" ht="15" customHeight="1" thickBot="1" x14ac:dyDescent="0.25">
      <c r="A194" s="588"/>
      <c r="B194" s="588" t="s">
        <v>672</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74"/>
      <c r="B197" s="814"/>
      <c r="C197" s="814"/>
      <c r="D197" s="619"/>
      <c r="E197" s="671"/>
      <c r="F197" s="671"/>
      <c r="G197" s="671"/>
    </row>
    <row r="198" spans="1:7" s="620" customFormat="1" ht="15" customHeight="1" x14ac:dyDescent="0.2">
      <c r="A198" s="1079" t="str">
        <f>'Acta Verificación '!A57</f>
        <v>Sr. Nievas Aldo Dario</v>
      </c>
      <c r="B198" s="762"/>
      <c r="C198" s="762"/>
      <c r="D198" s="588"/>
      <c r="E198" s="1069" t="str">
        <f>'Acta Verificación '!F57</f>
        <v>Tco. Pablo Javier Siklosi A.</v>
      </c>
      <c r="F198" s="1070"/>
      <c r="G198" s="1070"/>
    </row>
    <row r="199" spans="1:7" s="620" customFormat="1" ht="15" customHeight="1" x14ac:dyDescent="0.2">
      <c r="A199" s="1078" t="str">
        <f>+'Identificación del Instrumento'!C14</f>
        <v>Marolio S.A.</v>
      </c>
      <c r="B199" s="1070"/>
      <c r="C199" s="1070"/>
      <c r="D199" s="588"/>
      <c r="E199" s="1069" t="str">
        <f>+'Identificación del Instrumento'!E61</f>
        <v>Programa de Metrología Legal - INTI</v>
      </c>
      <c r="F199" s="1070"/>
      <c r="G199" s="1070"/>
    </row>
    <row r="200" spans="1:7" s="620" customFormat="1" ht="15" customHeight="1" x14ac:dyDescent="0.2">
      <c r="A200" s="1069"/>
      <c r="B200" s="1070"/>
      <c r="C200" s="1070"/>
      <c r="D200" s="588"/>
      <c r="E200" s="1081"/>
      <c r="F200" s="1070"/>
      <c r="G200" s="1070"/>
    </row>
  </sheetData>
  <mergeCells count="84">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 ref="A199:C199"/>
    <mergeCell ref="E199:G199"/>
    <mergeCell ref="C186:E186"/>
    <mergeCell ref="E198:G198"/>
    <mergeCell ref="A198:C198"/>
    <mergeCell ref="B185:B187"/>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2025-12-04T15:19:54Z</cp:lastPrinted>
  <dcterms:created xsi:type="dcterms:W3CDTF">2002-11-22T14:21:35Z</dcterms:created>
  <dcterms:modified xsi:type="dcterms:W3CDTF">2025-12-04T15:20:02Z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